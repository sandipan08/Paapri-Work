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\Strouse\Data Migration\"/>
    </mc:Choice>
  </mc:AlternateContent>
  <bookViews>
    <workbookView xWindow="0" yWindow="0" windowWidth="23040" windowHeight="9264" activeTab="2"/>
  </bookViews>
  <sheets>
    <sheet name="SC Manufacturing Cost Template" sheetId="1" r:id="rId1"/>
    <sheet name="Body" sheetId="4" r:id="rId2"/>
    <sheet name="SC Manufacturing Cost Template " sheetId="5" r:id="rId3"/>
    <sheet name="Sheet1" sheetId="2" r:id="rId4"/>
  </sheets>
  <externalReferences>
    <externalReference r:id="rId5"/>
  </externalReferences>
  <definedNames>
    <definedName name="_xlnm._FilterDatabase" localSheetId="1" hidden="1">Body!$A$1:$A$63</definedName>
    <definedName name="_xlnm._FilterDatabase" localSheetId="0" hidden="1">'SC Manufacturing Cost Template'!$A$1:$I$63</definedName>
  </definedNames>
  <calcPr calcId="162913"/>
</workbook>
</file>

<file path=xl/calcChain.xml><?xml version="1.0" encoding="utf-8"?>
<calcChain xmlns="http://schemas.openxmlformats.org/spreadsheetml/2006/main">
  <c r="I24" i="1" l="1"/>
  <c r="I22" i="1"/>
  <c r="I6" i="1"/>
  <c r="I2" i="1"/>
  <c r="I42" i="1"/>
  <c r="I38" i="1"/>
  <c r="I48" i="1"/>
  <c r="I44" i="1"/>
  <c r="I56" i="1"/>
  <c r="I52" i="1"/>
  <c r="I30" i="1"/>
  <c r="I32" i="1"/>
  <c r="I27" i="1"/>
  <c r="I25" i="1"/>
  <c r="I7" i="1"/>
  <c r="I3" i="1"/>
  <c r="I43" i="1"/>
  <c r="I39" i="1"/>
  <c r="I49" i="1"/>
  <c r="I45" i="1"/>
  <c r="I57" i="1"/>
  <c r="I53" i="1"/>
  <c r="I26" i="1"/>
</calcChain>
</file>

<file path=xl/sharedStrings.xml><?xml version="1.0" encoding="utf-8"?>
<sst xmlns="http://schemas.openxmlformats.org/spreadsheetml/2006/main" count="667" uniqueCount="150">
  <si>
    <t>Subsidiary</t>
  </si>
  <si>
    <t>Name</t>
  </si>
  <si>
    <t>Total process cost(per min)</t>
  </si>
  <si>
    <t>Memo</t>
  </si>
  <si>
    <t>Cost Category - Line</t>
  </si>
  <si>
    <t>Item - Line</t>
  </si>
  <si>
    <t>The Strouse Corporation</t>
  </si>
  <si>
    <t>LR : Labor Run</t>
  </si>
  <si>
    <t>Press - Complexity</t>
  </si>
  <si>
    <t>Hourly Rate</t>
  </si>
  <si>
    <t>Delta - Simple</t>
  </si>
  <si>
    <t>Delta - Normal</t>
  </si>
  <si>
    <t>Delta - Complex</t>
  </si>
  <si>
    <t>Allied - Simple</t>
  </si>
  <si>
    <t>Allied - Normal</t>
  </si>
  <si>
    <t>Allied - Complex</t>
  </si>
  <si>
    <t>Pace - Simple</t>
  </si>
  <si>
    <t>Pace - Normal</t>
  </si>
  <si>
    <t>Pace - Complex</t>
  </si>
  <si>
    <t>Preco - Simple</t>
  </si>
  <si>
    <t>Preco - Normal</t>
  </si>
  <si>
    <t>Preco - Complex</t>
  </si>
  <si>
    <t>Siat - Simple</t>
  </si>
  <si>
    <t>Siat - Normal</t>
  </si>
  <si>
    <t>Siat - Complex</t>
  </si>
  <si>
    <t>Dusenbery</t>
  </si>
  <si>
    <t>CatBridge</t>
  </si>
  <si>
    <t>Azco</t>
  </si>
  <si>
    <t>Bunch Fan Folder</t>
  </si>
  <si>
    <t>CEI</t>
  </si>
  <si>
    <t>Cevenini</t>
  </si>
  <si>
    <t>Contech</t>
  </si>
  <si>
    <t>Flash Cut</t>
  </si>
  <si>
    <t>Core Cutter</t>
  </si>
  <si>
    <t>Web Techniques</t>
  </si>
  <si>
    <t>Finishing</t>
  </si>
  <si>
    <t>Engineering</t>
  </si>
  <si>
    <t>Production Sample Laser</t>
  </si>
  <si>
    <t>Engineering Sample Laser</t>
  </si>
  <si>
    <t>LS : Labor Setup</t>
  </si>
  <si>
    <t>Spool Winder</t>
  </si>
  <si>
    <t>Zebra</t>
  </si>
  <si>
    <t>This cost template will be used with run operations on Delta. The costs defined in the template are based on estimations for a simple run.</t>
  </si>
  <si>
    <t>LR00110</t>
  </si>
  <si>
    <t>This cost template will be used with run operations on Delta. The costs defined in the template are based on estimations for a normal run.</t>
  </si>
  <si>
    <t>LR00150</t>
  </si>
  <si>
    <t>This cost template will be used with run operations on Delta. The costs defined in the template are based on estimations for a complex run.</t>
  </si>
  <si>
    <t>LR00200</t>
  </si>
  <si>
    <t>This cost template will be used with run operations on Allied. The costs defined in the template are based on estimations for a simple run.</t>
  </si>
  <si>
    <t>This cost template will be used with run operations on Allied. The costs defined in the template are based on estimations for a normal run.</t>
  </si>
  <si>
    <t>LR00130</t>
  </si>
  <si>
    <t>This cost template will be used with run operations on Allied. The costs defined in the template are based on estimations for a complex run.</t>
  </si>
  <si>
    <t>This cost template will be used with run operations on Pace. The costs defined in the template are based on estimations for a simple run.</t>
  </si>
  <si>
    <t>This cost template will be used with run operations on Pace. The costs defined in the template are based on estimations for a normal run.</t>
  </si>
  <si>
    <t>This cost template will be used with run operations on Pace. The costs defined in the template are based on estimations for a complex run.</t>
  </si>
  <si>
    <t>This cost template will be used with run operations on Preco. The costs defined in the template are based on estimations for a simple run.</t>
  </si>
  <si>
    <t>This cost template will be used with run operations on Preco. The costs defined in the template are based on estimations for a normal run.</t>
  </si>
  <si>
    <t>This cost template will be used with run operations on Preco. The costs defined in the template are based on estimations for a complex run.</t>
  </si>
  <si>
    <t>This cost template will be used with run operations on Siat. The costs defined in the template are based on estimations for a simple run.</t>
  </si>
  <si>
    <t>This cost template will be used with run operations on Siat. The costs defined in the template are based on estimations for a normal run.</t>
  </si>
  <si>
    <t>This cost template will be used with run operations on Siat. The costs defined in the template are based on estimations for a complex run.</t>
  </si>
  <si>
    <t>This cost template will be used with run operations on Dusenbery. The costs defined in the template are based on estimations for all runs.</t>
  </si>
  <si>
    <t>This cost template will be used with run operations on CatBridge. The costs defined in the template are based on estimations for all runs.</t>
  </si>
  <si>
    <t>This cost template will be used with run operations on Azco. The costs defined in the template are based on estimations for all runs.</t>
  </si>
  <si>
    <t>LR00090</t>
  </si>
  <si>
    <t>This cost template will be used with run operations on Bunch Fan Folder. The costs defined in the template are based on estimations for all runs.</t>
  </si>
  <si>
    <t>This cost template will be used with run operations on CEI. The costs defined in the template are based on estimations for all runs.</t>
  </si>
  <si>
    <t>This cost template will be used with run operations on Cevenini. The costs defined in the template are based on estimations for all runs.</t>
  </si>
  <si>
    <t>This cost template will be used with run operations on Contech. The costs defined in the template are based on estimations for all runs.</t>
  </si>
  <si>
    <t>This cost template will be used with run operations on Flash Cut. The costs defined in the template are based on estimations for all runs.</t>
  </si>
  <si>
    <t>This cost template will be used with run operations on Core Cutter. The costs defined in the template are based on estimations for all runs.</t>
  </si>
  <si>
    <t>LR00080</t>
  </si>
  <si>
    <t>This cost template will be used with run operations on Web Techniques. The costs defined in the template are based on estimations for all runs.</t>
  </si>
  <si>
    <t>This cost template will be used with run operations on Finishing. The costs defined in the template are based on estimations for all runs.</t>
  </si>
  <si>
    <t>This cost template will be used with run operations on Engineering. The costs defined in the template are based on estimations for all runs.</t>
  </si>
  <si>
    <t>This cost template will be used with run operations on Production Sample Laser. The costs defined in the template are based on estimations for all runs.</t>
  </si>
  <si>
    <t>This cost template will be used with run operations on Engineering Sample Laser. The costs defined in the template are based on estimations for all runs.</t>
  </si>
  <si>
    <t>This cost template will be used with setup operations on Delta. The costs defined in the template are based on estimations for a simple setup.</t>
  </si>
  <si>
    <t>LS00110</t>
  </si>
  <si>
    <t>This cost template will be used with setup operations on Delta. The costs defined in the template are based on estimations for a normal setup.</t>
  </si>
  <si>
    <t>LS00150</t>
  </si>
  <si>
    <t>This cost template will be used with setup operations on Delta. The costs defined in the template are based on estimations for a complex setup.</t>
  </si>
  <si>
    <t>LS00200</t>
  </si>
  <si>
    <t>This cost template will be used with setup operations on Allied. The costs defined in the template are based on estimations for a simple setup.</t>
  </si>
  <si>
    <t>This cost template will be used with setup operations on Allied. The costs defined in the template are based on estimations for a normal setup.</t>
  </si>
  <si>
    <t>LS00130</t>
  </si>
  <si>
    <t>This cost template will be used with setup operations on Allied. The costs defined in the template are based on estimations for a complex setup.</t>
  </si>
  <si>
    <t>This cost template will be used with setup operations on Pace. The costs defined in the template are based on estimations for a simple setup.</t>
  </si>
  <si>
    <t>This cost template will be used with setup operations on Pace. The costs defined in the template are based on estimations for a normal setup.</t>
  </si>
  <si>
    <t>This cost template will be used with setup operations on Pace. The costs defined in the template are based on estimations for a complex setup.</t>
  </si>
  <si>
    <t>This cost template will be used with setup operations on Preco. The costs defined in the template are based on estimations for a simple setup.</t>
  </si>
  <si>
    <t>This cost template will be used with setup operations on Preco. The costs defined in the template are based on estimations for a normal setup.</t>
  </si>
  <si>
    <t>This cost template will be used with setup operations on Preco. The costs defined in the template are based on estimations for a complex setup.</t>
  </si>
  <si>
    <t>This cost template will be used with setup operations on Siat. The costs defined in the template are based on estimations for a simple setup.</t>
  </si>
  <si>
    <t>This cost template will be used with setup operations on Siat. The costs defined in the template are based on estimations for a normal setup.</t>
  </si>
  <si>
    <t>This cost template will be used with setup operations on Siat. The costs defined in the template are based on estimations for a complex setup.</t>
  </si>
  <si>
    <t>This cost template will be used with setup operations on Dusenbery. The costs defined in the template are based on estimations for all setups.</t>
  </si>
  <si>
    <t>This cost template will be used with setup operations on CatBridge. The costs defined in the template are based on estimations for all setups.</t>
  </si>
  <si>
    <t>This cost template will be used with setup operations on Azco. The costs defined in the template are based on estimations for all setups.</t>
  </si>
  <si>
    <t>LS00090</t>
  </si>
  <si>
    <t>This cost template will be used with setup operations on Bunch Fan Folder. The costs defined in the template are based on estimations for all setups.</t>
  </si>
  <si>
    <t>This cost template will be used with setup operations on CEI. The costs defined in the template are based on estimations for all setups.</t>
  </si>
  <si>
    <t>This cost template will be used with setup operations on Cevenini. The costs defined in the template are based on estimations for all setups.</t>
  </si>
  <si>
    <t>This cost template will be used with setup operations on Contech. The costs defined in the template are based on estimations for all setups.</t>
  </si>
  <si>
    <t>This cost template will be used with setup operations on Flash Cut. The costs defined in the template are based on estimations for all setups.</t>
  </si>
  <si>
    <t>This cost template will be used with setup operations on Core Cutter. The costs defined in the template are based on estimations for all setups.</t>
  </si>
  <si>
    <t>LS00080</t>
  </si>
  <si>
    <t>This cost template will be used with setup operations on Web Techniques. The costs defined in the template are based on estimations for all setups.</t>
  </si>
  <si>
    <t>This cost template will be used with setup operations on Finishing. The costs defined in the template are based on estimations for all setups.</t>
  </si>
  <si>
    <t>This cost template will be used with setup operations on Engineering. The costs defined in the template are based on estimations for all setups.</t>
  </si>
  <si>
    <t>This cost template will be used with setup operations on Production Sample Laser. The costs defined in the template are based on estimations for all setups.</t>
  </si>
  <si>
    <t>This cost template will be used with setup operations on Engineering Sample Laser. The costs defined in the template are based on estimations for all setups.</t>
  </si>
  <si>
    <t>This cost template will be used with run operations on Spool Winder. The costs defined in the template are based on estimations for all runs.</t>
  </si>
  <si>
    <t>This cost template will be used with setup operations on Spool Winder. The costs defined in the template are based on estimations for all setups.</t>
  </si>
  <si>
    <t>This cost template will be used with run operations on Zebra. The costs defined in the template are based on estimations for all runs.</t>
  </si>
  <si>
    <t>This cost template will be used with setup operations on Zebra. The costs defined in the template are based on estimations for all setups.</t>
  </si>
  <si>
    <t xml:space="preserve">Item Internal Id - Line </t>
  </si>
  <si>
    <t>Cost Category Id- Line</t>
  </si>
  <si>
    <t>External Id</t>
  </si>
  <si>
    <t>EXT002</t>
  </si>
  <si>
    <t>EXT003</t>
  </si>
  <si>
    <t>EXT004</t>
  </si>
  <si>
    <t>EXT005</t>
  </si>
  <si>
    <t>EXT006</t>
  </si>
  <si>
    <t>EXT007</t>
  </si>
  <si>
    <t>EXT008</t>
  </si>
  <si>
    <t>EXT009</t>
  </si>
  <si>
    <t>EXT010</t>
  </si>
  <si>
    <t>EXT011</t>
  </si>
  <si>
    <t>EXT012</t>
  </si>
  <si>
    <t>EXT013</t>
  </si>
  <si>
    <t>EXT014</t>
  </si>
  <si>
    <t>EXT015</t>
  </si>
  <si>
    <t>EXT016</t>
  </si>
  <si>
    <t>EXT017</t>
  </si>
  <si>
    <t>EXT018</t>
  </si>
  <si>
    <t>EXT019</t>
  </si>
  <si>
    <t>EXT020</t>
  </si>
  <si>
    <t>EXT021</t>
  </si>
  <si>
    <t>EXT022</t>
  </si>
  <si>
    <t>EXT023</t>
  </si>
  <si>
    <t>EXT024</t>
  </si>
  <si>
    <t>EXT025</t>
  </si>
  <si>
    <t>EXT026</t>
  </si>
  <si>
    <t>EXT027</t>
  </si>
  <si>
    <t>EXT028</t>
  </si>
  <si>
    <t>EXT030</t>
  </si>
  <si>
    <t>EXT031</t>
  </si>
  <si>
    <t>EXT032</t>
  </si>
  <si>
    <t>EXT033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</si>
</sst>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 tint="4.9989318521683403E-2"/>
      <name val="Arial"/>
      <family val="2"/>
    </font>
    <font>
      <b/>
      <sz val="10"/>
      <color rgb="FFFF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Items14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"/>
    </sheetNames>
    <sheetDataSet>
      <sheetData sheetId="0" refreshError="1">
        <row r="1">
          <cell r="A1" t="str">
            <v>Name</v>
          </cell>
          <cell r="B1" t="str">
            <v>Internal ID</v>
          </cell>
        </row>
        <row r="2">
          <cell r="A2" t="str">
            <v>Inspection Report</v>
          </cell>
          <cell r="B2">
            <v>571</v>
          </cell>
        </row>
        <row r="3">
          <cell r="A3" t="str">
            <v>PPAP</v>
          </cell>
          <cell r="B3">
            <v>570</v>
          </cell>
        </row>
        <row r="4">
          <cell r="A4" t="str">
            <v>First Article</v>
          </cell>
          <cell r="B4">
            <v>569</v>
          </cell>
        </row>
        <row r="5">
          <cell r="A5" t="str">
            <v>Quality Samples</v>
          </cell>
          <cell r="B5">
            <v>568</v>
          </cell>
        </row>
        <row r="6">
          <cell r="A6" t="str">
            <v>Plate Charge</v>
          </cell>
          <cell r="B6">
            <v>567</v>
          </cell>
        </row>
        <row r="7">
          <cell r="A7" t="str">
            <v>MOQ/Material Adjustment</v>
          </cell>
          <cell r="B7">
            <v>566</v>
          </cell>
        </row>
        <row r="8">
          <cell r="A8" t="str">
            <v>Expedite Fee</v>
          </cell>
          <cell r="B8">
            <v>565</v>
          </cell>
        </row>
        <row r="9">
          <cell r="A9" t="str">
            <v>Shipping - Non-standard</v>
          </cell>
          <cell r="B9">
            <v>564</v>
          </cell>
        </row>
        <row r="10">
          <cell r="A10" t="str">
            <v>Material Adjustment</v>
          </cell>
          <cell r="B10">
            <v>349</v>
          </cell>
        </row>
        <row r="11">
          <cell r="A11" t="str">
            <v>LS00180</v>
          </cell>
          <cell r="B11">
            <v>330</v>
          </cell>
        </row>
        <row r="12">
          <cell r="A12" t="str">
            <v>LR00180</v>
          </cell>
          <cell r="B12">
            <v>329</v>
          </cell>
        </row>
        <row r="13">
          <cell r="A13" t="str">
            <v>LS00150</v>
          </cell>
          <cell r="B13">
            <v>328</v>
          </cell>
        </row>
        <row r="14">
          <cell r="A14" t="str">
            <v>LS00120</v>
          </cell>
          <cell r="B14">
            <v>325</v>
          </cell>
        </row>
        <row r="15">
          <cell r="A15" t="str">
            <v>Partial Tooling Charge</v>
          </cell>
          <cell r="B15">
            <v>288</v>
          </cell>
        </row>
        <row r="16">
          <cell r="A16" t="str">
            <v>LR00070</v>
          </cell>
          <cell r="B16">
            <v>247</v>
          </cell>
        </row>
        <row r="17">
          <cell r="A17" t="str">
            <v>LS00070</v>
          </cell>
          <cell r="B17">
            <v>246</v>
          </cell>
        </row>
        <row r="18">
          <cell r="A18" t="str">
            <v>LS00060</v>
          </cell>
          <cell r="B18">
            <v>245</v>
          </cell>
        </row>
        <row r="19">
          <cell r="A19" t="str">
            <v>LS00110</v>
          </cell>
          <cell r="B19">
            <v>244</v>
          </cell>
        </row>
        <row r="20">
          <cell r="A20" t="str">
            <v>LR00060</v>
          </cell>
          <cell r="B20">
            <v>243</v>
          </cell>
        </row>
        <row r="21">
          <cell r="A21" t="str">
            <v>LR00110</v>
          </cell>
          <cell r="B21">
            <v>242</v>
          </cell>
        </row>
        <row r="22">
          <cell r="A22" t="str">
            <v>LR00200</v>
          </cell>
          <cell r="B22">
            <v>240</v>
          </cell>
        </row>
        <row r="23">
          <cell r="A23" t="str">
            <v>LR00120</v>
          </cell>
          <cell r="B23">
            <v>239</v>
          </cell>
        </row>
        <row r="24">
          <cell r="A24" t="str">
            <v>LR00150</v>
          </cell>
          <cell r="B24">
            <v>238</v>
          </cell>
        </row>
        <row r="25">
          <cell r="A25" t="str">
            <v>Labor Run@15</v>
          </cell>
          <cell r="B25">
            <v>232</v>
          </cell>
        </row>
        <row r="26">
          <cell r="A26" t="str">
            <v>Labor Run@12</v>
          </cell>
          <cell r="B26">
            <v>231</v>
          </cell>
        </row>
        <row r="27">
          <cell r="A27" t="str">
            <v>Freight Charge</v>
          </cell>
          <cell r="B27">
            <v>218</v>
          </cell>
        </row>
        <row r="28">
          <cell r="A28" t="str">
            <v>Freight</v>
          </cell>
          <cell r="B28">
            <v>215</v>
          </cell>
        </row>
        <row r="29">
          <cell r="A29" t="str">
            <v>Duty</v>
          </cell>
          <cell r="B29">
            <v>214</v>
          </cell>
        </row>
        <row r="30">
          <cell r="A30" t="str">
            <v>MS00010</v>
          </cell>
          <cell r="B30">
            <v>190</v>
          </cell>
        </row>
        <row r="31">
          <cell r="A31" t="str">
            <v>Machine Run</v>
          </cell>
          <cell r="B31">
            <v>189</v>
          </cell>
        </row>
        <row r="32">
          <cell r="A32" t="str">
            <v>LR00010</v>
          </cell>
          <cell r="B32">
            <v>21</v>
          </cell>
        </row>
        <row r="33">
          <cell r="A33" t="str">
            <v>MR00010</v>
          </cell>
          <cell r="B33">
            <v>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3"/>
  <sheetViews>
    <sheetView topLeftCell="C1" zoomScale="76" zoomScaleNormal="85" workbookViewId="0">
      <selection activeCell="I1" activeCellId="1" sqref="G1:G1048576 I1:I1048576"/>
    </sheetView>
  </sheetViews>
  <sheetFormatPr defaultColWidth="9.21875" defaultRowHeight="13.2" x14ac:dyDescent="0.25"/>
  <cols>
    <col min="1" max="2" width="32.77734375" style="2" customWidth="1"/>
    <col min="3" max="4" width="31.21875" style="3" customWidth="1"/>
    <col min="5" max="9" width="32.77734375" style="2" customWidth="1"/>
    <col min="10" max="16384" width="9.21875" style="3"/>
  </cols>
  <sheetData>
    <row r="1" spans="1:9" s="1" customFormat="1" x14ac:dyDescent="0.25">
      <c r="A1" s="4" t="s">
        <v>0</v>
      </c>
      <c r="B1" s="4" t="s">
        <v>118</v>
      </c>
      <c r="C1" s="4" t="s">
        <v>1</v>
      </c>
      <c r="D1" s="6" t="s">
        <v>2</v>
      </c>
      <c r="E1" s="5" t="s">
        <v>3</v>
      </c>
      <c r="F1" s="4" t="s">
        <v>4</v>
      </c>
      <c r="G1" s="4" t="s">
        <v>117</v>
      </c>
      <c r="H1" s="4" t="s">
        <v>5</v>
      </c>
      <c r="I1" s="4" t="s">
        <v>116</v>
      </c>
    </row>
    <row r="2" spans="1:9" ht="52.8" x14ac:dyDescent="0.25">
      <c r="A2" s="2" t="s">
        <v>6</v>
      </c>
      <c r="B2" t="s">
        <v>119</v>
      </c>
      <c r="C2" s="3" t="s">
        <v>15</v>
      </c>
      <c r="D2" s="3">
        <v>2.5</v>
      </c>
      <c r="E2" s="2" t="s">
        <v>51</v>
      </c>
      <c r="F2" s="2" t="s">
        <v>7</v>
      </c>
      <c r="G2" s="2">
        <v>7</v>
      </c>
      <c r="H2" s="2" t="s">
        <v>45</v>
      </c>
      <c r="I2" s="2">
        <f>VLOOKUP(H:H,[1]Items!$A:$B,2,)</f>
        <v>238</v>
      </c>
    </row>
    <row r="3" spans="1:9" ht="66" x14ac:dyDescent="0.25">
      <c r="A3" s="2" t="s">
        <v>6</v>
      </c>
      <c r="B3" t="s">
        <v>119</v>
      </c>
      <c r="C3" s="3" t="s">
        <v>15</v>
      </c>
      <c r="D3" s="3">
        <v>2.5</v>
      </c>
      <c r="E3" s="2" t="s">
        <v>86</v>
      </c>
      <c r="F3" s="2" t="s">
        <v>39</v>
      </c>
      <c r="G3" s="2">
        <v>12</v>
      </c>
      <c r="H3" s="2" t="s">
        <v>80</v>
      </c>
      <c r="I3" s="2">
        <f>VLOOKUP(H:H,[1]Items!$A:$B,2,)</f>
        <v>328</v>
      </c>
    </row>
    <row r="4" spans="1:9" ht="52.8" x14ac:dyDescent="0.25">
      <c r="A4" s="2" t="s">
        <v>6</v>
      </c>
      <c r="B4" t="s">
        <v>120</v>
      </c>
      <c r="C4" s="3" t="s">
        <v>14</v>
      </c>
      <c r="D4" s="3">
        <v>2.1666666666666665</v>
      </c>
      <c r="E4" s="2" t="s">
        <v>49</v>
      </c>
      <c r="F4" s="2" t="s">
        <v>7</v>
      </c>
      <c r="G4" s="2">
        <v>7</v>
      </c>
      <c r="H4" s="2" t="s">
        <v>50</v>
      </c>
      <c r="I4" s="2">
        <v>6021</v>
      </c>
    </row>
    <row r="5" spans="1:9" ht="66" x14ac:dyDescent="0.25">
      <c r="A5" s="2" t="s">
        <v>6</v>
      </c>
      <c r="B5" t="s">
        <v>120</v>
      </c>
      <c r="C5" s="3" t="s">
        <v>14</v>
      </c>
      <c r="D5" s="3">
        <v>2.1666666666666665</v>
      </c>
      <c r="E5" s="2" t="s">
        <v>84</v>
      </c>
      <c r="F5" s="2" t="s">
        <v>39</v>
      </c>
      <c r="G5" s="2">
        <v>12</v>
      </c>
      <c r="H5" s="2" t="s">
        <v>85</v>
      </c>
      <c r="I5" s="2">
        <v>6025</v>
      </c>
    </row>
    <row r="6" spans="1:9" ht="52.8" x14ac:dyDescent="0.25">
      <c r="A6" s="2" t="s">
        <v>6</v>
      </c>
      <c r="B6" t="s">
        <v>121</v>
      </c>
      <c r="C6" s="3" t="s">
        <v>13</v>
      </c>
      <c r="D6" s="3">
        <v>1.8333333333333333</v>
      </c>
      <c r="E6" s="2" t="s">
        <v>48</v>
      </c>
      <c r="F6" s="2" t="s">
        <v>7</v>
      </c>
      <c r="G6" s="2">
        <v>7</v>
      </c>
      <c r="H6" s="2" t="s">
        <v>43</v>
      </c>
      <c r="I6" s="2">
        <f>VLOOKUP(H:H,[1]Items!$A:$B,2,)</f>
        <v>242</v>
      </c>
    </row>
    <row r="7" spans="1:9" ht="66" x14ac:dyDescent="0.25">
      <c r="A7" s="2" t="s">
        <v>6</v>
      </c>
      <c r="B7" t="s">
        <v>121</v>
      </c>
      <c r="C7" s="3" t="s">
        <v>13</v>
      </c>
      <c r="D7" s="3">
        <v>1.8333333333333333</v>
      </c>
      <c r="E7" s="2" t="s">
        <v>83</v>
      </c>
      <c r="F7" s="2" t="s">
        <v>39</v>
      </c>
      <c r="G7" s="2">
        <v>12</v>
      </c>
      <c r="H7" s="2" t="s">
        <v>78</v>
      </c>
      <c r="I7" s="2">
        <f>VLOOKUP(H:H,[1]Items!$A:$B,2,)</f>
        <v>244</v>
      </c>
    </row>
    <row r="8" spans="1:9" ht="52.8" x14ac:dyDescent="0.25">
      <c r="A8" s="2" t="s">
        <v>6</v>
      </c>
      <c r="B8" t="s">
        <v>122</v>
      </c>
      <c r="C8" s="3" t="s">
        <v>27</v>
      </c>
      <c r="D8" s="3">
        <v>1.5</v>
      </c>
      <c r="E8" s="2" t="s">
        <v>63</v>
      </c>
      <c r="F8" s="2" t="s">
        <v>7</v>
      </c>
      <c r="G8" s="2">
        <v>7</v>
      </c>
      <c r="H8" s="2" t="s">
        <v>64</v>
      </c>
      <c r="I8" s="2">
        <v>6022</v>
      </c>
    </row>
    <row r="9" spans="1:9" ht="52.8" x14ac:dyDescent="0.25">
      <c r="A9" s="2" t="s">
        <v>6</v>
      </c>
      <c r="B9" t="s">
        <v>122</v>
      </c>
      <c r="C9" s="3" t="s">
        <v>27</v>
      </c>
      <c r="D9" s="3">
        <v>1.5</v>
      </c>
      <c r="E9" s="2" t="s">
        <v>98</v>
      </c>
      <c r="F9" s="2" t="s">
        <v>39</v>
      </c>
      <c r="G9" s="2">
        <v>12</v>
      </c>
      <c r="H9" s="2" t="s">
        <v>99</v>
      </c>
      <c r="I9" s="2">
        <v>6024</v>
      </c>
    </row>
    <row r="10" spans="1:9" ht="66" x14ac:dyDescent="0.25">
      <c r="A10" s="2" t="s">
        <v>6</v>
      </c>
      <c r="B10" t="s">
        <v>123</v>
      </c>
      <c r="C10" s="3" t="s">
        <v>28</v>
      </c>
      <c r="D10" s="3">
        <v>1.5</v>
      </c>
      <c r="E10" s="2" t="s">
        <v>65</v>
      </c>
      <c r="F10" s="2" t="s">
        <v>7</v>
      </c>
      <c r="G10" s="2">
        <v>7</v>
      </c>
      <c r="H10" s="2" t="s">
        <v>64</v>
      </c>
      <c r="I10" s="2">
        <v>6022</v>
      </c>
    </row>
    <row r="11" spans="1:9" ht="66" x14ac:dyDescent="0.25">
      <c r="A11" s="2" t="s">
        <v>6</v>
      </c>
      <c r="B11" t="s">
        <v>123</v>
      </c>
      <c r="C11" s="3" t="s">
        <v>28</v>
      </c>
      <c r="D11" s="3">
        <v>1.5</v>
      </c>
      <c r="E11" s="2" t="s">
        <v>100</v>
      </c>
      <c r="F11" s="2" t="s">
        <v>39</v>
      </c>
      <c r="G11" s="2">
        <v>12</v>
      </c>
      <c r="H11" s="2" t="s">
        <v>99</v>
      </c>
      <c r="I11" s="2">
        <v>6024</v>
      </c>
    </row>
    <row r="12" spans="1:9" ht="52.8" x14ac:dyDescent="0.25">
      <c r="A12" s="2" t="s">
        <v>6</v>
      </c>
      <c r="B12" t="s">
        <v>124</v>
      </c>
      <c r="C12" s="3" t="s">
        <v>26</v>
      </c>
      <c r="D12" s="3">
        <v>2.1666666666666665</v>
      </c>
      <c r="E12" s="2" t="s">
        <v>62</v>
      </c>
      <c r="F12" s="2" t="s">
        <v>7</v>
      </c>
      <c r="G12" s="2">
        <v>7</v>
      </c>
      <c r="H12" s="2" t="s">
        <v>50</v>
      </c>
      <c r="I12" s="2">
        <v>6021</v>
      </c>
    </row>
    <row r="13" spans="1:9" ht="66" x14ac:dyDescent="0.25">
      <c r="A13" s="2" t="s">
        <v>6</v>
      </c>
      <c r="B13" t="s">
        <v>124</v>
      </c>
      <c r="C13" s="3" t="s">
        <v>26</v>
      </c>
      <c r="D13" s="3">
        <v>2.1666666666666665</v>
      </c>
      <c r="E13" s="2" t="s">
        <v>97</v>
      </c>
      <c r="F13" s="2" t="s">
        <v>39</v>
      </c>
      <c r="G13" s="2">
        <v>12</v>
      </c>
      <c r="H13" s="2" t="s">
        <v>85</v>
      </c>
      <c r="I13" s="2">
        <v>6025</v>
      </c>
    </row>
    <row r="14" spans="1:9" ht="52.8" x14ac:dyDescent="0.25">
      <c r="A14" s="2" t="s">
        <v>6</v>
      </c>
      <c r="B14" t="s">
        <v>125</v>
      </c>
      <c r="C14" s="3" t="s">
        <v>29</v>
      </c>
      <c r="D14" s="3">
        <v>1.5</v>
      </c>
      <c r="E14" s="2" t="s">
        <v>66</v>
      </c>
      <c r="F14" s="2" t="s">
        <v>7</v>
      </c>
      <c r="G14" s="2">
        <v>7</v>
      </c>
      <c r="H14" s="2" t="s">
        <v>64</v>
      </c>
      <c r="I14" s="2">
        <v>6022</v>
      </c>
    </row>
    <row r="15" spans="1:9" ht="52.8" x14ac:dyDescent="0.25">
      <c r="A15" s="2" t="s">
        <v>6</v>
      </c>
      <c r="B15" t="s">
        <v>125</v>
      </c>
      <c r="C15" s="3" t="s">
        <v>29</v>
      </c>
      <c r="D15" s="3">
        <v>1.5</v>
      </c>
      <c r="E15" s="2" t="s">
        <v>101</v>
      </c>
      <c r="F15" s="2" t="s">
        <v>39</v>
      </c>
      <c r="G15" s="2">
        <v>12</v>
      </c>
      <c r="H15" s="2" t="s">
        <v>99</v>
      </c>
      <c r="I15" s="2">
        <v>6024</v>
      </c>
    </row>
    <row r="16" spans="1:9" ht="52.8" x14ac:dyDescent="0.25">
      <c r="A16" s="2" t="s">
        <v>6</v>
      </c>
      <c r="B16" t="s">
        <v>126</v>
      </c>
      <c r="C16" s="3" t="s">
        <v>30</v>
      </c>
      <c r="D16" s="3">
        <v>1.5</v>
      </c>
      <c r="E16" s="2" t="s">
        <v>67</v>
      </c>
      <c r="F16" s="2" t="s">
        <v>7</v>
      </c>
      <c r="G16" s="2">
        <v>7</v>
      </c>
      <c r="H16" s="2" t="s">
        <v>64</v>
      </c>
      <c r="I16" s="2">
        <v>6022</v>
      </c>
    </row>
    <row r="17" spans="1:9" ht="52.8" x14ac:dyDescent="0.25">
      <c r="A17" s="2" t="s">
        <v>6</v>
      </c>
      <c r="B17" t="s">
        <v>126</v>
      </c>
      <c r="C17" s="3" t="s">
        <v>30</v>
      </c>
      <c r="D17" s="3">
        <v>1.5</v>
      </c>
      <c r="E17" s="2" t="s">
        <v>102</v>
      </c>
      <c r="F17" s="2" t="s">
        <v>39</v>
      </c>
      <c r="G17" s="2">
        <v>12</v>
      </c>
      <c r="H17" s="2" t="s">
        <v>99</v>
      </c>
      <c r="I17" s="2">
        <v>6024</v>
      </c>
    </row>
    <row r="18" spans="1:9" ht="52.8" x14ac:dyDescent="0.25">
      <c r="A18" s="2" t="s">
        <v>6</v>
      </c>
      <c r="B18" t="s">
        <v>127</v>
      </c>
      <c r="C18" s="3" t="s">
        <v>31</v>
      </c>
      <c r="D18" s="3">
        <v>1.5</v>
      </c>
      <c r="E18" s="2" t="s">
        <v>68</v>
      </c>
      <c r="F18" s="2" t="s">
        <v>7</v>
      </c>
      <c r="G18" s="2">
        <v>7</v>
      </c>
      <c r="H18" s="2" t="s">
        <v>64</v>
      </c>
      <c r="I18" s="2">
        <v>6022</v>
      </c>
    </row>
    <row r="19" spans="1:9" ht="52.8" x14ac:dyDescent="0.25">
      <c r="A19" s="2" t="s">
        <v>6</v>
      </c>
      <c r="B19" t="s">
        <v>127</v>
      </c>
      <c r="C19" s="3" t="s">
        <v>31</v>
      </c>
      <c r="D19" s="3">
        <v>1.5</v>
      </c>
      <c r="E19" s="2" t="s">
        <v>103</v>
      </c>
      <c r="F19" s="2" t="s">
        <v>39</v>
      </c>
      <c r="G19" s="2">
        <v>12</v>
      </c>
      <c r="H19" s="2" t="s">
        <v>99</v>
      </c>
      <c r="I19" s="2">
        <v>6024</v>
      </c>
    </row>
    <row r="20" spans="1:9" ht="52.8" x14ac:dyDescent="0.25">
      <c r="A20" s="2" t="s">
        <v>6</v>
      </c>
      <c r="B20" t="s">
        <v>128</v>
      </c>
      <c r="C20" s="3" t="s">
        <v>33</v>
      </c>
      <c r="D20" s="3">
        <v>1.3333333333333333</v>
      </c>
      <c r="E20" s="2" t="s">
        <v>70</v>
      </c>
      <c r="F20" s="2" t="s">
        <v>7</v>
      </c>
      <c r="G20" s="2">
        <v>7</v>
      </c>
      <c r="H20" s="2" t="s">
        <v>71</v>
      </c>
      <c r="I20" s="2">
        <v>6023</v>
      </c>
    </row>
    <row r="21" spans="1:9" ht="66" x14ac:dyDescent="0.25">
      <c r="A21" s="2" t="s">
        <v>6</v>
      </c>
      <c r="B21" t="s">
        <v>128</v>
      </c>
      <c r="C21" s="3" t="s">
        <v>33</v>
      </c>
      <c r="D21" s="3">
        <v>1.3333333333333333</v>
      </c>
      <c r="E21" s="2" t="s">
        <v>105</v>
      </c>
      <c r="F21" s="2" t="s">
        <v>39</v>
      </c>
      <c r="G21" s="2">
        <v>12</v>
      </c>
      <c r="H21" s="2" t="s">
        <v>106</v>
      </c>
      <c r="I21" s="2">
        <v>6027</v>
      </c>
    </row>
    <row r="22" spans="1:9" ht="52.8" x14ac:dyDescent="0.25">
      <c r="A22" s="2" t="s">
        <v>6</v>
      </c>
      <c r="B22" t="s">
        <v>129</v>
      </c>
      <c r="C22" s="3" t="s">
        <v>12</v>
      </c>
      <c r="D22" s="3">
        <v>3.3333333333333335</v>
      </c>
      <c r="E22" s="2" t="s">
        <v>46</v>
      </c>
      <c r="F22" s="2" t="s">
        <v>7</v>
      </c>
      <c r="G22" s="2">
        <v>7</v>
      </c>
      <c r="H22" s="2" t="s">
        <v>47</v>
      </c>
      <c r="I22" s="2">
        <f>VLOOKUP(H:H,[1]Items!$A:$B,2,)</f>
        <v>240</v>
      </c>
    </row>
    <row r="23" spans="1:9" ht="66" x14ac:dyDescent="0.25">
      <c r="A23" s="2" t="s">
        <v>6</v>
      </c>
      <c r="B23" t="s">
        <v>129</v>
      </c>
      <c r="C23" s="3" t="s">
        <v>12</v>
      </c>
      <c r="D23" s="3">
        <v>3.3333333333333335</v>
      </c>
      <c r="E23" s="2" t="s">
        <v>81</v>
      </c>
      <c r="F23" s="2" t="s">
        <v>39</v>
      </c>
      <c r="G23" s="2">
        <v>12</v>
      </c>
      <c r="H23" s="2" t="s">
        <v>82</v>
      </c>
      <c r="I23" s="2">
        <v>6026</v>
      </c>
    </row>
    <row r="24" spans="1:9" ht="52.8" x14ac:dyDescent="0.25">
      <c r="A24" s="2" t="s">
        <v>6</v>
      </c>
      <c r="B24" t="s">
        <v>130</v>
      </c>
      <c r="C24" s="3" t="s">
        <v>11</v>
      </c>
      <c r="D24" s="3">
        <v>2.5</v>
      </c>
      <c r="E24" s="2" t="s">
        <v>44</v>
      </c>
      <c r="F24" s="2" t="s">
        <v>7</v>
      </c>
      <c r="G24" s="2">
        <v>7</v>
      </c>
      <c r="H24" s="2" t="s">
        <v>45</v>
      </c>
      <c r="I24" s="2">
        <f>VLOOKUP(H:H,[1]Items!$A:$B,2,)</f>
        <v>238</v>
      </c>
    </row>
    <row r="25" spans="1:9" ht="66" x14ac:dyDescent="0.25">
      <c r="A25" s="2" t="s">
        <v>6</v>
      </c>
      <c r="B25" t="s">
        <v>130</v>
      </c>
      <c r="C25" s="3" t="s">
        <v>11</v>
      </c>
      <c r="D25" s="3">
        <v>2.5</v>
      </c>
      <c r="E25" s="2" t="s">
        <v>79</v>
      </c>
      <c r="F25" s="2" t="s">
        <v>39</v>
      </c>
      <c r="G25" s="2">
        <v>12</v>
      </c>
      <c r="H25" s="2" t="s">
        <v>80</v>
      </c>
      <c r="I25" s="2">
        <f>VLOOKUP(H:H,[1]Items!$A:$B,2,)</f>
        <v>328</v>
      </c>
    </row>
    <row r="26" spans="1:9" ht="52.8" x14ac:dyDescent="0.25">
      <c r="A26" s="2" t="s">
        <v>6</v>
      </c>
      <c r="B26" t="s">
        <v>131</v>
      </c>
      <c r="C26" s="3" t="s">
        <v>10</v>
      </c>
      <c r="D26" s="3">
        <v>1.8333333333333333</v>
      </c>
      <c r="E26" s="2" t="s">
        <v>42</v>
      </c>
      <c r="F26" s="2" t="s">
        <v>7</v>
      </c>
      <c r="G26" s="2">
        <v>7</v>
      </c>
      <c r="H26" s="2" t="s">
        <v>43</v>
      </c>
      <c r="I26" s="2">
        <f>VLOOKUP(H:H,[1]Items!$A:$B,2,)</f>
        <v>242</v>
      </c>
    </row>
    <row r="27" spans="1:9" ht="66" x14ac:dyDescent="0.25">
      <c r="A27" s="2" t="s">
        <v>6</v>
      </c>
      <c r="B27" t="s">
        <v>131</v>
      </c>
      <c r="C27" s="3" t="s">
        <v>10</v>
      </c>
      <c r="D27" s="3">
        <v>1.8333333333333333</v>
      </c>
      <c r="E27" s="2" t="s">
        <v>77</v>
      </c>
      <c r="F27" s="2" t="s">
        <v>39</v>
      </c>
      <c r="G27" s="2">
        <v>12</v>
      </c>
      <c r="H27" s="2" t="s">
        <v>78</v>
      </c>
      <c r="I27" s="2">
        <f>VLOOKUP(H:H,[1]Items!$A:$B,2,)</f>
        <v>244</v>
      </c>
    </row>
    <row r="28" spans="1:9" ht="52.8" x14ac:dyDescent="0.25">
      <c r="A28" s="2" t="s">
        <v>6</v>
      </c>
      <c r="B28" t="s">
        <v>132</v>
      </c>
      <c r="C28" s="3" t="s">
        <v>25</v>
      </c>
      <c r="D28" s="3">
        <v>2.1666666666666665</v>
      </c>
      <c r="E28" s="2" t="s">
        <v>61</v>
      </c>
      <c r="F28" s="2" t="s">
        <v>7</v>
      </c>
      <c r="G28" s="2">
        <v>7</v>
      </c>
      <c r="H28" s="2" t="s">
        <v>50</v>
      </c>
      <c r="I28" s="2">
        <v>6021</v>
      </c>
    </row>
    <row r="29" spans="1:9" ht="66" x14ac:dyDescent="0.25">
      <c r="A29" s="2" t="s">
        <v>6</v>
      </c>
      <c r="B29" t="s">
        <v>132</v>
      </c>
      <c r="C29" s="3" t="s">
        <v>25</v>
      </c>
      <c r="D29" s="3">
        <v>2.1666666666666665</v>
      </c>
      <c r="E29" s="2" t="s">
        <v>96</v>
      </c>
      <c r="F29" s="2" t="s">
        <v>39</v>
      </c>
      <c r="G29" s="2">
        <v>12</v>
      </c>
      <c r="H29" s="2" t="s">
        <v>85</v>
      </c>
      <c r="I29" s="2">
        <v>6025</v>
      </c>
    </row>
    <row r="30" spans="1:9" ht="52.8" x14ac:dyDescent="0.25">
      <c r="A30" s="2" t="s">
        <v>6</v>
      </c>
      <c r="B30" t="s">
        <v>133</v>
      </c>
      <c r="C30" s="3" t="s">
        <v>36</v>
      </c>
      <c r="D30" s="3">
        <v>3.3333333333333335</v>
      </c>
      <c r="E30" s="2" t="s">
        <v>74</v>
      </c>
      <c r="F30" s="2" t="s">
        <v>7</v>
      </c>
      <c r="G30" s="2">
        <v>7</v>
      </c>
      <c r="H30" s="2" t="s">
        <v>47</v>
      </c>
      <c r="I30" s="2">
        <f>VLOOKUP(H:H,[1]Items!$A:$B,2,)</f>
        <v>240</v>
      </c>
    </row>
    <row r="31" spans="1:9" ht="66" x14ac:dyDescent="0.25">
      <c r="A31" s="2" t="s">
        <v>6</v>
      </c>
      <c r="B31" t="s">
        <v>133</v>
      </c>
      <c r="C31" s="3" t="s">
        <v>36</v>
      </c>
      <c r="D31" s="3">
        <v>3.3333333333333335</v>
      </c>
      <c r="E31" s="2" t="s">
        <v>109</v>
      </c>
      <c r="F31" s="2" t="s">
        <v>39</v>
      </c>
      <c r="G31" s="2">
        <v>12</v>
      </c>
      <c r="H31" s="2" t="s">
        <v>82</v>
      </c>
      <c r="I31" s="2">
        <v>6026</v>
      </c>
    </row>
    <row r="32" spans="1:9" ht="66" x14ac:dyDescent="0.25">
      <c r="A32" s="2" t="s">
        <v>6</v>
      </c>
      <c r="B32" t="s">
        <v>134</v>
      </c>
      <c r="C32" s="3" t="s">
        <v>38</v>
      </c>
      <c r="D32" s="3">
        <v>3.3333333333333335</v>
      </c>
      <c r="E32" s="2" t="s">
        <v>76</v>
      </c>
      <c r="F32" s="2" t="s">
        <v>7</v>
      </c>
      <c r="G32" s="2">
        <v>7</v>
      </c>
      <c r="H32" s="2" t="s">
        <v>47</v>
      </c>
      <c r="I32" s="2">
        <f>VLOOKUP(H:H,[1]Items!$A:$B,2,)</f>
        <v>240</v>
      </c>
    </row>
    <row r="33" spans="1:9" ht="66" x14ac:dyDescent="0.25">
      <c r="A33" s="2" t="s">
        <v>6</v>
      </c>
      <c r="B33" t="s">
        <v>134</v>
      </c>
      <c r="C33" s="3" t="s">
        <v>38</v>
      </c>
      <c r="D33" s="3">
        <v>3.3333333333333335</v>
      </c>
      <c r="E33" s="2" t="s">
        <v>111</v>
      </c>
      <c r="F33" s="2" t="s">
        <v>39</v>
      </c>
      <c r="G33" s="2">
        <v>12</v>
      </c>
      <c r="H33" s="2" t="s">
        <v>82</v>
      </c>
      <c r="I33" s="2">
        <v>6026</v>
      </c>
    </row>
    <row r="34" spans="1:9" ht="52.8" x14ac:dyDescent="0.25">
      <c r="A34" s="2" t="s">
        <v>6</v>
      </c>
      <c r="B34" t="s">
        <v>135</v>
      </c>
      <c r="C34" s="3" t="s">
        <v>35</v>
      </c>
      <c r="D34" s="3">
        <v>1.3333333333333333</v>
      </c>
      <c r="E34" s="2" t="s">
        <v>73</v>
      </c>
      <c r="F34" s="2" t="s">
        <v>7</v>
      </c>
      <c r="G34" s="2">
        <v>7</v>
      </c>
      <c r="H34" s="2" t="s">
        <v>71</v>
      </c>
      <c r="I34" s="2">
        <v>6023</v>
      </c>
    </row>
    <row r="35" spans="1:9" ht="52.8" x14ac:dyDescent="0.25">
      <c r="A35" s="2" t="s">
        <v>6</v>
      </c>
      <c r="B35" t="s">
        <v>135</v>
      </c>
      <c r="C35" s="3" t="s">
        <v>35</v>
      </c>
      <c r="D35" s="3">
        <v>1.3333333333333333</v>
      </c>
      <c r="E35" s="2" t="s">
        <v>108</v>
      </c>
      <c r="F35" s="2" t="s">
        <v>39</v>
      </c>
      <c r="G35" s="2">
        <v>12</v>
      </c>
      <c r="H35" s="2" t="s">
        <v>106</v>
      </c>
      <c r="I35" s="2">
        <v>6027</v>
      </c>
    </row>
    <row r="36" spans="1:9" ht="52.8" x14ac:dyDescent="0.25">
      <c r="A36" s="2" t="s">
        <v>6</v>
      </c>
      <c r="B36" t="s">
        <v>136</v>
      </c>
      <c r="C36" s="3" t="s">
        <v>32</v>
      </c>
      <c r="D36" s="3">
        <v>1.5</v>
      </c>
      <c r="E36" s="2" t="s">
        <v>69</v>
      </c>
      <c r="F36" s="2" t="s">
        <v>7</v>
      </c>
      <c r="G36" s="2">
        <v>7</v>
      </c>
      <c r="H36" s="2" t="s">
        <v>64</v>
      </c>
      <c r="I36" s="2">
        <v>6022</v>
      </c>
    </row>
    <row r="37" spans="1:9" ht="52.8" x14ac:dyDescent="0.25">
      <c r="A37" s="2" t="s">
        <v>6</v>
      </c>
      <c r="B37" t="s">
        <v>136</v>
      </c>
      <c r="C37" s="3" t="s">
        <v>32</v>
      </c>
      <c r="D37" s="3">
        <v>1.5</v>
      </c>
      <c r="E37" s="2" t="s">
        <v>104</v>
      </c>
      <c r="F37" s="2" t="s">
        <v>39</v>
      </c>
      <c r="G37" s="2">
        <v>12</v>
      </c>
      <c r="H37" s="2" t="s">
        <v>99</v>
      </c>
      <c r="I37" s="2">
        <v>6024</v>
      </c>
    </row>
    <row r="38" spans="1:9" ht="52.8" x14ac:dyDescent="0.25">
      <c r="A38" s="2" t="s">
        <v>6</v>
      </c>
      <c r="B38" t="s">
        <v>137</v>
      </c>
      <c r="C38" s="3" t="s">
        <v>18</v>
      </c>
      <c r="D38" s="3">
        <v>2.5</v>
      </c>
      <c r="E38" s="2" t="s">
        <v>54</v>
      </c>
      <c r="F38" s="2" t="s">
        <v>7</v>
      </c>
      <c r="G38" s="2">
        <v>7</v>
      </c>
      <c r="H38" s="2" t="s">
        <v>45</v>
      </c>
      <c r="I38" s="2">
        <f>VLOOKUP(H:H,[1]Items!$A:$B,2,)</f>
        <v>238</v>
      </c>
    </row>
    <row r="39" spans="1:9" ht="66" x14ac:dyDescent="0.25">
      <c r="A39" s="2" t="s">
        <v>6</v>
      </c>
      <c r="B39" t="s">
        <v>137</v>
      </c>
      <c r="C39" s="3" t="s">
        <v>18</v>
      </c>
      <c r="D39" s="3">
        <v>2.5</v>
      </c>
      <c r="E39" s="2" t="s">
        <v>89</v>
      </c>
      <c r="F39" s="2" t="s">
        <v>39</v>
      </c>
      <c r="G39" s="2">
        <v>12</v>
      </c>
      <c r="H39" s="2" t="s">
        <v>80</v>
      </c>
      <c r="I39" s="2">
        <f>VLOOKUP(H:H,[1]Items!$A:$B,2,)</f>
        <v>328</v>
      </c>
    </row>
    <row r="40" spans="1:9" ht="52.8" x14ac:dyDescent="0.25">
      <c r="A40" s="2" t="s">
        <v>6</v>
      </c>
      <c r="B40" t="s">
        <v>138</v>
      </c>
      <c r="C40" s="3" t="s">
        <v>17</v>
      </c>
      <c r="D40" s="3">
        <v>2.1666666666666665</v>
      </c>
      <c r="E40" s="2" t="s">
        <v>53</v>
      </c>
      <c r="F40" s="2" t="s">
        <v>7</v>
      </c>
      <c r="G40" s="2">
        <v>7</v>
      </c>
      <c r="H40" s="2" t="s">
        <v>50</v>
      </c>
      <c r="I40" s="2">
        <v>6021</v>
      </c>
    </row>
    <row r="41" spans="1:9" ht="66" x14ac:dyDescent="0.25">
      <c r="A41" s="2" t="s">
        <v>6</v>
      </c>
      <c r="B41" t="s">
        <v>138</v>
      </c>
      <c r="C41" s="3" t="s">
        <v>17</v>
      </c>
      <c r="D41" s="3">
        <v>2.1666666666666665</v>
      </c>
      <c r="E41" s="2" t="s">
        <v>88</v>
      </c>
      <c r="F41" s="2" t="s">
        <v>39</v>
      </c>
      <c r="G41" s="2">
        <v>12</v>
      </c>
      <c r="H41" s="2" t="s">
        <v>85</v>
      </c>
      <c r="I41" s="2">
        <v>6025</v>
      </c>
    </row>
    <row r="42" spans="1:9" ht="52.8" x14ac:dyDescent="0.25">
      <c r="A42" s="2" t="s">
        <v>6</v>
      </c>
      <c r="B42" t="s">
        <v>139</v>
      </c>
      <c r="C42" s="3" t="s">
        <v>16</v>
      </c>
      <c r="D42" s="3">
        <v>1.8333333333333333</v>
      </c>
      <c r="E42" s="2" t="s">
        <v>52</v>
      </c>
      <c r="F42" s="2" t="s">
        <v>7</v>
      </c>
      <c r="G42" s="2">
        <v>7</v>
      </c>
      <c r="H42" s="2" t="s">
        <v>43</v>
      </c>
      <c r="I42" s="2">
        <f>VLOOKUP(H:H,[1]Items!$A:$B,2,)</f>
        <v>242</v>
      </c>
    </row>
    <row r="43" spans="1:9" ht="66" x14ac:dyDescent="0.25">
      <c r="A43" s="2" t="s">
        <v>6</v>
      </c>
      <c r="B43" t="s">
        <v>139</v>
      </c>
      <c r="C43" s="3" t="s">
        <v>16</v>
      </c>
      <c r="D43" s="3">
        <v>1.8333333333333333</v>
      </c>
      <c r="E43" s="2" t="s">
        <v>87</v>
      </c>
      <c r="F43" s="2" t="s">
        <v>39</v>
      </c>
      <c r="G43" s="2">
        <v>12</v>
      </c>
      <c r="H43" s="2" t="s">
        <v>78</v>
      </c>
      <c r="I43" s="2">
        <f>VLOOKUP(H:H,[1]Items!$A:$B,2,)</f>
        <v>244</v>
      </c>
    </row>
    <row r="44" spans="1:9" ht="52.8" x14ac:dyDescent="0.25">
      <c r="A44" s="2" t="s">
        <v>6</v>
      </c>
      <c r="B44" t="s">
        <v>140</v>
      </c>
      <c r="C44" s="3" t="s">
        <v>21</v>
      </c>
      <c r="D44" s="3">
        <v>2.5</v>
      </c>
      <c r="E44" s="2" t="s">
        <v>57</v>
      </c>
      <c r="F44" s="2" t="s">
        <v>7</v>
      </c>
      <c r="G44" s="2">
        <v>7</v>
      </c>
      <c r="H44" s="2" t="s">
        <v>45</v>
      </c>
      <c r="I44" s="2">
        <f>VLOOKUP(H:H,[1]Items!$A:$B,2,)</f>
        <v>238</v>
      </c>
    </row>
    <row r="45" spans="1:9" ht="66" x14ac:dyDescent="0.25">
      <c r="A45" s="2" t="s">
        <v>6</v>
      </c>
      <c r="B45" t="s">
        <v>140</v>
      </c>
      <c r="C45" s="3" t="s">
        <v>21</v>
      </c>
      <c r="D45" s="3">
        <v>2.5</v>
      </c>
      <c r="E45" s="2" t="s">
        <v>92</v>
      </c>
      <c r="F45" s="2" t="s">
        <v>39</v>
      </c>
      <c r="G45" s="2">
        <v>12</v>
      </c>
      <c r="H45" s="2" t="s">
        <v>80</v>
      </c>
      <c r="I45" s="2">
        <f>VLOOKUP(H:H,[1]Items!$A:$B,2,)</f>
        <v>328</v>
      </c>
    </row>
    <row r="46" spans="1:9" ht="52.8" x14ac:dyDescent="0.25">
      <c r="A46" s="2" t="s">
        <v>6</v>
      </c>
      <c r="B46" t="s">
        <v>141</v>
      </c>
      <c r="C46" s="3" t="s">
        <v>20</v>
      </c>
      <c r="D46" s="3">
        <v>2.1666666666666665</v>
      </c>
      <c r="E46" s="2" t="s">
        <v>56</v>
      </c>
      <c r="F46" s="2" t="s">
        <v>7</v>
      </c>
      <c r="G46" s="2">
        <v>7</v>
      </c>
      <c r="H46" s="2" t="s">
        <v>50</v>
      </c>
      <c r="I46" s="2">
        <v>6021</v>
      </c>
    </row>
    <row r="47" spans="1:9" ht="66" x14ac:dyDescent="0.25">
      <c r="A47" s="2" t="s">
        <v>6</v>
      </c>
      <c r="B47" t="s">
        <v>141</v>
      </c>
      <c r="C47" s="3" t="s">
        <v>20</v>
      </c>
      <c r="D47" s="3">
        <v>2.1666666666666665</v>
      </c>
      <c r="E47" s="2" t="s">
        <v>91</v>
      </c>
      <c r="F47" s="2" t="s">
        <v>39</v>
      </c>
      <c r="G47" s="2">
        <v>12</v>
      </c>
      <c r="H47" s="2" t="s">
        <v>85</v>
      </c>
      <c r="I47" s="2">
        <v>6025</v>
      </c>
    </row>
    <row r="48" spans="1:9" ht="52.8" x14ac:dyDescent="0.25">
      <c r="A48" s="2" t="s">
        <v>6</v>
      </c>
      <c r="B48" t="s">
        <v>142</v>
      </c>
      <c r="C48" s="3" t="s">
        <v>19</v>
      </c>
      <c r="D48" s="3">
        <v>1.8333333333333333</v>
      </c>
      <c r="E48" s="2" t="s">
        <v>55</v>
      </c>
      <c r="F48" s="2" t="s">
        <v>7</v>
      </c>
      <c r="G48" s="2">
        <v>7</v>
      </c>
      <c r="H48" s="2" t="s">
        <v>43</v>
      </c>
      <c r="I48" s="2">
        <f>VLOOKUP(H:H,[1]Items!$A:$B,2,)</f>
        <v>242</v>
      </c>
    </row>
    <row r="49" spans="1:9" ht="66" x14ac:dyDescent="0.25">
      <c r="A49" s="2" t="s">
        <v>6</v>
      </c>
      <c r="B49" t="s">
        <v>142</v>
      </c>
      <c r="C49" s="3" t="s">
        <v>19</v>
      </c>
      <c r="D49" s="3">
        <v>1.8333333333333333</v>
      </c>
      <c r="E49" s="2" t="s">
        <v>90</v>
      </c>
      <c r="F49" s="2" t="s">
        <v>39</v>
      </c>
      <c r="G49" s="2">
        <v>12</v>
      </c>
      <c r="H49" s="2" t="s">
        <v>78</v>
      </c>
      <c r="I49" s="2">
        <f>VLOOKUP(H:H,[1]Items!$A:$B,2,)</f>
        <v>244</v>
      </c>
    </row>
    <row r="50" spans="1:9" ht="66" x14ac:dyDescent="0.25">
      <c r="A50" s="2" t="s">
        <v>6</v>
      </c>
      <c r="B50" t="s">
        <v>143</v>
      </c>
      <c r="C50" s="3" t="s">
        <v>37</v>
      </c>
      <c r="D50" s="3">
        <v>1.3333333333333333</v>
      </c>
      <c r="E50" s="2" t="s">
        <v>75</v>
      </c>
      <c r="F50" s="2" t="s">
        <v>7</v>
      </c>
      <c r="G50" s="2">
        <v>7</v>
      </c>
      <c r="H50" s="2" t="s">
        <v>71</v>
      </c>
      <c r="I50" s="2">
        <v>6023</v>
      </c>
    </row>
    <row r="51" spans="1:9" ht="66" x14ac:dyDescent="0.25">
      <c r="A51" s="2" t="s">
        <v>6</v>
      </c>
      <c r="B51" t="s">
        <v>143</v>
      </c>
      <c r="C51" s="3" t="s">
        <v>37</v>
      </c>
      <c r="D51" s="3">
        <v>1.3333333333333333</v>
      </c>
      <c r="E51" s="2" t="s">
        <v>110</v>
      </c>
      <c r="F51" s="2" t="s">
        <v>39</v>
      </c>
      <c r="G51" s="2">
        <v>12</v>
      </c>
      <c r="H51" s="2" t="s">
        <v>106</v>
      </c>
      <c r="I51" s="2">
        <v>6027</v>
      </c>
    </row>
    <row r="52" spans="1:9" ht="52.8" x14ac:dyDescent="0.25">
      <c r="A52" s="2" t="s">
        <v>6</v>
      </c>
      <c r="B52" t="s">
        <v>144</v>
      </c>
      <c r="C52" s="3" t="s">
        <v>24</v>
      </c>
      <c r="D52" s="3">
        <v>2.5</v>
      </c>
      <c r="E52" s="2" t="s">
        <v>60</v>
      </c>
      <c r="F52" s="2" t="s">
        <v>7</v>
      </c>
      <c r="G52" s="2">
        <v>7</v>
      </c>
      <c r="H52" s="2" t="s">
        <v>45</v>
      </c>
      <c r="I52" s="2">
        <f>VLOOKUP(H:H,[1]Items!$A:$B,2,)</f>
        <v>238</v>
      </c>
    </row>
    <row r="53" spans="1:9" ht="66" x14ac:dyDescent="0.25">
      <c r="A53" s="2" t="s">
        <v>6</v>
      </c>
      <c r="B53" t="s">
        <v>144</v>
      </c>
      <c r="C53" s="3" t="s">
        <v>24</v>
      </c>
      <c r="D53" s="3">
        <v>2.5</v>
      </c>
      <c r="E53" s="2" t="s">
        <v>95</v>
      </c>
      <c r="F53" s="2" t="s">
        <v>39</v>
      </c>
      <c r="G53" s="2">
        <v>12</v>
      </c>
      <c r="H53" s="2" t="s">
        <v>80</v>
      </c>
      <c r="I53" s="2">
        <f>VLOOKUP(H:H,[1]Items!$A:$B,2,)</f>
        <v>328</v>
      </c>
    </row>
    <row r="54" spans="1:9" ht="52.8" x14ac:dyDescent="0.25">
      <c r="A54" s="2" t="s">
        <v>6</v>
      </c>
      <c r="B54" t="s">
        <v>145</v>
      </c>
      <c r="C54" s="3" t="s">
        <v>23</v>
      </c>
      <c r="D54" s="3">
        <v>2.1666666666666665</v>
      </c>
      <c r="E54" s="2" t="s">
        <v>59</v>
      </c>
      <c r="F54" s="2" t="s">
        <v>7</v>
      </c>
      <c r="G54" s="2">
        <v>7</v>
      </c>
      <c r="H54" s="2" t="s">
        <v>50</v>
      </c>
      <c r="I54" s="2">
        <v>6021</v>
      </c>
    </row>
    <row r="55" spans="1:9" ht="66" x14ac:dyDescent="0.25">
      <c r="A55" s="2" t="s">
        <v>6</v>
      </c>
      <c r="B55" t="s">
        <v>145</v>
      </c>
      <c r="C55" s="3" t="s">
        <v>23</v>
      </c>
      <c r="D55" s="3">
        <v>2.1666666666666665</v>
      </c>
      <c r="E55" s="2" t="s">
        <v>94</v>
      </c>
      <c r="F55" s="2" t="s">
        <v>39</v>
      </c>
      <c r="G55" s="2">
        <v>12</v>
      </c>
      <c r="H55" s="2" t="s">
        <v>85</v>
      </c>
      <c r="I55" s="2">
        <v>6025</v>
      </c>
    </row>
    <row r="56" spans="1:9" ht="52.8" x14ac:dyDescent="0.25">
      <c r="A56" s="2" t="s">
        <v>6</v>
      </c>
      <c r="B56" t="s">
        <v>146</v>
      </c>
      <c r="C56" s="3" t="s">
        <v>22</v>
      </c>
      <c r="D56" s="3">
        <v>1.8333333333333333</v>
      </c>
      <c r="E56" s="2" t="s">
        <v>58</v>
      </c>
      <c r="F56" s="2" t="s">
        <v>7</v>
      </c>
      <c r="G56" s="2">
        <v>7</v>
      </c>
      <c r="H56" s="2" t="s">
        <v>43</v>
      </c>
      <c r="I56" s="2">
        <f>VLOOKUP(H:H,[1]Items!$A:$B,2,)</f>
        <v>242</v>
      </c>
    </row>
    <row r="57" spans="1:9" ht="66" x14ac:dyDescent="0.25">
      <c r="A57" s="2" t="s">
        <v>6</v>
      </c>
      <c r="B57" t="s">
        <v>146</v>
      </c>
      <c r="C57" s="3" t="s">
        <v>22</v>
      </c>
      <c r="D57" s="3">
        <v>1.8333333333333333</v>
      </c>
      <c r="E57" s="2" t="s">
        <v>93</v>
      </c>
      <c r="F57" s="2" t="s">
        <v>39</v>
      </c>
      <c r="G57" s="2">
        <v>12</v>
      </c>
      <c r="H57" s="2" t="s">
        <v>78</v>
      </c>
      <c r="I57" s="2">
        <f>VLOOKUP(H:H,[1]Items!$A:$B,2,)</f>
        <v>244</v>
      </c>
    </row>
    <row r="58" spans="1:9" ht="66" x14ac:dyDescent="0.25">
      <c r="A58" s="2" t="s">
        <v>6</v>
      </c>
      <c r="B58" t="s">
        <v>147</v>
      </c>
      <c r="C58" s="3" t="s">
        <v>40</v>
      </c>
      <c r="D58" s="3">
        <v>1.3333333333333333</v>
      </c>
      <c r="E58" s="2" t="s">
        <v>112</v>
      </c>
      <c r="F58" s="2" t="s">
        <v>7</v>
      </c>
      <c r="G58" s="2">
        <v>7</v>
      </c>
      <c r="H58" s="2" t="s">
        <v>71</v>
      </c>
      <c r="I58" s="2">
        <v>6023</v>
      </c>
    </row>
    <row r="59" spans="1:9" ht="66" x14ac:dyDescent="0.25">
      <c r="A59" s="2" t="s">
        <v>6</v>
      </c>
      <c r="B59" t="s">
        <v>147</v>
      </c>
      <c r="C59" s="3" t="s">
        <v>40</v>
      </c>
      <c r="D59" s="3">
        <v>1.3333333333333333</v>
      </c>
      <c r="E59" s="2" t="s">
        <v>113</v>
      </c>
      <c r="F59" s="2" t="s">
        <v>39</v>
      </c>
      <c r="H59" s="2" t="s">
        <v>106</v>
      </c>
      <c r="I59" s="2">
        <v>6027</v>
      </c>
    </row>
    <row r="60" spans="1:9" ht="66" x14ac:dyDescent="0.25">
      <c r="A60" s="2" t="s">
        <v>6</v>
      </c>
      <c r="B60" t="s">
        <v>148</v>
      </c>
      <c r="C60" s="3" t="s">
        <v>34</v>
      </c>
      <c r="D60" s="3">
        <v>1.3333333333333333</v>
      </c>
      <c r="E60" s="2" t="s">
        <v>72</v>
      </c>
      <c r="F60" s="2" t="s">
        <v>7</v>
      </c>
      <c r="G60" s="2">
        <v>7</v>
      </c>
      <c r="H60" s="2" t="s">
        <v>71</v>
      </c>
      <c r="I60" s="2">
        <v>6023</v>
      </c>
    </row>
    <row r="61" spans="1:9" ht="66" x14ac:dyDescent="0.25">
      <c r="A61" s="2" t="s">
        <v>6</v>
      </c>
      <c r="B61" t="s">
        <v>148</v>
      </c>
      <c r="C61" s="3" t="s">
        <v>34</v>
      </c>
      <c r="D61" s="3">
        <v>1.3333333333333333</v>
      </c>
      <c r="E61" s="2" t="s">
        <v>107</v>
      </c>
      <c r="F61" s="2" t="s">
        <v>39</v>
      </c>
      <c r="G61" s="2">
        <v>12</v>
      </c>
      <c r="H61" s="2" t="s">
        <v>106</v>
      </c>
      <c r="I61" s="2">
        <v>6027</v>
      </c>
    </row>
    <row r="62" spans="1:9" ht="52.8" x14ac:dyDescent="0.25">
      <c r="A62" s="2" t="s">
        <v>6</v>
      </c>
      <c r="B62" t="s">
        <v>149</v>
      </c>
      <c r="C62" s="3" t="s">
        <v>41</v>
      </c>
      <c r="D62" s="3">
        <v>1.3333333333333333</v>
      </c>
      <c r="E62" s="2" t="s">
        <v>114</v>
      </c>
      <c r="F62" s="2" t="s">
        <v>7</v>
      </c>
      <c r="G62" s="2">
        <v>7</v>
      </c>
      <c r="H62" s="2" t="s">
        <v>71</v>
      </c>
      <c r="I62" s="2">
        <v>6023</v>
      </c>
    </row>
    <row r="63" spans="1:9" ht="52.8" x14ac:dyDescent="0.25">
      <c r="A63" s="2" t="s">
        <v>6</v>
      </c>
      <c r="B63" t="s">
        <v>149</v>
      </c>
      <c r="C63" s="3" t="s">
        <v>41</v>
      </c>
      <c r="D63" s="3">
        <v>1.3333333333333333</v>
      </c>
      <c r="E63" s="2" t="s">
        <v>115</v>
      </c>
      <c r="F63" s="2" t="s">
        <v>39</v>
      </c>
      <c r="H63" s="2" t="s">
        <v>106</v>
      </c>
      <c r="I63" s="2">
        <v>6027</v>
      </c>
    </row>
  </sheetData>
  <autoFilter ref="A1:I63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63"/>
  <sheetViews>
    <sheetView zoomScale="80" zoomScaleNormal="80" workbookViewId="0">
      <selection activeCell="D8" sqref="D8"/>
    </sheetView>
  </sheetViews>
  <sheetFormatPr defaultColWidth="9.21875" defaultRowHeight="13.2" x14ac:dyDescent="0.25"/>
  <cols>
    <col min="1" max="1" width="32.77734375" style="2" customWidth="1"/>
    <col min="2" max="3" width="31.21875" style="3" customWidth="1"/>
    <col min="4" max="4" width="32.77734375" style="2" customWidth="1"/>
    <col min="5" max="16384" width="9.21875" style="3"/>
  </cols>
  <sheetData>
    <row r="1" spans="1:4" s="1" customFormat="1" x14ac:dyDescent="0.25">
      <c r="A1" s="4" t="s">
        <v>118</v>
      </c>
      <c r="B1" s="4" t="s">
        <v>1</v>
      </c>
      <c r="C1" s="6" t="s">
        <v>2</v>
      </c>
      <c r="D1" s="5" t="s">
        <v>3</v>
      </c>
    </row>
    <row r="2" spans="1:4" ht="52.8" x14ac:dyDescent="0.25">
      <c r="A2" t="s">
        <v>119</v>
      </c>
      <c r="B2" s="3" t="s">
        <v>15</v>
      </c>
      <c r="C2" s="3">
        <v>2.5</v>
      </c>
      <c r="D2" s="2" t="s">
        <v>51</v>
      </c>
    </row>
    <row r="3" spans="1:4" ht="66" hidden="1" x14ac:dyDescent="0.25">
      <c r="A3" t="s">
        <v>119</v>
      </c>
      <c r="B3" s="3" t="s">
        <v>15</v>
      </c>
      <c r="C3" s="3">
        <v>2.5</v>
      </c>
      <c r="D3" s="2" t="s">
        <v>86</v>
      </c>
    </row>
    <row r="4" spans="1:4" ht="52.8" x14ac:dyDescent="0.25">
      <c r="A4" t="s">
        <v>120</v>
      </c>
      <c r="B4" s="3" t="s">
        <v>14</v>
      </c>
      <c r="C4" s="3">
        <v>2.1666666666666665</v>
      </c>
      <c r="D4" s="2" t="s">
        <v>49</v>
      </c>
    </row>
    <row r="5" spans="1:4" ht="66" hidden="1" x14ac:dyDescent="0.25">
      <c r="A5" t="s">
        <v>120</v>
      </c>
      <c r="B5" s="3" t="s">
        <v>14</v>
      </c>
      <c r="C5" s="3">
        <v>2.1666666666666665</v>
      </c>
      <c r="D5" s="2" t="s">
        <v>84</v>
      </c>
    </row>
    <row r="6" spans="1:4" ht="52.8" x14ac:dyDescent="0.25">
      <c r="A6" t="s">
        <v>121</v>
      </c>
      <c r="B6" s="3" t="s">
        <v>13</v>
      </c>
      <c r="C6" s="3">
        <v>1.8333333333333333</v>
      </c>
      <c r="D6" s="2" t="s">
        <v>48</v>
      </c>
    </row>
    <row r="7" spans="1:4" ht="66" hidden="1" x14ac:dyDescent="0.25">
      <c r="A7" t="s">
        <v>121</v>
      </c>
      <c r="B7" s="3" t="s">
        <v>13</v>
      </c>
      <c r="C7" s="3">
        <v>1.8333333333333333</v>
      </c>
      <c r="D7" s="2" t="s">
        <v>83</v>
      </c>
    </row>
    <row r="8" spans="1:4" ht="52.8" x14ac:dyDescent="0.25">
      <c r="A8" t="s">
        <v>122</v>
      </c>
      <c r="B8" s="3" t="s">
        <v>27</v>
      </c>
      <c r="C8" s="3">
        <v>1.5</v>
      </c>
      <c r="D8" s="2" t="s">
        <v>63</v>
      </c>
    </row>
    <row r="9" spans="1:4" ht="52.8" hidden="1" x14ac:dyDescent="0.25">
      <c r="A9" t="s">
        <v>122</v>
      </c>
      <c r="B9" s="3" t="s">
        <v>27</v>
      </c>
      <c r="C9" s="3">
        <v>1.5</v>
      </c>
      <c r="D9" s="2" t="s">
        <v>98</v>
      </c>
    </row>
    <row r="10" spans="1:4" ht="66" x14ac:dyDescent="0.25">
      <c r="A10" t="s">
        <v>123</v>
      </c>
      <c r="B10" s="3" t="s">
        <v>28</v>
      </c>
      <c r="C10" s="3">
        <v>1.5</v>
      </c>
      <c r="D10" s="2" t="s">
        <v>65</v>
      </c>
    </row>
    <row r="11" spans="1:4" ht="66" hidden="1" x14ac:dyDescent="0.25">
      <c r="A11" t="s">
        <v>123</v>
      </c>
      <c r="B11" s="3" t="s">
        <v>28</v>
      </c>
      <c r="C11" s="3">
        <v>1.5</v>
      </c>
      <c r="D11" s="2" t="s">
        <v>100</v>
      </c>
    </row>
    <row r="12" spans="1:4" ht="52.8" x14ac:dyDescent="0.25">
      <c r="A12" t="s">
        <v>124</v>
      </c>
      <c r="B12" s="3" t="s">
        <v>26</v>
      </c>
      <c r="C12" s="3">
        <v>2.1666666666666665</v>
      </c>
      <c r="D12" s="2" t="s">
        <v>62</v>
      </c>
    </row>
    <row r="13" spans="1:4" ht="66" hidden="1" x14ac:dyDescent="0.25">
      <c r="A13" t="s">
        <v>124</v>
      </c>
      <c r="B13" s="3" t="s">
        <v>26</v>
      </c>
      <c r="C13" s="3">
        <v>2.1666666666666665</v>
      </c>
      <c r="D13" s="2" t="s">
        <v>97</v>
      </c>
    </row>
    <row r="14" spans="1:4" ht="52.8" x14ac:dyDescent="0.25">
      <c r="A14" t="s">
        <v>125</v>
      </c>
      <c r="B14" s="3" t="s">
        <v>29</v>
      </c>
      <c r="C14" s="3">
        <v>1.5</v>
      </c>
      <c r="D14" s="2" t="s">
        <v>66</v>
      </c>
    </row>
    <row r="15" spans="1:4" ht="52.8" hidden="1" x14ac:dyDescent="0.25">
      <c r="A15" t="s">
        <v>125</v>
      </c>
      <c r="B15" s="3" t="s">
        <v>29</v>
      </c>
      <c r="C15" s="3">
        <v>1.5</v>
      </c>
      <c r="D15" s="2" t="s">
        <v>101</v>
      </c>
    </row>
    <row r="16" spans="1:4" ht="52.8" x14ac:dyDescent="0.25">
      <c r="A16" t="s">
        <v>126</v>
      </c>
      <c r="B16" s="3" t="s">
        <v>30</v>
      </c>
      <c r="C16" s="3">
        <v>1.5</v>
      </c>
      <c r="D16" s="2" t="s">
        <v>67</v>
      </c>
    </row>
    <row r="17" spans="1:4" ht="52.8" hidden="1" x14ac:dyDescent="0.25">
      <c r="A17" t="s">
        <v>126</v>
      </c>
      <c r="B17" s="3" t="s">
        <v>30</v>
      </c>
      <c r="C17" s="3">
        <v>1.5</v>
      </c>
      <c r="D17" s="2" t="s">
        <v>102</v>
      </c>
    </row>
    <row r="18" spans="1:4" ht="52.8" x14ac:dyDescent="0.25">
      <c r="A18" t="s">
        <v>127</v>
      </c>
      <c r="B18" s="3" t="s">
        <v>31</v>
      </c>
      <c r="C18" s="3">
        <v>1.5</v>
      </c>
      <c r="D18" s="2" t="s">
        <v>68</v>
      </c>
    </row>
    <row r="19" spans="1:4" ht="52.8" hidden="1" x14ac:dyDescent="0.25">
      <c r="A19" t="s">
        <v>127</v>
      </c>
      <c r="B19" s="3" t="s">
        <v>31</v>
      </c>
      <c r="C19" s="3">
        <v>1.5</v>
      </c>
      <c r="D19" s="2" t="s">
        <v>103</v>
      </c>
    </row>
    <row r="20" spans="1:4" ht="52.8" x14ac:dyDescent="0.25">
      <c r="A20" t="s">
        <v>128</v>
      </c>
      <c r="B20" s="3" t="s">
        <v>33</v>
      </c>
      <c r="C20" s="3">
        <v>1.3333333333333333</v>
      </c>
      <c r="D20" s="2" t="s">
        <v>70</v>
      </c>
    </row>
    <row r="21" spans="1:4" ht="66" hidden="1" x14ac:dyDescent="0.25">
      <c r="A21" t="s">
        <v>128</v>
      </c>
      <c r="B21" s="3" t="s">
        <v>33</v>
      </c>
      <c r="C21" s="3">
        <v>1.3333333333333333</v>
      </c>
      <c r="D21" s="2" t="s">
        <v>105</v>
      </c>
    </row>
    <row r="22" spans="1:4" ht="52.8" x14ac:dyDescent="0.25">
      <c r="A22" t="s">
        <v>129</v>
      </c>
      <c r="B22" s="3" t="s">
        <v>12</v>
      </c>
      <c r="C22" s="3">
        <v>3.3333333333333335</v>
      </c>
      <c r="D22" s="2" t="s">
        <v>46</v>
      </c>
    </row>
    <row r="23" spans="1:4" ht="66" hidden="1" x14ac:dyDescent="0.25">
      <c r="A23" t="s">
        <v>129</v>
      </c>
      <c r="B23" s="3" t="s">
        <v>12</v>
      </c>
      <c r="C23" s="3">
        <v>3.3333333333333335</v>
      </c>
      <c r="D23" s="2" t="s">
        <v>81</v>
      </c>
    </row>
    <row r="24" spans="1:4" ht="52.8" x14ac:dyDescent="0.25">
      <c r="A24" t="s">
        <v>130</v>
      </c>
      <c r="B24" s="3" t="s">
        <v>11</v>
      </c>
      <c r="C24" s="3">
        <v>2.5</v>
      </c>
      <c r="D24" s="2" t="s">
        <v>44</v>
      </c>
    </row>
    <row r="25" spans="1:4" ht="66" hidden="1" x14ac:dyDescent="0.25">
      <c r="A25" t="s">
        <v>130</v>
      </c>
      <c r="B25" s="3" t="s">
        <v>11</v>
      </c>
      <c r="C25" s="3">
        <v>2.5</v>
      </c>
      <c r="D25" s="2" t="s">
        <v>79</v>
      </c>
    </row>
    <row r="26" spans="1:4" ht="52.8" x14ac:dyDescent="0.25">
      <c r="A26" t="s">
        <v>131</v>
      </c>
      <c r="B26" s="3" t="s">
        <v>10</v>
      </c>
      <c r="C26" s="3">
        <v>1.8333333333333333</v>
      </c>
      <c r="D26" s="2" t="s">
        <v>42</v>
      </c>
    </row>
    <row r="27" spans="1:4" ht="66" hidden="1" x14ac:dyDescent="0.25">
      <c r="A27" t="s">
        <v>131</v>
      </c>
      <c r="B27" s="3" t="s">
        <v>10</v>
      </c>
      <c r="C27" s="3">
        <v>1.8333333333333333</v>
      </c>
      <c r="D27" s="2" t="s">
        <v>77</v>
      </c>
    </row>
    <row r="28" spans="1:4" ht="52.8" x14ac:dyDescent="0.25">
      <c r="A28" t="s">
        <v>132</v>
      </c>
      <c r="B28" s="3" t="s">
        <v>25</v>
      </c>
      <c r="C28" s="3">
        <v>2.1666666666666665</v>
      </c>
      <c r="D28" s="2" t="s">
        <v>61</v>
      </c>
    </row>
    <row r="29" spans="1:4" ht="66" hidden="1" x14ac:dyDescent="0.25">
      <c r="A29" t="s">
        <v>132</v>
      </c>
      <c r="B29" s="3" t="s">
        <v>25</v>
      </c>
      <c r="C29" s="3">
        <v>2.1666666666666665</v>
      </c>
      <c r="D29" s="2" t="s">
        <v>96</v>
      </c>
    </row>
    <row r="30" spans="1:4" ht="52.8" x14ac:dyDescent="0.25">
      <c r="A30" t="s">
        <v>133</v>
      </c>
      <c r="B30" s="3" t="s">
        <v>36</v>
      </c>
      <c r="C30" s="3">
        <v>3.3333333333333335</v>
      </c>
      <c r="D30" s="2" t="s">
        <v>74</v>
      </c>
    </row>
    <row r="31" spans="1:4" ht="66" hidden="1" x14ac:dyDescent="0.25">
      <c r="A31" t="s">
        <v>133</v>
      </c>
      <c r="B31" s="3" t="s">
        <v>36</v>
      </c>
      <c r="C31" s="3">
        <v>3.3333333333333335</v>
      </c>
      <c r="D31" s="2" t="s">
        <v>109</v>
      </c>
    </row>
    <row r="32" spans="1:4" ht="66" x14ac:dyDescent="0.25">
      <c r="A32" t="s">
        <v>134</v>
      </c>
      <c r="B32" s="3" t="s">
        <v>38</v>
      </c>
      <c r="C32" s="3">
        <v>3.3333333333333335</v>
      </c>
      <c r="D32" s="2" t="s">
        <v>76</v>
      </c>
    </row>
    <row r="33" spans="1:4" ht="66" hidden="1" x14ac:dyDescent="0.25">
      <c r="A33" t="s">
        <v>134</v>
      </c>
      <c r="B33" s="3" t="s">
        <v>38</v>
      </c>
      <c r="C33" s="3">
        <v>3.3333333333333335</v>
      </c>
      <c r="D33" s="2" t="s">
        <v>111</v>
      </c>
    </row>
    <row r="34" spans="1:4" ht="52.8" x14ac:dyDescent="0.25">
      <c r="A34" t="s">
        <v>135</v>
      </c>
      <c r="B34" s="3" t="s">
        <v>35</v>
      </c>
      <c r="C34" s="3">
        <v>1.3333333333333333</v>
      </c>
      <c r="D34" s="2" t="s">
        <v>73</v>
      </c>
    </row>
    <row r="35" spans="1:4" ht="52.8" hidden="1" x14ac:dyDescent="0.25">
      <c r="A35" t="s">
        <v>135</v>
      </c>
      <c r="B35" s="3" t="s">
        <v>35</v>
      </c>
      <c r="C35" s="3">
        <v>1.3333333333333333</v>
      </c>
      <c r="D35" s="2" t="s">
        <v>108</v>
      </c>
    </row>
    <row r="36" spans="1:4" ht="52.8" x14ac:dyDescent="0.25">
      <c r="A36" t="s">
        <v>136</v>
      </c>
      <c r="B36" s="3" t="s">
        <v>32</v>
      </c>
      <c r="C36" s="3">
        <v>1.5</v>
      </c>
      <c r="D36" s="2" t="s">
        <v>69</v>
      </c>
    </row>
    <row r="37" spans="1:4" ht="52.8" hidden="1" x14ac:dyDescent="0.25">
      <c r="A37" t="s">
        <v>136</v>
      </c>
      <c r="B37" s="3" t="s">
        <v>32</v>
      </c>
      <c r="C37" s="3">
        <v>1.5</v>
      </c>
      <c r="D37" s="2" t="s">
        <v>104</v>
      </c>
    </row>
    <row r="38" spans="1:4" ht="52.8" x14ac:dyDescent="0.25">
      <c r="A38" t="s">
        <v>137</v>
      </c>
      <c r="B38" s="3" t="s">
        <v>18</v>
      </c>
      <c r="C38" s="3">
        <v>2.5</v>
      </c>
      <c r="D38" s="2" t="s">
        <v>54</v>
      </c>
    </row>
    <row r="39" spans="1:4" ht="66" hidden="1" x14ac:dyDescent="0.25">
      <c r="A39" t="s">
        <v>137</v>
      </c>
      <c r="B39" s="3" t="s">
        <v>18</v>
      </c>
      <c r="C39" s="3">
        <v>2.5</v>
      </c>
      <c r="D39" s="2" t="s">
        <v>89</v>
      </c>
    </row>
    <row r="40" spans="1:4" ht="52.8" x14ac:dyDescent="0.25">
      <c r="A40" t="s">
        <v>138</v>
      </c>
      <c r="B40" s="3" t="s">
        <v>17</v>
      </c>
      <c r="C40" s="3">
        <v>2.1666666666666665</v>
      </c>
      <c r="D40" s="2" t="s">
        <v>53</v>
      </c>
    </row>
    <row r="41" spans="1:4" ht="66" hidden="1" x14ac:dyDescent="0.25">
      <c r="A41" t="s">
        <v>138</v>
      </c>
      <c r="B41" s="3" t="s">
        <v>17</v>
      </c>
      <c r="C41" s="3">
        <v>2.1666666666666665</v>
      </c>
      <c r="D41" s="2" t="s">
        <v>88</v>
      </c>
    </row>
    <row r="42" spans="1:4" ht="52.8" x14ac:dyDescent="0.25">
      <c r="A42" t="s">
        <v>139</v>
      </c>
      <c r="B42" s="3" t="s">
        <v>16</v>
      </c>
      <c r="C42" s="3">
        <v>1.8333333333333333</v>
      </c>
      <c r="D42" s="2" t="s">
        <v>52</v>
      </c>
    </row>
    <row r="43" spans="1:4" ht="66" hidden="1" x14ac:dyDescent="0.25">
      <c r="A43" t="s">
        <v>139</v>
      </c>
      <c r="B43" s="3" t="s">
        <v>16</v>
      </c>
      <c r="C43" s="3">
        <v>1.8333333333333333</v>
      </c>
      <c r="D43" s="2" t="s">
        <v>87</v>
      </c>
    </row>
    <row r="44" spans="1:4" ht="52.8" x14ac:dyDescent="0.25">
      <c r="A44" t="s">
        <v>140</v>
      </c>
      <c r="B44" s="3" t="s">
        <v>21</v>
      </c>
      <c r="C44" s="3">
        <v>2.5</v>
      </c>
      <c r="D44" s="2" t="s">
        <v>57</v>
      </c>
    </row>
    <row r="45" spans="1:4" ht="66" hidden="1" x14ac:dyDescent="0.25">
      <c r="A45" t="s">
        <v>140</v>
      </c>
      <c r="B45" s="3" t="s">
        <v>21</v>
      </c>
      <c r="C45" s="3">
        <v>2.5</v>
      </c>
      <c r="D45" s="2" t="s">
        <v>92</v>
      </c>
    </row>
    <row r="46" spans="1:4" ht="52.8" x14ac:dyDescent="0.25">
      <c r="A46" t="s">
        <v>141</v>
      </c>
      <c r="B46" s="3" t="s">
        <v>20</v>
      </c>
      <c r="C46" s="3">
        <v>2.1666666666666665</v>
      </c>
      <c r="D46" s="2" t="s">
        <v>56</v>
      </c>
    </row>
    <row r="47" spans="1:4" ht="66" hidden="1" x14ac:dyDescent="0.25">
      <c r="A47" t="s">
        <v>141</v>
      </c>
      <c r="B47" s="3" t="s">
        <v>20</v>
      </c>
      <c r="C47" s="3">
        <v>2.1666666666666665</v>
      </c>
      <c r="D47" s="2" t="s">
        <v>91</v>
      </c>
    </row>
    <row r="48" spans="1:4" ht="52.8" x14ac:dyDescent="0.25">
      <c r="A48" t="s">
        <v>142</v>
      </c>
      <c r="B48" s="3" t="s">
        <v>19</v>
      </c>
      <c r="C48" s="3">
        <v>1.8333333333333333</v>
      </c>
      <c r="D48" s="2" t="s">
        <v>55</v>
      </c>
    </row>
    <row r="49" spans="1:4" ht="66" hidden="1" x14ac:dyDescent="0.25">
      <c r="A49" t="s">
        <v>142</v>
      </c>
      <c r="B49" s="3" t="s">
        <v>19</v>
      </c>
      <c r="C49" s="3">
        <v>1.8333333333333333</v>
      </c>
      <c r="D49" s="2" t="s">
        <v>90</v>
      </c>
    </row>
    <row r="50" spans="1:4" ht="66" x14ac:dyDescent="0.25">
      <c r="A50" t="s">
        <v>143</v>
      </c>
      <c r="B50" s="3" t="s">
        <v>37</v>
      </c>
      <c r="C50" s="3">
        <v>1.3333333333333333</v>
      </c>
      <c r="D50" s="2" t="s">
        <v>75</v>
      </c>
    </row>
    <row r="51" spans="1:4" ht="66" hidden="1" x14ac:dyDescent="0.25">
      <c r="A51" t="s">
        <v>143</v>
      </c>
      <c r="B51" s="3" t="s">
        <v>37</v>
      </c>
      <c r="C51" s="3">
        <v>1.3333333333333333</v>
      </c>
      <c r="D51" s="2" t="s">
        <v>110</v>
      </c>
    </row>
    <row r="52" spans="1:4" ht="52.8" x14ac:dyDescent="0.25">
      <c r="A52" t="s">
        <v>144</v>
      </c>
      <c r="B52" s="3" t="s">
        <v>24</v>
      </c>
      <c r="C52" s="3">
        <v>2.5</v>
      </c>
      <c r="D52" s="2" t="s">
        <v>60</v>
      </c>
    </row>
    <row r="53" spans="1:4" ht="66" hidden="1" x14ac:dyDescent="0.25">
      <c r="A53" t="s">
        <v>144</v>
      </c>
      <c r="B53" s="3" t="s">
        <v>24</v>
      </c>
      <c r="C53" s="3">
        <v>2.5</v>
      </c>
      <c r="D53" s="2" t="s">
        <v>95</v>
      </c>
    </row>
    <row r="54" spans="1:4" ht="52.8" x14ac:dyDescent="0.25">
      <c r="A54" t="s">
        <v>145</v>
      </c>
      <c r="B54" s="3" t="s">
        <v>23</v>
      </c>
      <c r="C54" s="3">
        <v>2.1666666666666665</v>
      </c>
      <c r="D54" s="2" t="s">
        <v>59</v>
      </c>
    </row>
    <row r="55" spans="1:4" ht="66" hidden="1" x14ac:dyDescent="0.25">
      <c r="A55" t="s">
        <v>145</v>
      </c>
      <c r="B55" s="3" t="s">
        <v>23</v>
      </c>
      <c r="C55" s="3">
        <v>2.1666666666666665</v>
      </c>
      <c r="D55" s="2" t="s">
        <v>94</v>
      </c>
    </row>
    <row r="56" spans="1:4" ht="52.8" x14ac:dyDescent="0.25">
      <c r="A56" t="s">
        <v>146</v>
      </c>
      <c r="B56" s="3" t="s">
        <v>22</v>
      </c>
      <c r="C56" s="3">
        <v>1.8333333333333333</v>
      </c>
      <c r="D56" s="2" t="s">
        <v>58</v>
      </c>
    </row>
    <row r="57" spans="1:4" ht="66" hidden="1" x14ac:dyDescent="0.25">
      <c r="A57" t="s">
        <v>146</v>
      </c>
      <c r="B57" s="3" t="s">
        <v>22</v>
      </c>
      <c r="C57" s="3">
        <v>1.8333333333333333</v>
      </c>
      <c r="D57" s="2" t="s">
        <v>93</v>
      </c>
    </row>
    <row r="58" spans="1:4" ht="66" x14ac:dyDescent="0.25">
      <c r="A58" t="s">
        <v>147</v>
      </c>
      <c r="B58" s="3" t="s">
        <v>40</v>
      </c>
      <c r="C58" s="3">
        <v>1.3333333333333333</v>
      </c>
      <c r="D58" s="2" t="s">
        <v>112</v>
      </c>
    </row>
    <row r="59" spans="1:4" ht="66" hidden="1" x14ac:dyDescent="0.25">
      <c r="A59" t="s">
        <v>147</v>
      </c>
      <c r="B59" s="3" t="s">
        <v>40</v>
      </c>
      <c r="C59" s="3">
        <v>1.3333333333333333</v>
      </c>
      <c r="D59" s="2" t="s">
        <v>113</v>
      </c>
    </row>
    <row r="60" spans="1:4" ht="66" x14ac:dyDescent="0.25">
      <c r="A60" t="s">
        <v>148</v>
      </c>
      <c r="B60" s="3" t="s">
        <v>34</v>
      </c>
      <c r="C60" s="3">
        <v>1.3333333333333333</v>
      </c>
      <c r="D60" s="2" t="s">
        <v>72</v>
      </c>
    </row>
    <row r="61" spans="1:4" ht="66" hidden="1" x14ac:dyDescent="0.25">
      <c r="A61" t="s">
        <v>148</v>
      </c>
      <c r="B61" s="3" t="s">
        <v>34</v>
      </c>
      <c r="C61" s="3">
        <v>1.3333333333333333</v>
      </c>
      <c r="D61" s="2" t="s">
        <v>107</v>
      </c>
    </row>
    <row r="62" spans="1:4" ht="52.8" x14ac:dyDescent="0.25">
      <c r="A62" t="s">
        <v>149</v>
      </c>
      <c r="B62" s="3" t="s">
        <v>41</v>
      </c>
      <c r="C62" s="3">
        <v>1.3333333333333333</v>
      </c>
      <c r="D62" s="2" t="s">
        <v>114</v>
      </c>
    </row>
    <row r="63" spans="1:4" ht="52.8" hidden="1" x14ac:dyDescent="0.25">
      <c r="A63" t="s">
        <v>149</v>
      </c>
      <c r="B63" s="3" t="s">
        <v>41</v>
      </c>
      <c r="C63" s="3">
        <v>1.3333333333333333</v>
      </c>
      <c r="D63" s="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48" workbookViewId="0">
      <selection activeCell="B75" sqref="B75"/>
    </sheetView>
  </sheetViews>
  <sheetFormatPr defaultRowHeight="13.2" x14ac:dyDescent="0.25"/>
  <cols>
    <col min="1" max="3" width="32.77734375" style="2" customWidth="1"/>
  </cols>
  <sheetData>
    <row r="1" spans="1:3" x14ac:dyDescent="0.25">
      <c r="A1" s="4" t="s">
        <v>118</v>
      </c>
      <c r="B1" s="4" t="s">
        <v>117</v>
      </c>
      <c r="C1" s="4" t="s">
        <v>116</v>
      </c>
    </row>
    <row r="2" spans="1:3" x14ac:dyDescent="0.25">
      <c r="A2" t="s">
        <v>119</v>
      </c>
      <c r="B2" s="2">
        <v>7</v>
      </c>
      <c r="C2" s="2">
        <v>238</v>
      </c>
    </row>
    <row r="3" spans="1:3" x14ac:dyDescent="0.25">
      <c r="A3" t="s">
        <v>119</v>
      </c>
      <c r="B3" s="2">
        <v>12</v>
      </c>
      <c r="C3" s="2">
        <v>328</v>
      </c>
    </row>
    <row r="4" spans="1:3" x14ac:dyDescent="0.25">
      <c r="A4" t="s">
        <v>120</v>
      </c>
      <c r="B4" s="2">
        <v>7</v>
      </c>
      <c r="C4" s="2">
        <v>6021</v>
      </c>
    </row>
    <row r="5" spans="1:3" x14ac:dyDescent="0.25">
      <c r="A5" t="s">
        <v>120</v>
      </c>
      <c r="B5" s="2">
        <v>12</v>
      </c>
      <c r="C5" s="2">
        <v>6025</v>
      </c>
    </row>
    <row r="6" spans="1:3" x14ac:dyDescent="0.25">
      <c r="A6" t="s">
        <v>121</v>
      </c>
      <c r="B6" s="2">
        <v>7</v>
      </c>
      <c r="C6" s="2">
        <v>242</v>
      </c>
    </row>
    <row r="7" spans="1:3" x14ac:dyDescent="0.25">
      <c r="A7" t="s">
        <v>121</v>
      </c>
      <c r="B7" s="2">
        <v>12</v>
      </c>
      <c r="C7" s="2">
        <v>244</v>
      </c>
    </row>
    <row r="8" spans="1:3" x14ac:dyDescent="0.25">
      <c r="A8" t="s">
        <v>122</v>
      </c>
      <c r="B8" s="2">
        <v>7</v>
      </c>
      <c r="C8" s="2">
        <v>6022</v>
      </c>
    </row>
    <row r="9" spans="1:3" x14ac:dyDescent="0.25">
      <c r="A9" t="s">
        <v>122</v>
      </c>
      <c r="B9" s="2">
        <v>12</v>
      </c>
      <c r="C9" s="2">
        <v>6024</v>
      </c>
    </row>
    <row r="10" spans="1:3" x14ac:dyDescent="0.25">
      <c r="A10" t="s">
        <v>123</v>
      </c>
      <c r="B10" s="2">
        <v>7</v>
      </c>
      <c r="C10" s="2">
        <v>6022</v>
      </c>
    </row>
    <row r="11" spans="1:3" x14ac:dyDescent="0.25">
      <c r="A11" t="s">
        <v>123</v>
      </c>
      <c r="B11" s="2">
        <v>12</v>
      </c>
      <c r="C11" s="2">
        <v>6024</v>
      </c>
    </row>
    <row r="12" spans="1:3" x14ac:dyDescent="0.25">
      <c r="A12" t="s">
        <v>124</v>
      </c>
      <c r="B12" s="2">
        <v>7</v>
      </c>
      <c r="C12" s="2">
        <v>6021</v>
      </c>
    </row>
    <row r="13" spans="1:3" x14ac:dyDescent="0.25">
      <c r="A13" t="s">
        <v>124</v>
      </c>
      <c r="B13" s="2">
        <v>12</v>
      </c>
      <c r="C13" s="2">
        <v>6025</v>
      </c>
    </row>
    <row r="14" spans="1:3" x14ac:dyDescent="0.25">
      <c r="A14" t="s">
        <v>125</v>
      </c>
      <c r="B14" s="2">
        <v>7</v>
      </c>
      <c r="C14" s="2">
        <v>6022</v>
      </c>
    </row>
    <row r="15" spans="1:3" x14ac:dyDescent="0.25">
      <c r="A15" t="s">
        <v>125</v>
      </c>
      <c r="B15" s="2">
        <v>12</v>
      </c>
      <c r="C15" s="2">
        <v>6024</v>
      </c>
    </row>
    <row r="16" spans="1:3" x14ac:dyDescent="0.25">
      <c r="A16" t="s">
        <v>126</v>
      </c>
      <c r="B16" s="2">
        <v>7</v>
      </c>
      <c r="C16" s="2">
        <v>6022</v>
      </c>
    </row>
    <row r="17" spans="1:3" x14ac:dyDescent="0.25">
      <c r="A17" t="s">
        <v>126</v>
      </c>
      <c r="B17" s="2">
        <v>12</v>
      </c>
      <c r="C17" s="2">
        <v>6024</v>
      </c>
    </row>
    <row r="18" spans="1:3" x14ac:dyDescent="0.25">
      <c r="A18" t="s">
        <v>127</v>
      </c>
      <c r="B18" s="2">
        <v>7</v>
      </c>
      <c r="C18" s="2">
        <v>6022</v>
      </c>
    </row>
    <row r="19" spans="1:3" x14ac:dyDescent="0.25">
      <c r="A19" t="s">
        <v>127</v>
      </c>
      <c r="B19" s="2">
        <v>12</v>
      </c>
      <c r="C19" s="2">
        <v>6024</v>
      </c>
    </row>
    <row r="20" spans="1:3" x14ac:dyDescent="0.25">
      <c r="A20" t="s">
        <v>128</v>
      </c>
      <c r="B20" s="2">
        <v>7</v>
      </c>
      <c r="C20" s="2">
        <v>6023</v>
      </c>
    </row>
    <row r="21" spans="1:3" x14ac:dyDescent="0.25">
      <c r="A21" t="s">
        <v>128</v>
      </c>
      <c r="B21" s="2">
        <v>12</v>
      </c>
      <c r="C21" s="2">
        <v>6027</v>
      </c>
    </row>
    <row r="22" spans="1:3" x14ac:dyDescent="0.25">
      <c r="A22" t="s">
        <v>129</v>
      </c>
      <c r="B22" s="2">
        <v>7</v>
      </c>
      <c r="C22" s="2">
        <v>240</v>
      </c>
    </row>
    <row r="23" spans="1:3" x14ac:dyDescent="0.25">
      <c r="A23" t="s">
        <v>129</v>
      </c>
      <c r="B23" s="2">
        <v>12</v>
      </c>
      <c r="C23" s="2">
        <v>6026</v>
      </c>
    </row>
    <row r="24" spans="1:3" x14ac:dyDescent="0.25">
      <c r="A24" t="s">
        <v>130</v>
      </c>
      <c r="B24" s="2">
        <v>7</v>
      </c>
      <c r="C24" s="2">
        <v>238</v>
      </c>
    </row>
    <row r="25" spans="1:3" x14ac:dyDescent="0.25">
      <c r="A25" t="s">
        <v>130</v>
      </c>
      <c r="B25" s="2">
        <v>12</v>
      </c>
      <c r="C25" s="2">
        <v>328</v>
      </c>
    </row>
    <row r="26" spans="1:3" x14ac:dyDescent="0.25">
      <c r="A26" t="s">
        <v>131</v>
      </c>
      <c r="B26" s="2">
        <v>7</v>
      </c>
      <c r="C26" s="2">
        <v>242</v>
      </c>
    </row>
    <row r="27" spans="1:3" x14ac:dyDescent="0.25">
      <c r="A27" t="s">
        <v>131</v>
      </c>
      <c r="B27" s="2">
        <v>12</v>
      </c>
      <c r="C27" s="2">
        <v>244</v>
      </c>
    </row>
    <row r="28" spans="1:3" x14ac:dyDescent="0.25">
      <c r="A28" t="s">
        <v>132</v>
      </c>
      <c r="B28" s="2">
        <v>7</v>
      </c>
      <c r="C28" s="2">
        <v>6021</v>
      </c>
    </row>
    <row r="29" spans="1:3" x14ac:dyDescent="0.25">
      <c r="A29" t="s">
        <v>132</v>
      </c>
      <c r="B29" s="2">
        <v>12</v>
      </c>
      <c r="C29" s="2">
        <v>6025</v>
      </c>
    </row>
    <row r="30" spans="1:3" x14ac:dyDescent="0.25">
      <c r="A30" t="s">
        <v>133</v>
      </c>
      <c r="B30" s="2">
        <v>7</v>
      </c>
      <c r="C30" s="2">
        <v>240</v>
      </c>
    </row>
    <row r="31" spans="1:3" x14ac:dyDescent="0.25">
      <c r="A31" t="s">
        <v>133</v>
      </c>
      <c r="B31" s="2">
        <v>12</v>
      </c>
      <c r="C31" s="2">
        <v>6026</v>
      </c>
    </row>
    <row r="32" spans="1:3" x14ac:dyDescent="0.25">
      <c r="A32" t="s">
        <v>134</v>
      </c>
      <c r="B32" s="2">
        <v>7</v>
      </c>
      <c r="C32" s="2">
        <v>240</v>
      </c>
    </row>
    <row r="33" spans="1:3" x14ac:dyDescent="0.25">
      <c r="A33" t="s">
        <v>134</v>
      </c>
      <c r="B33" s="2">
        <v>12</v>
      </c>
      <c r="C33" s="2">
        <v>6026</v>
      </c>
    </row>
    <row r="34" spans="1:3" x14ac:dyDescent="0.25">
      <c r="A34" t="s">
        <v>135</v>
      </c>
      <c r="B34" s="2">
        <v>7</v>
      </c>
      <c r="C34" s="2">
        <v>6023</v>
      </c>
    </row>
    <row r="35" spans="1:3" x14ac:dyDescent="0.25">
      <c r="A35" t="s">
        <v>135</v>
      </c>
      <c r="B35" s="2">
        <v>12</v>
      </c>
      <c r="C35" s="2">
        <v>6027</v>
      </c>
    </row>
    <row r="36" spans="1:3" x14ac:dyDescent="0.25">
      <c r="A36" t="s">
        <v>136</v>
      </c>
      <c r="B36" s="2">
        <v>7</v>
      </c>
      <c r="C36" s="2">
        <v>6022</v>
      </c>
    </row>
    <row r="37" spans="1:3" x14ac:dyDescent="0.25">
      <c r="A37" t="s">
        <v>136</v>
      </c>
      <c r="B37" s="2">
        <v>12</v>
      </c>
      <c r="C37" s="2">
        <v>6024</v>
      </c>
    </row>
    <row r="38" spans="1:3" x14ac:dyDescent="0.25">
      <c r="A38" t="s">
        <v>137</v>
      </c>
      <c r="B38" s="2">
        <v>7</v>
      </c>
      <c r="C38" s="2">
        <v>238</v>
      </c>
    </row>
    <row r="39" spans="1:3" x14ac:dyDescent="0.25">
      <c r="A39" t="s">
        <v>137</v>
      </c>
      <c r="B39" s="2">
        <v>12</v>
      </c>
      <c r="C39" s="2">
        <v>328</v>
      </c>
    </row>
    <row r="40" spans="1:3" x14ac:dyDescent="0.25">
      <c r="A40" t="s">
        <v>138</v>
      </c>
      <c r="B40" s="2">
        <v>7</v>
      </c>
      <c r="C40" s="2">
        <v>6021</v>
      </c>
    </row>
    <row r="41" spans="1:3" x14ac:dyDescent="0.25">
      <c r="A41" t="s">
        <v>138</v>
      </c>
      <c r="B41" s="2">
        <v>12</v>
      </c>
      <c r="C41" s="2">
        <v>6025</v>
      </c>
    </row>
    <row r="42" spans="1:3" x14ac:dyDescent="0.25">
      <c r="A42" t="s">
        <v>139</v>
      </c>
      <c r="B42" s="2">
        <v>7</v>
      </c>
      <c r="C42" s="2">
        <v>242</v>
      </c>
    </row>
    <row r="43" spans="1:3" x14ac:dyDescent="0.25">
      <c r="A43" t="s">
        <v>139</v>
      </c>
      <c r="B43" s="2">
        <v>12</v>
      </c>
      <c r="C43" s="2">
        <v>244</v>
      </c>
    </row>
    <row r="44" spans="1:3" x14ac:dyDescent="0.25">
      <c r="A44" t="s">
        <v>140</v>
      </c>
      <c r="B44" s="2">
        <v>7</v>
      </c>
      <c r="C44" s="2">
        <v>238</v>
      </c>
    </row>
    <row r="45" spans="1:3" x14ac:dyDescent="0.25">
      <c r="A45" t="s">
        <v>140</v>
      </c>
      <c r="B45" s="2">
        <v>12</v>
      </c>
      <c r="C45" s="2">
        <v>328</v>
      </c>
    </row>
    <row r="46" spans="1:3" x14ac:dyDescent="0.25">
      <c r="A46" t="s">
        <v>141</v>
      </c>
      <c r="B46" s="2">
        <v>7</v>
      </c>
      <c r="C46" s="2">
        <v>6021</v>
      </c>
    </row>
    <row r="47" spans="1:3" x14ac:dyDescent="0.25">
      <c r="A47" t="s">
        <v>141</v>
      </c>
      <c r="B47" s="2">
        <v>12</v>
      </c>
      <c r="C47" s="2">
        <v>6025</v>
      </c>
    </row>
    <row r="48" spans="1:3" x14ac:dyDescent="0.25">
      <c r="A48" t="s">
        <v>142</v>
      </c>
      <c r="B48" s="2">
        <v>7</v>
      </c>
      <c r="C48" s="2">
        <v>242</v>
      </c>
    </row>
    <row r="49" spans="1:3" x14ac:dyDescent="0.25">
      <c r="A49" t="s">
        <v>142</v>
      </c>
      <c r="B49" s="2">
        <v>12</v>
      </c>
      <c r="C49" s="2">
        <v>244</v>
      </c>
    </row>
    <row r="50" spans="1:3" x14ac:dyDescent="0.25">
      <c r="A50" t="s">
        <v>143</v>
      </c>
      <c r="B50" s="2">
        <v>7</v>
      </c>
      <c r="C50" s="2">
        <v>6023</v>
      </c>
    </row>
    <row r="51" spans="1:3" x14ac:dyDescent="0.25">
      <c r="A51" t="s">
        <v>143</v>
      </c>
      <c r="B51" s="2">
        <v>12</v>
      </c>
      <c r="C51" s="2">
        <v>6027</v>
      </c>
    </row>
    <row r="52" spans="1:3" x14ac:dyDescent="0.25">
      <c r="A52" t="s">
        <v>144</v>
      </c>
      <c r="B52" s="2">
        <v>7</v>
      </c>
      <c r="C52" s="2">
        <v>238</v>
      </c>
    </row>
    <row r="53" spans="1:3" x14ac:dyDescent="0.25">
      <c r="A53" t="s">
        <v>144</v>
      </c>
      <c r="B53" s="2">
        <v>12</v>
      </c>
      <c r="C53" s="2">
        <v>328</v>
      </c>
    </row>
    <row r="54" spans="1:3" x14ac:dyDescent="0.25">
      <c r="A54" t="s">
        <v>145</v>
      </c>
      <c r="B54" s="2">
        <v>7</v>
      </c>
      <c r="C54" s="2">
        <v>6021</v>
      </c>
    </row>
    <row r="55" spans="1:3" x14ac:dyDescent="0.25">
      <c r="A55" t="s">
        <v>145</v>
      </c>
      <c r="B55" s="2">
        <v>12</v>
      </c>
      <c r="C55" s="2">
        <v>6025</v>
      </c>
    </row>
    <row r="56" spans="1:3" x14ac:dyDescent="0.25">
      <c r="A56" t="s">
        <v>146</v>
      </c>
      <c r="B56" s="2">
        <v>7</v>
      </c>
      <c r="C56" s="2">
        <v>242</v>
      </c>
    </row>
    <row r="57" spans="1:3" x14ac:dyDescent="0.25">
      <c r="A57" t="s">
        <v>146</v>
      </c>
      <c r="B57" s="2">
        <v>12</v>
      </c>
      <c r="C57" s="2">
        <v>244</v>
      </c>
    </row>
    <row r="58" spans="1:3" x14ac:dyDescent="0.25">
      <c r="A58" t="s">
        <v>147</v>
      </c>
      <c r="B58" s="2">
        <v>7</v>
      </c>
      <c r="C58" s="2">
        <v>6023</v>
      </c>
    </row>
    <row r="59" spans="1:3" x14ac:dyDescent="0.25">
      <c r="A59" t="s">
        <v>147</v>
      </c>
      <c r="C59" s="2">
        <v>6027</v>
      </c>
    </row>
    <row r="60" spans="1:3" x14ac:dyDescent="0.25">
      <c r="A60" t="s">
        <v>148</v>
      </c>
      <c r="B60" s="2">
        <v>7</v>
      </c>
      <c r="C60" s="2">
        <v>6023</v>
      </c>
    </row>
    <row r="61" spans="1:3" x14ac:dyDescent="0.25">
      <c r="A61" t="s">
        <v>148</v>
      </c>
      <c r="B61" s="2">
        <v>12</v>
      </c>
      <c r="C61" s="2">
        <v>6027</v>
      </c>
    </row>
    <row r="62" spans="1:3" x14ac:dyDescent="0.25">
      <c r="A62" t="s">
        <v>149</v>
      </c>
      <c r="B62" s="2">
        <v>7</v>
      </c>
      <c r="C62" s="2">
        <v>6023</v>
      </c>
    </row>
    <row r="63" spans="1:3" x14ac:dyDescent="0.25">
      <c r="A63" t="s">
        <v>149</v>
      </c>
      <c r="C63" s="2">
        <v>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0"/>
  <sheetViews>
    <sheetView workbookViewId="0">
      <selection activeCell="D14" sqref="D14"/>
    </sheetView>
  </sheetViews>
  <sheetFormatPr defaultRowHeight="13.2" x14ac:dyDescent="0.25"/>
  <cols>
    <col min="1" max="1" width="24" bestFit="1" customWidth="1"/>
    <col min="2" max="2" width="11.21875" bestFit="1" customWidth="1"/>
  </cols>
  <sheetData>
    <row r="1" spans="1:2" ht="15" thickBot="1" x14ac:dyDescent="0.3">
      <c r="A1" s="7" t="s">
        <v>8</v>
      </c>
      <c r="B1" s="8" t="s">
        <v>9</v>
      </c>
    </row>
    <row r="2" spans="1:2" ht="15" thickBot="1" x14ac:dyDescent="0.3">
      <c r="A2" s="9" t="s">
        <v>10</v>
      </c>
      <c r="B2" s="10">
        <v>110</v>
      </c>
    </row>
    <row r="3" spans="1:2" ht="15" thickBot="1" x14ac:dyDescent="0.3">
      <c r="A3" s="9" t="s">
        <v>11</v>
      </c>
      <c r="B3" s="10">
        <v>150</v>
      </c>
    </row>
    <row r="4" spans="1:2" ht="15" thickBot="1" x14ac:dyDescent="0.3">
      <c r="A4" s="11" t="s">
        <v>12</v>
      </c>
      <c r="B4" s="12">
        <v>200</v>
      </c>
    </row>
    <row r="5" spans="1:2" ht="15" thickBot="1" x14ac:dyDescent="0.3">
      <c r="A5" s="13" t="s">
        <v>13</v>
      </c>
      <c r="B5" s="14">
        <v>110</v>
      </c>
    </row>
    <row r="6" spans="1:2" ht="15" thickBot="1" x14ac:dyDescent="0.3">
      <c r="A6" s="15" t="s">
        <v>14</v>
      </c>
      <c r="B6" s="16">
        <v>130</v>
      </c>
    </row>
    <row r="7" spans="1:2" ht="15" thickBot="1" x14ac:dyDescent="0.3">
      <c r="A7" s="15" t="s">
        <v>15</v>
      </c>
      <c r="B7" s="16">
        <v>150</v>
      </c>
    </row>
    <row r="8" spans="1:2" ht="15" thickBot="1" x14ac:dyDescent="0.3">
      <c r="A8" s="9" t="s">
        <v>16</v>
      </c>
      <c r="B8" s="10">
        <v>110</v>
      </c>
    </row>
    <row r="9" spans="1:2" ht="15" thickBot="1" x14ac:dyDescent="0.3">
      <c r="A9" s="9" t="s">
        <v>17</v>
      </c>
      <c r="B9" s="10">
        <v>130</v>
      </c>
    </row>
    <row r="10" spans="1:2" ht="15" thickBot="1" x14ac:dyDescent="0.3">
      <c r="A10" s="9" t="s">
        <v>18</v>
      </c>
      <c r="B10" s="10">
        <v>150</v>
      </c>
    </row>
    <row r="11" spans="1:2" ht="15" thickBot="1" x14ac:dyDescent="0.3">
      <c r="A11" s="15" t="s">
        <v>19</v>
      </c>
      <c r="B11" s="16">
        <v>110</v>
      </c>
    </row>
    <row r="12" spans="1:2" ht="15" thickBot="1" x14ac:dyDescent="0.3">
      <c r="A12" s="15" t="s">
        <v>20</v>
      </c>
      <c r="B12" s="16">
        <v>130</v>
      </c>
    </row>
    <row r="13" spans="1:2" ht="15" thickBot="1" x14ac:dyDescent="0.3">
      <c r="A13" s="15" t="s">
        <v>21</v>
      </c>
      <c r="B13" s="16">
        <v>150</v>
      </c>
    </row>
    <row r="14" spans="1:2" ht="15" thickBot="1" x14ac:dyDescent="0.3">
      <c r="A14" s="9" t="s">
        <v>22</v>
      </c>
      <c r="B14" s="10">
        <v>110</v>
      </c>
    </row>
    <row r="15" spans="1:2" ht="15" thickBot="1" x14ac:dyDescent="0.3">
      <c r="A15" s="9" t="s">
        <v>23</v>
      </c>
      <c r="B15" s="10">
        <v>130</v>
      </c>
    </row>
    <row r="16" spans="1:2" ht="15" thickBot="1" x14ac:dyDescent="0.3">
      <c r="A16" s="9" t="s">
        <v>24</v>
      </c>
      <c r="B16" s="10">
        <v>150</v>
      </c>
    </row>
    <row r="17" spans="1:2" ht="15" thickBot="1" x14ac:dyDescent="0.3">
      <c r="A17" s="15" t="s">
        <v>25</v>
      </c>
      <c r="B17" s="16">
        <v>130</v>
      </c>
    </row>
    <row r="18" spans="1:2" ht="15" thickBot="1" x14ac:dyDescent="0.3">
      <c r="A18" s="11" t="s">
        <v>26</v>
      </c>
      <c r="B18" s="12">
        <v>130</v>
      </c>
    </row>
    <row r="19" spans="1:2" ht="15" thickBot="1" x14ac:dyDescent="0.3">
      <c r="A19" s="13" t="s">
        <v>27</v>
      </c>
      <c r="B19" s="14">
        <v>90</v>
      </c>
    </row>
    <row r="20" spans="1:2" ht="15" thickBot="1" x14ac:dyDescent="0.3">
      <c r="A20" s="9" t="s">
        <v>28</v>
      </c>
      <c r="B20" s="10">
        <v>90</v>
      </c>
    </row>
    <row r="21" spans="1:2" ht="15" thickBot="1" x14ac:dyDescent="0.3">
      <c r="A21" s="15" t="s">
        <v>29</v>
      </c>
      <c r="B21" s="16">
        <v>90</v>
      </c>
    </row>
    <row r="22" spans="1:2" ht="15" thickBot="1" x14ac:dyDescent="0.3">
      <c r="A22" s="9" t="s">
        <v>30</v>
      </c>
      <c r="B22" s="10">
        <v>90</v>
      </c>
    </row>
    <row r="23" spans="1:2" ht="15" thickBot="1" x14ac:dyDescent="0.3">
      <c r="A23" s="15" t="s">
        <v>31</v>
      </c>
      <c r="B23" s="16">
        <v>90</v>
      </c>
    </row>
    <row r="24" spans="1:2" ht="15" thickBot="1" x14ac:dyDescent="0.3">
      <c r="A24" s="11" t="s">
        <v>32</v>
      </c>
      <c r="B24" s="12">
        <v>90</v>
      </c>
    </row>
    <row r="25" spans="1:2" ht="15" thickBot="1" x14ac:dyDescent="0.3">
      <c r="A25" s="13" t="s">
        <v>33</v>
      </c>
      <c r="B25" s="14">
        <v>80</v>
      </c>
    </row>
    <row r="26" spans="1:2" ht="15" thickBot="1" x14ac:dyDescent="0.3">
      <c r="A26" s="9" t="s">
        <v>34</v>
      </c>
      <c r="B26" s="10">
        <v>80</v>
      </c>
    </row>
    <row r="27" spans="1:2" ht="15" thickBot="1" x14ac:dyDescent="0.3">
      <c r="A27" s="15" t="s">
        <v>35</v>
      </c>
      <c r="B27" s="16">
        <v>80</v>
      </c>
    </row>
    <row r="28" spans="1:2" ht="15" thickBot="1" x14ac:dyDescent="0.3">
      <c r="A28" s="9" t="s">
        <v>36</v>
      </c>
      <c r="B28" s="10">
        <v>200</v>
      </c>
    </row>
    <row r="29" spans="1:2" ht="15" thickBot="1" x14ac:dyDescent="0.3">
      <c r="A29" s="15" t="s">
        <v>37</v>
      </c>
      <c r="B29" s="16">
        <v>80</v>
      </c>
    </row>
    <row r="30" spans="1:2" ht="15" thickBot="1" x14ac:dyDescent="0.3">
      <c r="A30" s="9" t="s">
        <v>38</v>
      </c>
      <c r="B30" s="10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 Manufacturing Cost Template</vt:lpstr>
      <vt:lpstr>Body</vt:lpstr>
      <vt:lpstr>SC Manufacturing Cost Template </vt:lpstr>
      <vt:lpstr>Sheet1</vt:lpstr>
    </vt:vector>
  </TitlesOfParts>
  <Manager/>
  <Company>Netsuite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mmercado</dc:creator>
  <cp:keywords/>
  <dc:description/>
  <cp:lastModifiedBy>paapr</cp:lastModifiedBy>
  <cp:revision/>
  <dcterms:created xsi:type="dcterms:W3CDTF">2009-03-13T16:20:56Z</dcterms:created>
  <dcterms:modified xsi:type="dcterms:W3CDTF">2023-05-24T10:58:36Z</dcterms:modified>
  <cp:category/>
  <cp:contentStatus/>
</cp:coreProperties>
</file>