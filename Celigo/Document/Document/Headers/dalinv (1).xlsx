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TSUITE\FDC\Celigo Integration\CustomerPortal\Document\Headers\"/>
    </mc:Choice>
  </mc:AlternateContent>
  <bookViews>
    <workbookView xWindow="-120" yWindow="-120" windowWidth="29040" windowHeight="15720"/>
  </bookViews>
  <sheets>
    <sheet name="dalinv-2024-03-18-11-37-12" sheetId="1" r:id="rId1"/>
  </sheets>
  <definedNames>
    <definedName name="_xlnm._FilterDatabase" localSheetId="0" hidden="1">'dalinv-2024-03-18-11-37-12'!$Y$1:$Y$2017</definedName>
  </definedNames>
  <calcPr calcId="162913"/>
</workbook>
</file>

<file path=xl/calcChain.xml><?xml version="1.0" encoding="utf-8"?>
<calcChain xmlns="http://schemas.openxmlformats.org/spreadsheetml/2006/main">
  <c r="AA40" i="1" l="1"/>
  <c r="AA41" i="1"/>
  <c r="AA44" i="1"/>
  <c r="AA145" i="1"/>
  <c r="AA152" i="1"/>
  <c r="AA168" i="1"/>
  <c r="AA377" i="1"/>
  <c r="AA439" i="1"/>
  <c r="AA443" i="1"/>
  <c r="AA447" i="1"/>
  <c r="AA448" i="1"/>
  <c r="AA453" i="1"/>
  <c r="AA461" i="1"/>
  <c r="AA462" i="1"/>
  <c r="AA471" i="1"/>
  <c r="AA474" i="1"/>
  <c r="AA607" i="1"/>
  <c r="AA608" i="1"/>
  <c r="AA627" i="1"/>
  <c r="AA630" i="1"/>
  <c r="AA684" i="1"/>
  <c r="AA685" i="1"/>
  <c r="AA687" i="1"/>
  <c r="AA688" i="1"/>
  <c r="AA689" i="1"/>
  <c r="AA700" i="1"/>
  <c r="AA701" i="1"/>
  <c r="AA703" i="1"/>
  <c r="AA704" i="1"/>
  <c r="AA705" i="1"/>
  <c r="AA714" i="1"/>
  <c r="AA715" i="1"/>
  <c r="AA725" i="1"/>
  <c r="AA727" i="1"/>
  <c r="AA728" i="1"/>
  <c r="AA758" i="1"/>
  <c r="AA760" i="1"/>
  <c r="AA762" i="1"/>
  <c r="AA771" i="1"/>
  <c r="AA772" i="1"/>
  <c r="AA1873" i="1"/>
  <c r="AA1875" i="1"/>
  <c r="AA1877" i="1"/>
</calcChain>
</file>

<file path=xl/sharedStrings.xml><?xml version="1.0" encoding="utf-8"?>
<sst xmlns="http://schemas.openxmlformats.org/spreadsheetml/2006/main" count="40023" uniqueCount="2858">
  <si>
    <t xml:space="preserve">MITROGRAPHERS INC             </t>
  </si>
  <si>
    <t xml:space="preserve">P.O. BOX 84910                </t>
  </si>
  <si>
    <t xml:space="preserve">                              </t>
  </si>
  <si>
    <t xml:space="preserve">SIOUX FALLS    </t>
  </si>
  <si>
    <t>SD</t>
  </si>
  <si>
    <t>FMI2080000</t>
  </si>
  <si>
    <t>FDI4000</t>
  </si>
  <si>
    <t xml:space="preserve">          </t>
  </si>
  <si>
    <t xml:space="preserve">               </t>
  </si>
  <si>
    <t xml:space="preserve">                  </t>
  </si>
  <si>
    <t xml:space="preserve">   </t>
  </si>
  <si>
    <t>E</t>
  </si>
  <si>
    <t xml:space="preserve">191MC0215-053     </t>
  </si>
  <si>
    <t xml:space="preserve"> 2ML 2"X50YD CARDNL RED W/MASK</t>
  </si>
  <si>
    <t>EAC</t>
  </si>
  <si>
    <t xml:space="preserve">FELLERS - PISCATAWAY          </t>
  </si>
  <si>
    <t xml:space="preserve">60 ETHEL ROAD WEST            </t>
  </si>
  <si>
    <t xml:space="preserve">SUITE 8                       </t>
  </si>
  <si>
    <t xml:space="preserve">PISCATAWAY     </t>
  </si>
  <si>
    <t>NJ</t>
  </si>
  <si>
    <t>FFE5350000</t>
  </si>
  <si>
    <t>FHA1000</t>
  </si>
  <si>
    <t xml:space="preserve">BEST WAY  </t>
  </si>
  <si>
    <t xml:space="preserve">3630-2403-163     </t>
  </si>
  <si>
    <t xml:space="preserve"> 2ML 24"X10YD NONPERF SCARLET </t>
  </si>
  <si>
    <t xml:space="preserve">HTM-MBS, LLC                  </t>
  </si>
  <si>
    <t xml:space="preserve">5046 W. LINEBAUGH AVE         </t>
  </si>
  <si>
    <t xml:space="preserve">TAMPA          </t>
  </si>
  <si>
    <t>FL</t>
  </si>
  <si>
    <t>FHT1000000</t>
  </si>
  <si>
    <t xml:space="preserve">0050-2403-914     </t>
  </si>
  <si>
    <t xml:space="preserve"> 3ML 24"X10YD NONPERF BEIGE   </t>
  </si>
  <si>
    <t xml:space="preserve">W.SCHILLER &amp; CO., INC         </t>
  </si>
  <si>
    <t xml:space="preserve">9240 MANCHESTER ROAD          </t>
  </si>
  <si>
    <t xml:space="preserve">ST. LOUIS      </t>
  </si>
  <si>
    <t>MO</t>
  </si>
  <si>
    <t>FSC1040000</t>
  </si>
  <si>
    <t xml:space="preserve">P4159594  </t>
  </si>
  <si>
    <t>FST3000</t>
  </si>
  <si>
    <t xml:space="preserve">7504-3015-049     </t>
  </si>
  <si>
    <t xml:space="preserve"> 13Oz 30"X50Yd Matte White    </t>
  </si>
  <si>
    <t xml:space="preserve">SUN SUPPLY-PORTLAND           </t>
  </si>
  <si>
    <t xml:space="preserve">2310 N.W. 24TH AVE.           </t>
  </si>
  <si>
    <t xml:space="preserve">PORTLAND       </t>
  </si>
  <si>
    <t>OR</t>
  </si>
  <si>
    <t>FSU1110000</t>
  </si>
  <si>
    <t>FHE2000</t>
  </si>
  <si>
    <t xml:space="preserve">6851-3015-082     </t>
  </si>
  <si>
    <t xml:space="preserve"> 7ML 30"X50YD PERF RUBY RED   </t>
  </si>
  <si>
    <t xml:space="preserve">GRIMCO - TEMPE                </t>
  </si>
  <si>
    <t xml:space="preserve">1715 SOUTH HOLBROOK LANE      </t>
  </si>
  <si>
    <t xml:space="preserve">SUITE 104                     </t>
  </si>
  <si>
    <t xml:space="preserve">TEMPE          </t>
  </si>
  <si>
    <t>AZ</t>
  </si>
  <si>
    <t>FGR3020000</t>
  </si>
  <si>
    <t xml:space="preserve">WGEX48161140      </t>
  </si>
  <si>
    <t xml:space="preserve"> WGEX1140 48IN X 54YD         </t>
  </si>
  <si>
    <t xml:space="preserve">SUPPLIES UNLIMITED            </t>
  </si>
  <si>
    <t xml:space="preserve">247 WATER STREET              </t>
  </si>
  <si>
    <t xml:space="preserve">WAKEFIELD      </t>
  </si>
  <si>
    <t>MA</t>
  </si>
  <si>
    <t>FSU1000000</t>
  </si>
  <si>
    <t xml:space="preserve">2080-6008-012     </t>
  </si>
  <si>
    <t xml:space="preserve"> 3.5ML 60"X25YD GLOSS BLACK   </t>
  </si>
  <si>
    <t xml:space="preserve">GRAPHIC SOLUTIONS - DALLAS    </t>
  </si>
  <si>
    <t xml:space="preserve">4601 SPRING VALLEY            </t>
  </si>
  <si>
    <t xml:space="preserve">DALLAS         </t>
  </si>
  <si>
    <t>TX</t>
  </si>
  <si>
    <t>FGR1000000</t>
  </si>
  <si>
    <t xml:space="preserve">107098-00 </t>
  </si>
  <si>
    <t xml:space="preserve">7725-4815-023     </t>
  </si>
  <si>
    <t xml:space="preserve"> 2ML 48"X50YD NOPRF DEEP RED  </t>
  </si>
  <si>
    <t xml:space="preserve">MPC SUPPLY, LLC               </t>
  </si>
  <si>
    <t xml:space="preserve">P.O. BOX 366                  </t>
  </si>
  <si>
    <t xml:space="preserve">HASTINGS       </t>
  </si>
  <si>
    <t>MN</t>
  </si>
  <si>
    <t>FMI1080000</t>
  </si>
  <si>
    <t xml:space="preserve">2901-2415-006     </t>
  </si>
  <si>
    <t xml:space="preserve"> 3.4ML 24"X50YD NONPERF YELLOW</t>
  </si>
  <si>
    <t xml:space="preserve">LAY IT ON ME GRAPHICS         </t>
  </si>
  <si>
    <t xml:space="preserve">402 MAIN STREET               </t>
  </si>
  <si>
    <t xml:space="preserve">PO# RICKIE MAPLES             </t>
  </si>
  <si>
    <t xml:space="preserve">VAN BUREN      </t>
  </si>
  <si>
    <t xml:space="preserve">P4159742  </t>
  </si>
  <si>
    <t>FEDEX GRND</t>
  </si>
  <si>
    <t xml:space="preserve"> 0.0%, 0 NET  0</t>
  </si>
  <si>
    <t xml:space="preserve">3350-1503-004     </t>
  </si>
  <si>
    <t xml:space="preserve"> 4ML 15"X10YD PERF GOLD       </t>
  </si>
  <si>
    <t xml:space="preserve">TEXT              </t>
  </si>
  <si>
    <t xml:space="preserve"> CAST VINYL FILM              </t>
  </si>
  <si>
    <t>******************************</t>
  </si>
  <si>
    <t xml:space="preserve">THIS ORDER IS A CREDIT CARD   </t>
  </si>
  <si>
    <t xml:space="preserve">ORDER!                        </t>
  </si>
  <si>
    <t xml:space="preserve">CCSURCHARGE       </t>
  </si>
  <si>
    <t xml:space="preserve"> 3% CREDIT CARD SURCHARGE     </t>
  </si>
  <si>
    <t xml:space="preserve">CUSTOM PRODUCTS CORPORATION   </t>
  </si>
  <si>
    <t xml:space="preserve">1120 FLOWOOD DRIVE            </t>
  </si>
  <si>
    <t xml:space="preserve">FLOWOOD        </t>
  </si>
  <si>
    <t>MS</t>
  </si>
  <si>
    <t xml:space="preserve">CORTLAND COUNTY HIGHWAY DEPT  </t>
  </si>
  <si>
    <t xml:space="preserve">4267 TRACTION DR              </t>
  </si>
  <si>
    <t xml:space="preserve">ATTN: ROBERT P. 607-753-5246  </t>
  </si>
  <si>
    <t xml:space="preserve">CORTLAND       </t>
  </si>
  <si>
    <t>NY</t>
  </si>
  <si>
    <t>FCU1021000</t>
  </si>
  <si>
    <t xml:space="preserve">7725-2415-053     </t>
  </si>
  <si>
    <t xml:space="preserve"> 2ML 24"X50YD NPF CARDINAL RED</t>
  </si>
  <si>
    <t xml:space="preserve"> 7725 SERIES                  </t>
  </si>
  <si>
    <t xml:space="preserve">SEIFERT SIGN CO.              </t>
  </si>
  <si>
    <t xml:space="preserve">6133 JUDD ROAD                </t>
  </si>
  <si>
    <t xml:space="preserve">ORISKANY       </t>
  </si>
  <si>
    <t xml:space="preserve">SEIFERT SIGN                  </t>
  </si>
  <si>
    <t xml:space="preserve">6133 JUDD RD                  </t>
  </si>
  <si>
    <t>FSE1015000</t>
  </si>
  <si>
    <t xml:space="preserve">6812-0515-071     </t>
  </si>
  <si>
    <t xml:space="preserve"> 7ML 5"X50YD YELLOW W/PREMASK </t>
  </si>
  <si>
    <t xml:space="preserve"> 680CR SERIES                 </t>
  </si>
  <si>
    <t xml:space="preserve">-USE SCPM-3 PREMASK           </t>
  </si>
  <si>
    <t xml:space="preserve">STRIPES WITH PRE-MASK 7-10    </t>
  </si>
  <si>
    <t xml:space="preserve">BUSINESS DAY LEAD TIME        </t>
  </si>
  <si>
    <t xml:space="preserve">SLIT TO 4.5"                  </t>
  </si>
  <si>
    <t xml:space="preserve">SCREEN SUPPLY CENTRAL         </t>
  </si>
  <si>
    <t xml:space="preserve">4350 S. 38TH STREET           </t>
  </si>
  <si>
    <t xml:space="preserve">SUITE 140                     </t>
  </si>
  <si>
    <t xml:space="preserve">PHOENIX        </t>
  </si>
  <si>
    <t xml:space="preserve">SANNON NORDMAN                </t>
  </si>
  <si>
    <t xml:space="preserve">4141 E RAYMOND ST STE B       </t>
  </si>
  <si>
    <t xml:space="preserve">ATTN SHANNON NORDMAN          </t>
  </si>
  <si>
    <t>FSC1001000</t>
  </si>
  <si>
    <t xml:space="preserve">9015-1515-005     </t>
  </si>
  <si>
    <t xml:space="preserve"> 3.5MIL 15"X50YDS NONPERF RED </t>
  </si>
  <si>
    <t xml:space="preserve">SISER EASYWEED: SEMI-GLOSS    </t>
  </si>
  <si>
    <t xml:space="preserve">9015-1515-003     </t>
  </si>
  <si>
    <t xml:space="preserve"> 3.5MIL 15"X50YDS NP ROY BLUE </t>
  </si>
  <si>
    <t xml:space="preserve">KEG GRAPHICS                  </t>
  </si>
  <si>
    <t xml:space="preserve">7309 MURDY CIRCLE             </t>
  </si>
  <si>
    <t xml:space="preserve">HUNTINGTON BCH </t>
  </si>
  <si>
    <t>CA</t>
  </si>
  <si>
    <t>HUNTINGTON BEAC</t>
  </si>
  <si>
    <t>FKE1010000</t>
  </si>
  <si>
    <t xml:space="preserve">ONTRAC    </t>
  </si>
  <si>
    <t xml:space="preserve">C12206800012657               </t>
  </si>
  <si>
    <t xml:space="preserve">7125-1515-031     </t>
  </si>
  <si>
    <t xml:space="preserve"> 2ML 15"X50YD NONPERF MED GREY</t>
  </si>
  <si>
    <t xml:space="preserve"> 7125 SERIES                  </t>
  </si>
  <si>
    <t xml:space="preserve">GRIMCO - SALT LAKE CITY       </t>
  </si>
  <si>
    <t xml:space="preserve">1660 SOUTH 5500 WEST          </t>
  </si>
  <si>
    <t xml:space="preserve">SALT LAKE CITY </t>
  </si>
  <si>
    <t>UT</t>
  </si>
  <si>
    <t xml:space="preserve">INTERSTATE IMAGE              </t>
  </si>
  <si>
    <t xml:space="preserve">1510 S 3600 W                 </t>
  </si>
  <si>
    <t xml:space="preserve">84104-5507 </t>
  </si>
  <si>
    <t>FGR3141000</t>
  </si>
  <si>
    <t xml:space="preserve"> 2.0%,10 NET 45</t>
  </si>
  <si>
    <t xml:space="preserve">C12206800012699               </t>
  </si>
  <si>
    <t xml:space="preserve">7125-3015-131     </t>
  </si>
  <si>
    <t xml:space="preserve"> 2ML 30"X50YD NOPRF SATIN GOLD</t>
  </si>
  <si>
    <t xml:space="preserve">7125-4815-096     </t>
  </si>
  <si>
    <t xml:space="preserve"> 2ML 48"X50YD NONPERF TEAL    </t>
  </si>
  <si>
    <t xml:space="preserve">GRIMCO - DENVER               </t>
  </si>
  <si>
    <t xml:space="preserve">5301 PEORIA STREET            </t>
  </si>
  <si>
    <t xml:space="preserve">UNIT F                        </t>
  </si>
  <si>
    <t xml:space="preserve">DENVER         </t>
  </si>
  <si>
    <t>CO</t>
  </si>
  <si>
    <t xml:space="preserve">SIGN CENTER                   </t>
  </si>
  <si>
    <t xml:space="preserve">2505 DURANGO DR               </t>
  </si>
  <si>
    <t>COLORADO SPRING</t>
  </si>
  <si>
    <t xml:space="preserve">80910-1018 </t>
  </si>
  <si>
    <t>FGR3240000</t>
  </si>
  <si>
    <t xml:space="preserve">C12206800012631               </t>
  </si>
  <si>
    <t xml:space="preserve">GRIMCO - SEATTLE              </t>
  </si>
  <si>
    <t xml:space="preserve">6855 S. 212 STREET            </t>
  </si>
  <si>
    <t xml:space="preserve">KENT           </t>
  </si>
  <si>
    <t>WA</t>
  </si>
  <si>
    <t xml:space="preserve">BRAUN NORTHWEST INC           </t>
  </si>
  <si>
    <t xml:space="preserve">150 NORTHSTAR RD              </t>
  </si>
  <si>
    <t xml:space="preserve">CHEHALIS       </t>
  </si>
  <si>
    <t xml:space="preserve">98532-8799 </t>
  </si>
  <si>
    <t>FGR3270000</t>
  </si>
  <si>
    <t xml:space="preserve">6801-3615-075     </t>
  </si>
  <si>
    <t xml:space="preserve"> 7ML 36"X50YD NP BLUE         </t>
  </si>
  <si>
    <t xml:space="preserve">6801-3615-082     </t>
  </si>
  <si>
    <t xml:space="preserve"> 7ML 36"X50YD NONPRF RUBY RED </t>
  </si>
  <si>
    <t xml:space="preserve">FUEL SURCHARGE    </t>
  </si>
  <si>
    <t xml:space="preserve"> FUEL SURCHARGE $25.00        </t>
  </si>
  <si>
    <t xml:space="preserve">GRIMCO - ORANGE COUNTY        </t>
  </si>
  <si>
    <t xml:space="preserve">16201 COMMERCE WAY            </t>
  </si>
  <si>
    <t xml:space="preserve">CERRITOS       </t>
  </si>
  <si>
    <t xml:space="preserve">COAST SIGN INC                </t>
  </si>
  <si>
    <t xml:space="preserve">1500 W EMBASSY ST             </t>
  </si>
  <si>
    <t xml:space="preserve">ANAHEIM        </t>
  </si>
  <si>
    <t xml:space="preserve">92802-1016 </t>
  </si>
  <si>
    <t>FGR3170000</t>
  </si>
  <si>
    <t xml:space="preserve">C12206800012582               </t>
  </si>
  <si>
    <t xml:space="preserve">3635-4815-222     </t>
  </si>
  <si>
    <t xml:space="preserve"> 5.5ML 48"X50YD NONPERF BLACK </t>
  </si>
  <si>
    <t xml:space="preserve"> 3635 SERIES                  </t>
  </si>
  <si>
    <t xml:space="preserve">GRIMCO - PORTLAND             </t>
  </si>
  <si>
    <t xml:space="preserve">9565 SW RIDDER ROAD #250      </t>
  </si>
  <si>
    <t xml:space="preserve">WILSONVILLE    </t>
  </si>
  <si>
    <t xml:space="preserve">GRAPHIC PRODUCTS              </t>
  </si>
  <si>
    <t xml:space="preserve">9825 SW SUNSHINE CT           </t>
  </si>
  <si>
    <t xml:space="preserve">BEAVERTON      </t>
  </si>
  <si>
    <t xml:space="preserve">97005-4190 </t>
  </si>
  <si>
    <t>FGR3260000</t>
  </si>
  <si>
    <t xml:space="preserve">6801-2415-085     </t>
  </si>
  <si>
    <t xml:space="preserve"> 7ML 24"X50YD NONPERF BLACK   </t>
  </si>
  <si>
    <t xml:space="preserve">DESIGN A SIGN                 </t>
  </si>
  <si>
    <t xml:space="preserve">57 MAJESTIC DR                </t>
  </si>
  <si>
    <t xml:space="preserve">PAGOSA SPRINGS </t>
  </si>
  <si>
    <t xml:space="preserve">81147-9594 </t>
  </si>
  <si>
    <t xml:space="preserve">6800-4803-010     </t>
  </si>
  <si>
    <t xml:space="preserve"> 7ML 48"X10YD NONPERF WHITE   </t>
  </si>
  <si>
    <t xml:space="preserve"> 680 SERIES                   </t>
  </si>
  <si>
    <t xml:space="preserve">GRIMCO - FRESNO               </t>
  </si>
  <si>
    <t xml:space="preserve">4634 E. WEATHERMAKER AVENUE   </t>
  </si>
  <si>
    <t xml:space="preserve">FRESNO         </t>
  </si>
  <si>
    <t xml:space="preserve">SIGN SHOP                     </t>
  </si>
  <si>
    <t xml:space="preserve">41136 FIG GROVE PL            </t>
  </si>
  <si>
    <t xml:space="preserve">MADERA         </t>
  </si>
  <si>
    <t xml:space="preserve">93636-8821 </t>
  </si>
  <si>
    <t>FGR3181000</t>
  </si>
  <si>
    <t xml:space="preserve"> 2.0%,20 NET 45</t>
  </si>
  <si>
    <t xml:space="preserve">7775-1503-010     </t>
  </si>
  <si>
    <t xml:space="preserve"> 2ML 15"X10YD PERF WHITE      </t>
  </si>
  <si>
    <t xml:space="preserve">7775-1503-012     </t>
  </si>
  <si>
    <t xml:space="preserve"> 2ML 15"X10YD PERF BLACK      </t>
  </si>
  <si>
    <t xml:space="preserve">FELLERS - SACRAMENTO          </t>
  </si>
  <si>
    <t xml:space="preserve">1337 N. MARKET BLVD           </t>
  </si>
  <si>
    <t xml:space="preserve">STE 300                       </t>
  </si>
  <si>
    <t xml:space="preserve">SACRAMENTO     </t>
  </si>
  <si>
    <t xml:space="preserve">HIGHTECH SIGNS                </t>
  </si>
  <si>
    <t xml:space="preserve">1201 S REDWOOD RD STE 1       </t>
  </si>
  <si>
    <t xml:space="preserve">ATTN RUSSELL ERSKINE          </t>
  </si>
  <si>
    <t xml:space="preserve">84104-3747 </t>
  </si>
  <si>
    <t>FFE5399000</t>
  </si>
  <si>
    <t xml:space="preserve"> 2.0%,10 NET 60</t>
  </si>
  <si>
    <t xml:space="preserve">C12206800012665               </t>
  </si>
  <si>
    <t xml:space="preserve">180MC4815-010     </t>
  </si>
  <si>
    <t xml:space="preserve"> 2ML 48"X50YD NP WHITE        </t>
  </si>
  <si>
    <t xml:space="preserve"> 180MC SERIES                 </t>
  </si>
  <si>
    <t xml:space="preserve">GRIMCO - NORTH BOSTON         </t>
  </si>
  <si>
    <t xml:space="preserve">3 ENTERPRISE ROAD             </t>
  </si>
  <si>
    <t xml:space="preserve">BILLERICA      </t>
  </si>
  <si>
    <t xml:space="preserve">VIEWPOINT SIGN AND AWNING     </t>
  </si>
  <si>
    <t xml:space="preserve">35 LYMAN ST STE 1             </t>
  </si>
  <si>
    <t xml:space="preserve">NORTHBOROUGH   </t>
  </si>
  <si>
    <t xml:space="preserve">01532-2076 </t>
  </si>
  <si>
    <t>FGR3174000</t>
  </si>
  <si>
    <t xml:space="preserve">3630-4803-005     </t>
  </si>
  <si>
    <t xml:space="preserve"> 2ML 48"X10YD NONPERF IVORY   </t>
  </si>
  <si>
    <t xml:space="preserve"> 3630 SERIES                  </t>
  </si>
  <si>
    <t xml:space="preserve">EARL MICH CO.                 </t>
  </si>
  <si>
    <t xml:space="preserve">720 N. CREEL DRIVE            </t>
  </si>
  <si>
    <t xml:space="preserve">WOOD DALE      </t>
  </si>
  <si>
    <t>IL</t>
  </si>
  <si>
    <t xml:space="preserve">EARL MICH CO                  </t>
  </si>
  <si>
    <t xml:space="preserve">720 N. CREEL DR.              </t>
  </si>
  <si>
    <t xml:space="preserve">ATTN: GREG MCKAY              </t>
  </si>
  <si>
    <t>FEA1010000</t>
  </si>
  <si>
    <t xml:space="preserve">    NET   30   </t>
  </si>
  <si>
    <t xml:space="preserve">6800-4815-082     </t>
  </si>
  <si>
    <t xml:space="preserve"> 7ML 48"X50YD NONPERF RUBY RED</t>
  </si>
  <si>
    <t>3MPROMO15-6800-COL</t>
  </si>
  <si>
    <t xml:space="preserve"> 3M REFLECT PROMO -15%        </t>
  </si>
  <si>
    <t xml:space="preserve"> 6800-COL                     </t>
  </si>
  <si>
    <t xml:space="preserve">#                             </t>
  </si>
  <si>
    <t xml:space="preserve">FELLERS - PENNSAUKEN          </t>
  </si>
  <si>
    <t xml:space="preserve">8400 REMINGTON AVENUE         </t>
  </si>
  <si>
    <t xml:space="preserve">UNIT A                        </t>
  </si>
  <si>
    <t xml:space="preserve">PENNSAUKEN     </t>
  </si>
  <si>
    <t xml:space="preserve">S. JERSEY TRANSPORTATION AU   </t>
  </si>
  <si>
    <t xml:space="preserve">100 TROOPER LN                </t>
  </si>
  <si>
    <t xml:space="preserve">HAMMONTON      </t>
  </si>
  <si>
    <t>FFE5320000</t>
  </si>
  <si>
    <t xml:space="preserve">6801-3615-071     </t>
  </si>
  <si>
    <t xml:space="preserve"> 7ML 36"X50YD NONPRF YELLOW   </t>
  </si>
  <si>
    <t xml:space="preserve">MONTROY-COMMERCE CA           </t>
  </si>
  <si>
    <t xml:space="preserve">1601 S. MAPLE AVENUE          </t>
  </si>
  <si>
    <t xml:space="preserve">MONTEBELLO     </t>
  </si>
  <si>
    <t xml:space="preserve">MONTROY SUPPLY                </t>
  </si>
  <si>
    <t xml:space="preserve">1601 S. MAPLE AVE             </t>
  </si>
  <si>
    <t>FMO1090000</t>
  </si>
  <si>
    <t>1003476-00</t>
  </si>
  <si>
    <t xml:space="preserve"> 2.0%,10 NET 30</t>
  </si>
  <si>
    <t xml:space="preserve">3630-4806-187     </t>
  </si>
  <si>
    <t xml:space="preserve"> 2ML 48"X20YD NP INFINITY BLUE</t>
  </si>
  <si>
    <t xml:space="preserve">GRIMCO - SAN FRANCISCO        </t>
  </si>
  <si>
    <t xml:space="preserve">4735 INDUSTRIAL WAY           </t>
  </si>
  <si>
    <t xml:space="preserve">BENICIA        </t>
  </si>
  <si>
    <t xml:space="preserve">SILICON VALLEY GRAPHICS       </t>
  </si>
  <si>
    <t xml:space="preserve">45333 FREMONT BLVD STE 5      </t>
  </si>
  <si>
    <t xml:space="preserve">FREMONT        </t>
  </si>
  <si>
    <t xml:space="preserve">94538-7601 </t>
  </si>
  <si>
    <t>FGR3171000</t>
  </si>
  <si>
    <t xml:space="preserve">C12206800012730               </t>
  </si>
  <si>
    <t xml:space="preserve">5101-4803-072     </t>
  </si>
  <si>
    <t xml:space="preserve"> 6ML 48"X10YD NONPERF RED     </t>
  </si>
  <si>
    <t xml:space="preserve"> 5100R SERIES                 </t>
  </si>
  <si>
    <t xml:space="preserve">Grimco Denver Warehouse       </t>
  </si>
  <si>
    <t xml:space="preserve">5301 Peoria Street            </t>
  </si>
  <si>
    <t xml:space="preserve">Unit F                        </t>
  </si>
  <si>
    <t xml:space="preserve">Denver         </t>
  </si>
  <si>
    <t xml:space="preserve">SUN SUPPLY-SPOKANE            </t>
  </si>
  <si>
    <t xml:space="preserve">5323 E. UNION AVENUE          </t>
  </si>
  <si>
    <t xml:space="preserve">SPOKANE        </t>
  </si>
  <si>
    <t xml:space="preserve">SUN SUPPLY INC                </t>
  </si>
  <si>
    <t xml:space="preserve">5323 E. UNION AVE             </t>
  </si>
  <si>
    <t>FSU1120000</t>
  </si>
  <si>
    <t xml:space="preserve">    NET   10   </t>
  </si>
  <si>
    <t xml:space="preserve">C12206800012673               </t>
  </si>
  <si>
    <t xml:space="preserve">DELETED ITEM                  </t>
  </si>
  <si>
    <t xml:space="preserve">0050-2415-012     </t>
  </si>
  <si>
    <t xml:space="preserve"> 3ML 24"X50YD NONPERF BLACK   </t>
  </si>
  <si>
    <t xml:space="preserve"> REMOVABLE CALNEDERED FILM    </t>
  </si>
  <si>
    <t xml:space="preserve">0050-2415-034     </t>
  </si>
  <si>
    <t xml:space="preserve"> 3ML 24"X50YD NPRF BRT ORANGE </t>
  </si>
  <si>
    <t xml:space="preserve"> REMOVABLE CALENDERED FILM    </t>
  </si>
  <si>
    <t xml:space="preserve">0050-2415-483     </t>
  </si>
  <si>
    <t xml:space="preserve"> 3ML 24"X50YD NPRF DARK RED   </t>
  </si>
  <si>
    <t xml:space="preserve">7302-4803-010     </t>
  </si>
  <si>
    <t xml:space="preserve"> 6ML 48"X10YD WHITE           </t>
  </si>
  <si>
    <t xml:space="preserve"> IJ5100R SERIES               </t>
  </si>
  <si>
    <t xml:space="preserve">CARD SIGNS                    </t>
  </si>
  <si>
    <t xml:space="preserve">960 W 2100TH  S               </t>
  </si>
  <si>
    <t xml:space="preserve">84119-1530 </t>
  </si>
  <si>
    <t xml:space="preserve">C12206800012615               </t>
  </si>
  <si>
    <t xml:space="preserve">CITY SIGNS                    </t>
  </si>
  <si>
    <t xml:space="preserve">6875 NANCY RIDGE DR STE A     </t>
  </si>
  <si>
    <t xml:space="preserve">SAN DIEGO      </t>
  </si>
  <si>
    <t xml:space="preserve">92121-3216 </t>
  </si>
  <si>
    <t xml:space="preserve">3630-4803-125     </t>
  </si>
  <si>
    <t xml:space="preserve"> 2ML 48"X10YD NPF GOLDN YELLOW</t>
  </si>
  <si>
    <t xml:space="preserve">3630-4803-137     </t>
  </si>
  <si>
    <t xml:space="preserve"> 2ML 48"X10YD NOPERF EURO BLUE</t>
  </si>
  <si>
    <t xml:space="preserve">K L WIDE FORMAT DIGITAL PRINT </t>
  </si>
  <si>
    <t xml:space="preserve">1080 N BATAVIA ST STE B       </t>
  </si>
  <si>
    <t xml:space="preserve">ORANGE         </t>
  </si>
  <si>
    <t xml:space="preserve">92867-5540 </t>
  </si>
  <si>
    <t xml:space="preserve">C12206800012607               </t>
  </si>
  <si>
    <t xml:space="preserve">7125-4815-012     </t>
  </si>
  <si>
    <t xml:space="preserve"> 2ML 48"X50YD NONPERF BLACK   </t>
  </si>
  <si>
    <t xml:space="preserve">HIGH PERFORMANCE SIGNS        </t>
  </si>
  <si>
    <t xml:space="preserve">30570 OLDFIELD ST             </t>
  </si>
  <si>
    <t xml:space="preserve">HERMISTON      </t>
  </si>
  <si>
    <t xml:space="preserve">97838-6258 </t>
  </si>
  <si>
    <t xml:space="preserve">180MC4803-022     </t>
  </si>
  <si>
    <t xml:space="preserve"> 2ML 48"X10YD NP MATTE BLACK  </t>
  </si>
  <si>
    <t xml:space="preserve"> 180MC-022                    </t>
  </si>
  <si>
    <t xml:space="preserve">180MC4803-229     </t>
  </si>
  <si>
    <t xml:space="preserve"> 2ML 48"X10YD NP COPPER METALL</t>
  </si>
  <si>
    <t xml:space="preserve">MUNGO DESIGN                  </t>
  </si>
  <si>
    <t xml:space="preserve">303 MAIN ST E                 </t>
  </si>
  <si>
    <t xml:space="preserve">MONMOUTH       </t>
  </si>
  <si>
    <t xml:space="preserve">97361-2334 </t>
  </si>
  <si>
    <t xml:space="preserve">C12206800012623               </t>
  </si>
  <si>
    <t xml:space="preserve">5101-2403-085     </t>
  </si>
  <si>
    <t xml:space="preserve"> 6ML 24"X10YD NONPERF BLACK   </t>
  </si>
  <si>
    <t xml:space="preserve">KREATE INK                    </t>
  </si>
  <si>
    <t xml:space="preserve">4685 INDUSTRIAL ST STE 3J     </t>
  </si>
  <si>
    <t xml:space="preserve">SIMI VALLEY    </t>
  </si>
  <si>
    <t xml:space="preserve">93063-3468 </t>
  </si>
  <si>
    <t xml:space="preserve">7125-4815-131     </t>
  </si>
  <si>
    <t xml:space="preserve"> 2ML 48"X50YD NOPRF SATIN GOLD</t>
  </si>
  <si>
    <t xml:space="preserve">0050-6015-058     </t>
  </si>
  <si>
    <t xml:space="preserve"> 3ML 60"X50YD NONPERF SILVER  </t>
  </si>
  <si>
    <t xml:space="preserve">WEST COAST SIGN CO            </t>
  </si>
  <si>
    <t xml:space="preserve">11121 SAUNDERS CT             </t>
  </si>
  <si>
    <t xml:space="preserve">92131-1312 </t>
  </si>
  <si>
    <t xml:space="preserve">C12206800012722               </t>
  </si>
  <si>
    <t xml:space="preserve">7125-2403-196     </t>
  </si>
  <si>
    <t xml:space="preserve"> 2ML 24"X10YD NOPERF APPLE GRN</t>
  </si>
  <si>
    <t xml:space="preserve">SPECIALIZED GRAPHICS          </t>
  </si>
  <si>
    <t xml:space="preserve">3951 INDUSTRIAL WAY STE A     </t>
  </si>
  <si>
    <t xml:space="preserve">CONCORD        </t>
  </si>
  <si>
    <t xml:space="preserve">94520-8552 </t>
  </si>
  <si>
    <t xml:space="preserve">C12206800012714               </t>
  </si>
  <si>
    <t xml:space="preserve">7725-2403-022     </t>
  </si>
  <si>
    <t xml:space="preserve"> 2ML 24"X10YD NPRF MATTE BLACK</t>
  </si>
  <si>
    <t xml:space="preserve">TRADEMARK VISUAL- INC.        </t>
  </si>
  <si>
    <t xml:space="preserve">3825 S 36TH ST                </t>
  </si>
  <si>
    <t xml:space="preserve">85040-1602 </t>
  </si>
  <si>
    <t xml:space="preserve">C12206800012706               </t>
  </si>
  <si>
    <t xml:space="preserve">7125-3003-091     </t>
  </si>
  <si>
    <t xml:space="preserve"> 2ML 30"X10YD NPF DOVE GREY   </t>
  </si>
  <si>
    <t>3409 - FACILITIES MANAGEMENT C</t>
  </si>
  <si>
    <t xml:space="preserve">731 CHARLES E YOUNG DR S      </t>
  </si>
  <si>
    <t xml:space="preserve">RECEIVING DOOR 5              </t>
  </si>
  <si>
    <t xml:space="preserve">LOS ANGELES    </t>
  </si>
  <si>
    <t xml:space="preserve">90095-8342 </t>
  </si>
  <si>
    <t xml:space="preserve">7725-3015-010     </t>
  </si>
  <si>
    <t xml:space="preserve"> 2ML 30"X50YD NONPERF WHITE   </t>
  </si>
  <si>
    <t xml:space="preserve">7725-3015-012     </t>
  </si>
  <si>
    <t xml:space="preserve"> 2ML 30"X50YD NONPERF BLACK   </t>
  </si>
  <si>
    <t xml:space="preserve">GRIMCO - SACRAMENTO           </t>
  </si>
  <si>
    <t xml:space="preserve">1060 NATIONAL DRIVE           </t>
  </si>
  <si>
    <t xml:space="preserve">SUITE 2                       </t>
  </si>
  <si>
    <t xml:space="preserve">METRO GRAPHICS                </t>
  </si>
  <si>
    <t xml:space="preserve">1521 E ST                     </t>
  </si>
  <si>
    <t xml:space="preserve">95814-1604 </t>
  </si>
  <si>
    <t>FGR3172000</t>
  </si>
  <si>
    <t xml:space="preserve">C12206800012649               </t>
  </si>
  <si>
    <t xml:space="preserve">5101-2403-010     </t>
  </si>
  <si>
    <t xml:space="preserve"> 6ML 24"X10YD NONPERF WHITE   </t>
  </si>
  <si>
    <t xml:space="preserve">FASTSIGNS SONOMA COUNTY       </t>
  </si>
  <si>
    <t xml:space="preserve">3768 SANTA ROSA AVE           </t>
  </si>
  <si>
    <t xml:space="preserve">SANTA ROSA     </t>
  </si>
  <si>
    <t xml:space="preserve">95407-8287 </t>
  </si>
  <si>
    <t xml:space="preserve">C12206800012574               </t>
  </si>
  <si>
    <t xml:space="preserve">7725-3015-151     </t>
  </si>
  <si>
    <t xml:space="preserve"> 2ML 30"X50YD NPF TRAFFIC GREY</t>
  </si>
  <si>
    <t xml:space="preserve">MONTROY-SPARK NV              </t>
  </si>
  <si>
    <t xml:space="preserve">1675 E. PRATER WAY            </t>
  </si>
  <si>
    <t xml:space="preserve">SUITE 101                     </t>
  </si>
  <si>
    <t xml:space="preserve">SPARK          </t>
  </si>
  <si>
    <t>NV</t>
  </si>
  <si>
    <t>FMO1110000</t>
  </si>
  <si>
    <t>4100891-00</t>
  </si>
  <si>
    <t xml:space="preserve">CPU       </t>
  </si>
  <si>
    <t xml:space="preserve">3630-4803-073     </t>
  </si>
  <si>
    <t xml:space="preserve"> 2ML 48"X10YD NONPERF DARK RED</t>
  </si>
  <si>
    <t xml:space="preserve">3630-6003-157     </t>
  </si>
  <si>
    <t xml:space="preserve"> 2ML 60"X10YD NPRF SULTAN BLUE</t>
  </si>
  <si>
    <t xml:space="preserve">*CPU*                         </t>
  </si>
  <si>
    <t xml:space="preserve">THE DESIGNTEX GROUP           </t>
  </si>
  <si>
    <t xml:space="preserve">200 HUDSON STREET             </t>
  </si>
  <si>
    <t xml:space="preserve">9TH FLOOR                     </t>
  </si>
  <si>
    <t xml:space="preserve">NEW YORK       </t>
  </si>
  <si>
    <t xml:space="preserve">MVP PAINTING                  </t>
  </si>
  <si>
    <t xml:space="preserve">4019 E. 143rd St.             </t>
  </si>
  <si>
    <t xml:space="preserve">GRANDVIEW      </t>
  </si>
  <si>
    <t>FDE3012000</t>
  </si>
  <si>
    <t xml:space="preserve">DWMT48162224      </t>
  </si>
  <si>
    <t xml:space="preserve"> DWMT2224 48IN X 54YD         </t>
  </si>
  <si>
    <t xml:space="preserve"> DI-NOC Dry Wood Matte        </t>
  </si>
  <si>
    <t xml:space="preserve">LAMAR JOHNSON COLLABORATIVE   </t>
  </si>
  <si>
    <t xml:space="preserve">2199 INNERBELT                </t>
  </si>
  <si>
    <t xml:space="preserve">BUSINESS CENTER DRIVE         </t>
  </si>
  <si>
    <t xml:space="preserve">WITCHITA       </t>
  </si>
  <si>
    <t>KS</t>
  </si>
  <si>
    <t xml:space="preserve">AE48012157        </t>
  </si>
  <si>
    <t xml:space="preserve"> AE2157 48IN X 5YD            </t>
  </si>
  <si>
    <t xml:space="preserve"> DI-NOC Earth Stone           </t>
  </si>
  <si>
    <t xml:space="preserve">AEMT48012162      </t>
  </si>
  <si>
    <t xml:space="preserve"> AEMT2162 48IN X 5YD          </t>
  </si>
  <si>
    <t xml:space="preserve"> DI-NOC Earth/Stone Matte     </t>
  </si>
  <si>
    <t xml:space="preserve">STMT48012170      </t>
  </si>
  <si>
    <t xml:space="preserve"> STMT2170 48IN X 5YD          </t>
  </si>
  <si>
    <t xml:space="preserve"> DI-NOC Stone Matte           </t>
  </si>
  <si>
    <t xml:space="preserve">ATTN: PATRICK JOHNS           </t>
  </si>
  <si>
    <t xml:space="preserve">GRIMCO - CHICAGO              </t>
  </si>
  <si>
    <t xml:space="preserve">11230 KATHERINE'S CROSSING    </t>
  </si>
  <si>
    <t xml:space="preserve">SUITE 250                     </t>
  </si>
  <si>
    <t xml:space="preserve">WOODRIDGE      </t>
  </si>
  <si>
    <t xml:space="preserve">SIGN A RAMA NORTHBROOK        </t>
  </si>
  <si>
    <t xml:space="preserve">3645 WOODHEAD DR              </t>
  </si>
  <si>
    <t xml:space="preserve">NORTHBROOK     </t>
  </si>
  <si>
    <t xml:space="preserve">60062-1816 </t>
  </si>
  <si>
    <t>FGR3040000</t>
  </si>
  <si>
    <t xml:space="preserve">0050-4803-090     </t>
  </si>
  <si>
    <t xml:space="preserve"> 3ML 48"X10YD NPF DP NAVY BLUE</t>
  </si>
  <si>
    <t xml:space="preserve">KINGSTON SIGNARAMA            </t>
  </si>
  <si>
    <t xml:space="preserve">1 ROYSON DR                   </t>
  </si>
  <si>
    <t xml:space="preserve">KINGSTON       </t>
  </si>
  <si>
    <t xml:space="preserve">02364-1953 </t>
  </si>
  <si>
    <t xml:space="preserve">7175-1515-197     </t>
  </si>
  <si>
    <t xml:space="preserve"> 2ML 15"X50YD PERF LIGHT NAVY </t>
  </si>
  <si>
    <t xml:space="preserve">7175-1515-263     </t>
  </si>
  <si>
    <t xml:space="preserve"> 2ML 15"X50YD PRF PFCT MTC RED</t>
  </si>
  <si>
    <t xml:space="preserve">GRIMCO - NEW ORLEANS          </t>
  </si>
  <si>
    <t xml:space="preserve">5600 jEFFERSON HWY W1         </t>
  </si>
  <si>
    <t xml:space="preserve">STE 212                       </t>
  </si>
  <si>
    <t xml:space="preserve">ELMWOOD        </t>
  </si>
  <si>
    <t>LA</t>
  </si>
  <si>
    <t xml:space="preserve">BOURG SIGNS                   </t>
  </si>
  <si>
    <t xml:space="preserve">431 APPLE ST                  </t>
  </si>
  <si>
    <t xml:space="preserve">NORCO          </t>
  </si>
  <si>
    <t xml:space="preserve">70079-2345 </t>
  </si>
  <si>
    <t>FGR3092000</t>
  </si>
  <si>
    <t xml:space="preserve">0050-3015-092     </t>
  </si>
  <si>
    <t xml:space="preserve"> 3ML 30"X50YD NONPERF BROWN   </t>
  </si>
  <si>
    <t xml:space="preserve">GRIMCO - SPRINGFIELD MO       </t>
  </si>
  <si>
    <t xml:space="preserve">715 N. WEST BYPASS            </t>
  </si>
  <si>
    <t xml:space="preserve">SPRINGFIELD    </t>
  </si>
  <si>
    <t xml:space="preserve">MO AVCRAD W58MOC              </t>
  </si>
  <si>
    <t xml:space="preserve">5250 W DEPOT RD               </t>
  </si>
  <si>
    <t xml:space="preserve">65803-7736 </t>
  </si>
  <si>
    <t>FGR3300000</t>
  </si>
  <si>
    <t xml:space="preserve"> PAINT MASKING FILM           </t>
  </si>
  <si>
    <t xml:space="preserve">GRIMCO - JESSUP               </t>
  </si>
  <si>
    <t xml:space="preserve">8260 PATUXENT RANGE ROAD      </t>
  </si>
  <si>
    <t xml:space="preserve">SUITE E                       </t>
  </si>
  <si>
    <t xml:space="preserve">JESSUP         </t>
  </si>
  <si>
    <t>MD</t>
  </si>
  <si>
    <t xml:space="preserve">A SIGN OF CLASS               </t>
  </si>
  <si>
    <t xml:space="preserve">605 S DOGWOOD ST              </t>
  </si>
  <si>
    <t xml:space="preserve">STERLING       </t>
  </si>
  <si>
    <t>VA</t>
  </si>
  <si>
    <t xml:space="preserve">20164-4705 </t>
  </si>
  <si>
    <t>FGR3050000</t>
  </si>
  <si>
    <t xml:space="preserve">7175-1515-031     </t>
  </si>
  <si>
    <t xml:space="preserve"> 2ML 15"X50YD PERF MEDIUM GREY</t>
  </si>
  <si>
    <t xml:space="preserve">GRIMCO - ROCHESTER            </t>
  </si>
  <si>
    <t xml:space="preserve">180 COMMERCE DRIVE            </t>
  </si>
  <si>
    <t xml:space="preserve">ROCHESTER      </t>
  </si>
  <si>
    <t xml:space="preserve">KOHLER AWNING INC.            </t>
  </si>
  <si>
    <t xml:space="preserve">2600 WALDEN AVE               </t>
  </si>
  <si>
    <t xml:space="preserve">CHEEKTOWAGA    </t>
  </si>
  <si>
    <t xml:space="preserve">14225-4736 </t>
  </si>
  <si>
    <t>FGR3170100</t>
  </si>
  <si>
    <t xml:space="preserve">3630-2403-022     </t>
  </si>
  <si>
    <t xml:space="preserve"> 2ML 24"X10YD NONPERF BLACK   </t>
  </si>
  <si>
    <t xml:space="preserve">3630-2403-026     </t>
  </si>
  <si>
    <t xml:space="preserve"> 2ML 24"X10YD NONPERF GREEN   </t>
  </si>
  <si>
    <t xml:space="preserve">3630-2403-337     </t>
  </si>
  <si>
    <t xml:space="preserve"> 2ML 24"X10YD NPF PROCESS BLUE</t>
  </si>
  <si>
    <t xml:space="preserve">PATRIOT FIRE                  </t>
  </si>
  <si>
    <t xml:space="preserve">215 PULLMAN CROSSING RD       </t>
  </si>
  <si>
    <t xml:space="preserve">GRASONVILLE    </t>
  </si>
  <si>
    <t xml:space="preserve">21638-1453 </t>
  </si>
  <si>
    <t xml:space="preserve">6801-1515-082     </t>
  </si>
  <si>
    <t xml:space="preserve"> 7ML 15"X50YD NONPERF RUBY RED</t>
  </si>
  <si>
    <t xml:space="preserve">GRIMCO - ST. LOUIS            </t>
  </si>
  <si>
    <t xml:space="preserve">2030 CORPORATE 44 DRIVE       </t>
  </si>
  <si>
    <t xml:space="preserve">UNITED INK                    </t>
  </si>
  <si>
    <t xml:space="preserve">5901 COOL SPORTS RD           </t>
  </si>
  <si>
    <t xml:space="preserve">BELLEVILLE     </t>
  </si>
  <si>
    <t xml:space="preserve">62223-6848 </t>
  </si>
  <si>
    <t>FGR3310000</t>
  </si>
  <si>
    <t xml:space="preserve">0055-1503-914     </t>
  </si>
  <si>
    <t xml:space="preserve"> 3ML 15"X10YD PERF BEIGE      </t>
  </si>
  <si>
    <t xml:space="preserve">GRIMCO - ATLANTA GA           </t>
  </si>
  <si>
    <t xml:space="preserve">3939 ROYAL DRIVE N.W.         </t>
  </si>
  <si>
    <t xml:space="preserve">SUITE 135                     </t>
  </si>
  <si>
    <t xml:space="preserve">KENNESAW       </t>
  </si>
  <si>
    <t>GA</t>
  </si>
  <si>
    <t>SIGNAGE INDUSTRIES CORPORATION</t>
  </si>
  <si>
    <t xml:space="preserve">9552 US HIGHWAY 311           </t>
  </si>
  <si>
    <t xml:space="preserve">ARCHDALE       </t>
  </si>
  <si>
    <t>NC</t>
  </si>
  <si>
    <t xml:space="preserve">27263-8822 </t>
  </si>
  <si>
    <t>FGR3150000</t>
  </si>
  <si>
    <t xml:space="preserve">5101-4815-010     </t>
  </si>
  <si>
    <t xml:space="preserve"> 6ML 48"X50YD NONPERF WHITE   </t>
  </si>
  <si>
    <t xml:space="preserve">GRIMCO - SUMMERVILLE          </t>
  </si>
  <si>
    <t xml:space="preserve">114-A TRIGARD LANE            </t>
  </si>
  <si>
    <t xml:space="preserve">SUMMERVILLE    </t>
  </si>
  <si>
    <t>SC</t>
  </si>
  <si>
    <t>LAURETANO SIGN GROUP DBA ROBER</t>
  </si>
  <si>
    <t xml:space="preserve">3915 SAVANNAH HWY             </t>
  </si>
  <si>
    <t xml:space="preserve">JOHNS ISLAND   </t>
  </si>
  <si>
    <t xml:space="preserve">29455-7943 </t>
  </si>
  <si>
    <t>FGR3360000</t>
  </si>
  <si>
    <t xml:space="preserve">GRIMCO - APOPKA               </t>
  </si>
  <si>
    <t xml:space="preserve">102 SENORAN COMMERCE PLACE`   </t>
  </si>
  <si>
    <t xml:space="preserve">APOPKA         </t>
  </si>
  <si>
    <t xml:space="preserve">PRINTING USA                  </t>
  </si>
  <si>
    <t xml:space="preserve">4732 S ORANGE BLOSSOM TR      </t>
  </si>
  <si>
    <t xml:space="preserve">ORLANDO        </t>
  </si>
  <si>
    <t>FGR3011200</t>
  </si>
  <si>
    <t xml:space="preserve">6801-2403-010     </t>
  </si>
  <si>
    <t xml:space="preserve"> 7ML 24"X10YD NONPERF WHITE   </t>
  </si>
  <si>
    <t xml:space="preserve">GRIMCO - MOBILE               </t>
  </si>
  <si>
    <t xml:space="preserve">981 CORPORATE DR.             </t>
  </si>
  <si>
    <t xml:space="preserve">SUITE 13-14                   </t>
  </si>
  <si>
    <t xml:space="preserve">MOBILE         </t>
  </si>
  <si>
    <t>AL</t>
  </si>
  <si>
    <t xml:space="preserve">SIGN PRO                      </t>
  </si>
  <si>
    <t xml:space="preserve">2300 A AIRPORT BLVD           </t>
  </si>
  <si>
    <t>FGR3010000</t>
  </si>
  <si>
    <t xml:space="preserve">0050-4815-483     </t>
  </si>
  <si>
    <t xml:space="preserve"> 3ML 48"X50YD NPERF DARK RED  </t>
  </si>
  <si>
    <t xml:space="preserve">GRIMCO - DETROIT              </t>
  </si>
  <si>
    <t xml:space="preserve">10754 HI TECH DRIVE           </t>
  </si>
  <si>
    <t xml:space="preserve">WHITMORE LAKE  </t>
  </si>
  <si>
    <t>MI</t>
  </si>
  <si>
    <t xml:space="preserve">TOLEDO SIGN CO                </t>
  </si>
  <si>
    <t xml:space="preserve">2021 ADAMS ST                 </t>
  </si>
  <si>
    <t xml:space="preserve">TOLEDO         </t>
  </si>
  <si>
    <t>OH</t>
  </si>
  <si>
    <t xml:space="preserve">43604-5431 </t>
  </si>
  <si>
    <t>FGR3320000</t>
  </si>
  <si>
    <t xml:space="preserve">3630-2403-020     </t>
  </si>
  <si>
    <t xml:space="preserve"> 2ML 24"X10YD NONPERF WHITE   </t>
  </si>
  <si>
    <t xml:space="preserve">A-1 AFFORDABLE SIGN AND NEON  </t>
  </si>
  <si>
    <t xml:space="preserve">534 CONKEY ST STE 1           </t>
  </si>
  <si>
    <t xml:space="preserve">HAMMOND        </t>
  </si>
  <si>
    <t>IN</t>
  </si>
  <si>
    <t xml:space="preserve">46324-1146 </t>
  </si>
  <si>
    <t xml:space="preserve">GRIMCO - MIN                  </t>
  </si>
  <si>
    <t xml:space="preserve">5261 PROGRAM AVENUE           </t>
  </si>
  <si>
    <t xml:space="preserve">MOUNDS VIEW    </t>
  </si>
  <si>
    <t xml:space="preserve">SCENIC SIGN CORP              </t>
  </si>
  <si>
    <t xml:space="preserve">828 5TH ST S                  </t>
  </si>
  <si>
    <t xml:space="preserve">SAUK RAPIDS    </t>
  </si>
  <si>
    <t xml:space="preserve">56379-1352 </t>
  </si>
  <si>
    <t>FGR3250000</t>
  </si>
  <si>
    <t xml:space="preserve">7725-4803-013     </t>
  </si>
  <si>
    <t xml:space="preserve"> 2ML 48"X10YD NOPRF TOMATO RED</t>
  </si>
  <si>
    <t xml:space="preserve">7725-4803-037     </t>
  </si>
  <si>
    <t xml:space="preserve"> 2ML 48"X10YD NOPRF SAPPH BLUE</t>
  </si>
  <si>
    <t xml:space="preserve">GRIMCO - BIRMINGHAM           </t>
  </si>
  <si>
    <t xml:space="preserve">253 DISTRIBUTION DRIVE        </t>
  </si>
  <si>
    <t xml:space="preserve">BIRMINGHAM     </t>
  </si>
  <si>
    <t xml:space="preserve">KNIGHT SIGN INDUSTRIES        </t>
  </si>
  <si>
    <t xml:space="preserve">5959 KNIGHT AVE               </t>
  </si>
  <si>
    <t xml:space="preserve">TUSCALOOSA     </t>
  </si>
  <si>
    <t xml:space="preserve">35405-5503 </t>
  </si>
  <si>
    <t>FGR3000000</t>
  </si>
  <si>
    <t xml:space="preserve">3630-4815-037     </t>
  </si>
  <si>
    <t xml:space="preserve"> 2ML 48"X50YD NPF SAPPHIRE    </t>
  </si>
  <si>
    <t xml:space="preserve">COKER SIGNS AND GRAPHICS      </t>
  </si>
  <si>
    <t xml:space="preserve">775 SWAN LN                   </t>
  </si>
  <si>
    <t xml:space="preserve">CANTON         </t>
  </si>
  <si>
    <t xml:space="preserve">30115-4122 </t>
  </si>
  <si>
    <t xml:space="preserve">7725-2403-025     </t>
  </si>
  <si>
    <t xml:space="preserve"> 2ML 24"X10YD NOPERF SUNFLOWER</t>
  </si>
  <si>
    <t xml:space="preserve">GRIMCO - OMAHA                </t>
  </si>
  <si>
    <t xml:space="preserve">9313 J STREET                 </t>
  </si>
  <si>
    <t xml:space="preserve">OMAHA          </t>
  </si>
  <si>
    <t>NE</t>
  </si>
  <si>
    <t xml:space="preserve">AMERICAN MARKING INC.         </t>
  </si>
  <si>
    <t xml:space="preserve">846 5TH AVE                   </t>
  </si>
  <si>
    <t xml:space="preserve">DES MOINES     </t>
  </si>
  <si>
    <t>IA</t>
  </si>
  <si>
    <t xml:space="preserve">50309-1307 </t>
  </si>
  <si>
    <t>FGR3221000</t>
  </si>
  <si>
    <t xml:space="preserve">7725-3015-314     </t>
  </si>
  <si>
    <t xml:space="preserve"> 2ML 30"X50YD NP DUSTED CRYSTL</t>
  </si>
  <si>
    <t xml:space="preserve">GRIMCO ORL                    </t>
  </si>
  <si>
    <t xml:space="preserve">236 OUTLOOK POINT DR STE 100  </t>
  </si>
  <si>
    <t xml:space="preserve">32809-7253 </t>
  </si>
  <si>
    <t xml:space="preserve">6800-3015-064     </t>
  </si>
  <si>
    <t xml:space="preserve"> 7ML 30"X50YD NONPERF GOLD    </t>
  </si>
  <si>
    <t xml:space="preserve">GRIMCO - CARLSTADT            </t>
  </si>
  <si>
    <t xml:space="preserve">525 DELL ROAD                 </t>
  </si>
  <si>
    <t xml:space="preserve">CARLSTADT      </t>
  </si>
  <si>
    <t xml:space="preserve">CROWN SIGN SYSTEMS            </t>
  </si>
  <si>
    <t xml:space="preserve">2 SOUTH ST                    </t>
  </si>
  <si>
    <t xml:space="preserve">MOUNT VERNON   </t>
  </si>
  <si>
    <t xml:space="preserve">10550-1708 </t>
  </si>
  <si>
    <t>FGR3311000</t>
  </si>
  <si>
    <t xml:space="preserve">3630-2403-143     </t>
  </si>
  <si>
    <t xml:space="preserve"> 2ML 24"X10YD NOPERF POPPY RED</t>
  </si>
  <si>
    <t xml:space="preserve">3630-2403-084     </t>
  </si>
  <si>
    <t xml:space="preserve"> 2ML 24"X10YD NOPERF TANGERINE</t>
  </si>
  <si>
    <t xml:space="preserve">GRIMCO - OHIO, COLUMBUS       </t>
  </si>
  <si>
    <t xml:space="preserve">1641 TAYLOR ROAD              </t>
  </si>
  <si>
    <t xml:space="preserve">GAHANNA        </t>
  </si>
  <si>
    <t xml:space="preserve">CAS                           </t>
  </si>
  <si>
    <t xml:space="preserve">2540 OLENTANGY RIVER RD       </t>
  </si>
  <si>
    <t xml:space="preserve">COLUMBUS       </t>
  </si>
  <si>
    <t xml:space="preserve">43202-1505 </t>
  </si>
  <si>
    <t>FGR3100000</t>
  </si>
  <si>
    <t xml:space="preserve">7292-5416-300     </t>
  </si>
  <si>
    <t xml:space="preserve"> 3.2ML 54"X164FT ETCH GLASS   </t>
  </si>
  <si>
    <t xml:space="preserve"> ICE LOOK DRY APPLY VINYL FILM</t>
  </si>
  <si>
    <t xml:space="preserve">FRESH INK SIGNS AND GRAPHICS  </t>
  </si>
  <si>
    <t xml:space="preserve">4729 PATCH RD STE 200         </t>
  </si>
  <si>
    <t xml:space="preserve">32822-3579 </t>
  </si>
  <si>
    <t xml:space="preserve">DWMT48082204      </t>
  </si>
  <si>
    <t xml:space="preserve"> DWMT2204 48IN X 27YD         </t>
  </si>
  <si>
    <t>SEABOARD SIGNS   ENGRAVING INC</t>
  </si>
  <si>
    <t xml:space="preserve">4320 WACCAMAW BLVD            </t>
  </si>
  <si>
    <t xml:space="preserve">MYRTLE BEACH   </t>
  </si>
  <si>
    <t xml:space="preserve">29579-9500 </t>
  </si>
  <si>
    <t xml:space="preserve">3635-4803-030     </t>
  </si>
  <si>
    <t xml:space="preserve"> 4ML 48"X10YD NPF 30% LT WHITE</t>
  </si>
  <si>
    <t xml:space="preserve">AMERICAN GRAPHX               </t>
  </si>
  <si>
    <t xml:space="preserve">702 S CHURCH ST               </t>
  </si>
  <si>
    <t xml:space="preserve">ELLISVILLE     </t>
  </si>
  <si>
    <t xml:space="preserve">39437-3618 </t>
  </si>
  <si>
    <t xml:space="preserve">4826-2403-041     </t>
  </si>
  <si>
    <t xml:space="preserve"> 3ML 24"X10YD NONPERF GOLD    </t>
  </si>
  <si>
    <t xml:space="preserve"> LARGE ENGINE TURN            </t>
  </si>
  <si>
    <t xml:space="preserve">SIGN SOURCE --JOSH            </t>
  </si>
  <si>
    <t xml:space="preserve">33 THWEATT INDUSTRIAL BLVD    </t>
  </si>
  <si>
    <t xml:space="preserve">DADEVILLE      </t>
  </si>
  <si>
    <t xml:space="preserve">36853-2606 </t>
  </si>
  <si>
    <t xml:space="preserve">3700-2403-004     </t>
  </si>
  <si>
    <t xml:space="preserve">0050-4815-090     </t>
  </si>
  <si>
    <t xml:space="preserve"> 3ML 48"X50YD NPF DP NAVY BLUE</t>
  </si>
  <si>
    <t xml:space="preserve">GRIMCO - JACKSONVILLE         </t>
  </si>
  <si>
    <t xml:space="preserve">4344 PHILLIPS HIGHWAY         </t>
  </si>
  <si>
    <t xml:space="preserve">JACKSONVILLE   </t>
  </si>
  <si>
    <t xml:space="preserve">BILL'S SIGNS   SERVICE- INC.  </t>
  </si>
  <si>
    <t xml:space="preserve">5765 MANDY LN                 </t>
  </si>
  <si>
    <t xml:space="preserve">TALLAHASSEE    </t>
  </si>
  <si>
    <t xml:space="preserve">32304-9249 </t>
  </si>
  <si>
    <t>FGR3130000</t>
  </si>
  <si>
    <t xml:space="preserve">3630-3015-025     </t>
  </si>
  <si>
    <t xml:space="preserve"> 2ML 30"X50YD NOPERF SUNFLOWER</t>
  </si>
  <si>
    <t xml:space="preserve">GRIMCO - SAN ANTONIO          </t>
  </si>
  <si>
    <t xml:space="preserve">5710 RITTIMAN PLAZA           </t>
  </si>
  <si>
    <t xml:space="preserve">SAN ANTONIO    </t>
  </si>
  <si>
    <t xml:space="preserve">SIGNS LLC                     </t>
  </si>
  <si>
    <t xml:space="preserve">5733 KENWICK ST               </t>
  </si>
  <si>
    <t xml:space="preserve">78238-1816 </t>
  </si>
  <si>
    <t>FGR3230000</t>
  </si>
  <si>
    <t xml:space="preserve">5101-2403-071     </t>
  </si>
  <si>
    <t xml:space="preserve"> 6ML 24"X10YD NONPERF YELLOW  </t>
  </si>
  <si>
    <t xml:space="preserve">MESSENGER MOTORWORKS          </t>
  </si>
  <si>
    <t xml:space="preserve">3808 EASTERN AVE              </t>
  </si>
  <si>
    <t xml:space="preserve">DAVENPORT      </t>
  </si>
  <si>
    <t xml:space="preserve">52807-1306 </t>
  </si>
  <si>
    <t xml:space="preserve">GRIMCO - SOLON                </t>
  </si>
  <si>
    <t xml:space="preserve">861 EAST TALLMADGE AVE        </t>
  </si>
  <si>
    <t xml:space="preserve">UNIT 4                        </t>
  </si>
  <si>
    <t xml:space="preserve">AKRON          </t>
  </si>
  <si>
    <t xml:space="preserve">GRAPHIC DETAIL INC.           </t>
  </si>
  <si>
    <t xml:space="preserve">936 GREENBRIAR PKWY           </t>
  </si>
  <si>
    <t xml:space="preserve">44240-6448 </t>
  </si>
  <si>
    <t>FGR3080000</t>
  </si>
  <si>
    <t xml:space="preserve">0050-2403-066     </t>
  </si>
  <si>
    <t xml:space="preserve"> 3ML 24"X10YD NONPERF PURPLE  </t>
  </si>
  <si>
    <t xml:space="preserve">4826-2403-107     </t>
  </si>
  <si>
    <t xml:space="preserve"> 3ML 24"X10YD NONPERF SILVER  </t>
  </si>
  <si>
    <t xml:space="preserve"> SMOOTH MIRROR OD-3101        </t>
  </si>
  <si>
    <t xml:space="preserve">GRIMCO - CINCINNATI           </t>
  </si>
  <si>
    <t xml:space="preserve">9679 CINCINNATI DAYTON RD     </t>
  </si>
  <si>
    <t xml:space="preserve">W. CHESTER TWP </t>
  </si>
  <si>
    <t xml:space="preserve">PERFORMANCE GRAPHICS          </t>
  </si>
  <si>
    <t xml:space="preserve">3451 MCINTIRE RD              </t>
  </si>
  <si>
    <t xml:space="preserve">MORROW         </t>
  </si>
  <si>
    <t xml:space="preserve">45152-9587 </t>
  </si>
  <si>
    <t>FGR3082000</t>
  </si>
  <si>
    <t xml:space="preserve">7175-1515-010     </t>
  </si>
  <si>
    <t xml:space="preserve"> 2ML 15"X50YD PERF WHITE      </t>
  </si>
  <si>
    <t xml:space="preserve">GRIMCO - EASTON               </t>
  </si>
  <si>
    <t xml:space="preserve">4 MCFADDEN ROAD               </t>
  </si>
  <si>
    <t xml:space="preserve">EASTON         </t>
  </si>
  <si>
    <t>PA</t>
  </si>
  <si>
    <t xml:space="preserve">BRAND IT SIGNS   GRAPHICS     </t>
  </si>
  <si>
    <t xml:space="preserve">111 THOMPSON RD               </t>
  </si>
  <si>
    <t xml:space="preserve">KENNETT SQUARE </t>
  </si>
  <si>
    <t xml:space="preserve">19348-2223 </t>
  </si>
  <si>
    <t>FGR3390000</t>
  </si>
  <si>
    <t xml:space="preserve">7125-2403-276     </t>
  </si>
  <si>
    <t xml:space="preserve"> 2ML 24"X10YD NPF BOTTLE GREEN</t>
  </si>
  <si>
    <t xml:space="preserve">STRIPE IT                     </t>
  </si>
  <si>
    <t xml:space="preserve">2213 W PALMETTO ST UNIT B     </t>
  </si>
  <si>
    <t xml:space="preserve">FLORENCE       </t>
  </si>
  <si>
    <t xml:space="preserve">29501-3909 </t>
  </si>
  <si>
    <t xml:space="preserve">6801-2403-076     </t>
  </si>
  <si>
    <t xml:space="preserve"> 7ML 24"X10YD NPERF LIGHT BLUE</t>
  </si>
  <si>
    <t xml:space="preserve">ARLINGTON SIGNS               </t>
  </si>
  <si>
    <t xml:space="preserve">736 LONGTREE DR               </t>
  </si>
  <si>
    <t xml:space="preserve">WHEELING       </t>
  </si>
  <si>
    <t xml:space="preserve">60090-5544 </t>
  </si>
  <si>
    <t xml:space="preserve">3630-2403-125     </t>
  </si>
  <si>
    <t xml:space="preserve"> 2ML 24"X10YD NPF GOLDN YELLOW</t>
  </si>
  <si>
    <t xml:space="preserve">FORGE SIGNWORKS LLC           </t>
  </si>
  <si>
    <t xml:space="preserve">1115 GLOBE AVE STE 2          </t>
  </si>
  <si>
    <t xml:space="preserve">MOUNTAINSIDE   </t>
  </si>
  <si>
    <t xml:space="preserve">07092-2923 </t>
  </si>
  <si>
    <t xml:space="preserve">3635-4803-020     </t>
  </si>
  <si>
    <t xml:space="preserve"> 5.5ML 48"X10YD NP WHITE/BLACK</t>
  </si>
  <si>
    <t xml:space="preserve">TWO RIVERS SIGNS AND DESIGNS  </t>
  </si>
  <si>
    <t xml:space="preserve">1316 WAUONA TRL               </t>
  </si>
  <si>
    <t xml:space="preserve">PORTAGE        </t>
  </si>
  <si>
    <t>WI</t>
  </si>
  <si>
    <t xml:space="preserve">53901-1412 </t>
  </si>
  <si>
    <t xml:space="preserve">7175-1503-053     </t>
  </si>
  <si>
    <t xml:space="preserve"> 2ML 15"X10YD PRF CARDINAL RED</t>
  </si>
  <si>
    <t xml:space="preserve">GRIMCO - NASHVILLE            </t>
  </si>
  <si>
    <t xml:space="preserve">508 AIRPARK CENTER DRIVE      </t>
  </si>
  <si>
    <t xml:space="preserve">NASHVILLE      </t>
  </si>
  <si>
    <t>TN</t>
  </si>
  <si>
    <t xml:space="preserve">CREATIVE EDGE GRAPHICS        </t>
  </si>
  <si>
    <t xml:space="preserve">4706 RUTLEDGE PIKE            </t>
  </si>
  <si>
    <t xml:space="preserve">KNOXVILLE      </t>
  </si>
  <si>
    <t xml:space="preserve">37914-3225 </t>
  </si>
  <si>
    <t>FGR3200000</t>
  </si>
  <si>
    <t xml:space="preserve">7125-4803-105     </t>
  </si>
  <si>
    <t xml:space="preserve"> 2ML 48"X10YD NPF HARVEST GOLD</t>
  </si>
  <si>
    <t xml:space="preserve">LIGHTNING SIGNS   DECALS LLC  </t>
  </si>
  <si>
    <t xml:space="preserve">205 S BROADWAY ST             </t>
  </si>
  <si>
    <t>NEW PHILADELPHI</t>
  </si>
  <si>
    <t xml:space="preserve">44663-3830 </t>
  </si>
  <si>
    <t xml:space="preserve">5101-4803-085     </t>
  </si>
  <si>
    <t xml:space="preserve"> 6ML 48"X10YD NONPERF BLACK   </t>
  </si>
  <si>
    <t xml:space="preserve">T N SIGNS                     </t>
  </si>
  <si>
    <t xml:space="preserve">2395 COUNTY ROAD 3            </t>
  </si>
  <si>
    <t xml:space="preserve">BROWNSVILLE    </t>
  </si>
  <si>
    <t xml:space="preserve">5151-1503-071     </t>
  </si>
  <si>
    <t xml:space="preserve"> 6ML 15"X10YD PERF YELLOW     </t>
  </si>
  <si>
    <t xml:space="preserve">SIGNS NOW                     </t>
  </si>
  <si>
    <t xml:space="preserve">2232 W 23RD ST                </t>
  </si>
  <si>
    <t xml:space="preserve">ERIE           </t>
  </si>
  <si>
    <t xml:space="preserve">16506-2917 </t>
  </si>
  <si>
    <t xml:space="preserve">7125-2403-020     </t>
  </si>
  <si>
    <t xml:space="preserve"> 2ML 24"X10YD NPRF MATTE WHITE</t>
  </si>
  <si>
    <t xml:space="preserve">GRIMCO - CARROLLTON           </t>
  </si>
  <si>
    <t xml:space="preserve">200 NORTHPOINT DR             </t>
  </si>
  <si>
    <t xml:space="preserve">SUITE 200                     </t>
  </si>
  <si>
    <t xml:space="preserve">COPPELL        </t>
  </si>
  <si>
    <t xml:space="preserve">SIGNARAMA                     </t>
  </si>
  <si>
    <t xml:space="preserve">400 N AKARD ST.  SUITE 110    </t>
  </si>
  <si>
    <t xml:space="preserve">75201-3305 </t>
  </si>
  <si>
    <t>FGR3140000</t>
  </si>
  <si>
    <t xml:space="preserve">0050-4803-120     </t>
  </si>
  <si>
    <t xml:space="preserve"> 3ML 48"X10YD NPRF MATTE BLACK</t>
  </si>
  <si>
    <t xml:space="preserve">YIPES AUTO   GRAPHICS         </t>
  </si>
  <si>
    <t xml:space="preserve">740 MARSHALL AVE STE 30       </t>
  </si>
  <si>
    <t xml:space="preserve">WILLISTON      </t>
  </si>
  <si>
    <t>VT</t>
  </si>
  <si>
    <t xml:space="preserve">05495-8921 </t>
  </si>
  <si>
    <t xml:space="preserve">7125-3015-031     </t>
  </si>
  <si>
    <t xml:space="preserve"> 2ML 30"X50YD NONPERF MED GREY</t>
  </si>
  <si>
    <t xml:space="preserve">VISION SIGNS  INC.            </t>
  </si>
  <si>
    <t xml:space="preserve">11384 HILL ST                 </t>
  </si>
  <si>
    <t xml:space="preserve">FELTON         </t>
  </si>
  <si>
    <t xml:space="preserve">17322-8667 </t>
  </si>
  <si>
    <t xml:space="preserve">180MC4803-012     </t>
  </si>
  <si>
    <t xml:space="preserve"> 2ML 48"X10YD NP BLACK        </t>
  </si>
  <si>
    <t xml:space="preserve">GRIMCO - INDIANAPOLIS         </t>
  </si>
  <si>
    <t xml:space="preserve">7301 GEORGETOWN ROAD          </t>
  </si>
  <si>
    <t xml:space="preserve">SUITE 210                     </t>
  </si>
  <si>
    <t xml:space="preserve">INDIANAPOLIS   </t>
  </si>
  <si>
    <t xml:space="preserve">EVERYWHERE SIGNS              </t>
  </si>
  <si>
    <t xml:space="preserve">2630 N WALNUT ST              </t>
  </si>
  <si>
    <t xml:space="preserve">BLOOMINGTON    </t>
  </si>
  <si>
    <t xml:space="preserve">47404-2008 </t>
  </si>
  <si>
    <t>FGR3030000</t>
  </si>
  <si>
    <t xml:space="preserve">3635-4803-091     </t>
  </si>
  <si>
    <t xml:space="preserve"> 4ML 48"X10YD NPERF SMOKE GREY</t>
  </si>
  <si>
    <t xml:space="preserve">BCI, LLC                      </t>
  </si>
  <si>
    <t xml:space="preserve">287 KEAP STREET               </t>
  </si>
  <si>
    <t xml:space="preserve">BROOKLYN       </t>
  </si>
  <si>
    <t xml:space="preserve">BOB HILDRETH                  </t>
  </si>
  <si>
    <t xml:space="preserve">19867 CO HWY D-20             </t>
  </si>
  <si>
    <t xml:space="preserve">IOWA FALLS     </t>
  </si>
  <si>
    <t>FBC1000000</t>
  </si>
  <si>
    <t xml:space="preserve">7725-2403-414     </t>
  </si>
  <si>
    <t xml:space="preserve"> 2ML 24"X10YD NOPRF RED ORANGE</t>
  </si>
  <si>
    <t xml:space="preserve">FELLERS - MEMPHIS             </t>
  </si>
  <si>
    <t xml:space="preserve">3570 SKY HARBOR COVE          </t>
  </si>
  <si>
    <t xml:space="preserve">MEMPHIS        </t>
  </si>
  <si>
    <t xml:space="preserve">SIGNWORKS                     </t>
  </si>
  <si>
    <t xml:space="preserve">JAMES BOLER                   </t>
  </si>
  <si>
    <t xml:space="preserve">792 S COOPER                  </t>
  </si>
  <si>
    <t>FFE5260000</t>
  </si>
  <si>
    <t xml:space="preserve">MW4801777         </t>
  </si>
  <si>
    <t xml:space="preserve"> MW777 48IN X 5YD             </t>
  </si>
  <si>
    <t xml:space="preserve"> DI-NOC Metallic Wood         </t>
  </si>
  <si>
    <t xml:space="preserve">MW4803777         </t>
  </si>
  <si>
    <t xml:space="preserve"> MW777 48IN X 10YD            </t>
  </si>
  <si>
    <t>1003452-00</t>
  </si>
  <si>
    <t xml:space="preserve">3630-4815-128     </t>
  </si>
  <si>
    <t xml:space="preserve"> 2ML 48"X50YD NPRF PLUM PURPLE</t>
  </si>
  <si>
    <t xml:space="preserve">3630-4815-087     </t>
  </si>
  <si>
    <t xml:space="preserve"> 2ML 48"X50YD NOPERF ROYL BLUE</t>
  </si>
  <si>
    <t xml:space="preserve">-#                            </t>
  </si>
  <si>
    <t xml:space="preserve">REECE SUPPLY - CHARLOTTE      </t>
  </si>
  <si>
    <t xml:space="preserve">2700 HUTCHINSON MCDONALD ROAD </t>
  </si>
  <si>
    <t xml:space="preserve">SUITE N                       </t>
  </si>
  <si>
    <t xml:space="preserve">CHARLOTTE      </t>
  </si>
  <si>
    <t xml:space="preserve">THE SIGN CO OF WILMINGTON INC </t>
  </si>
  <si>
    <t xml:space="preserve">428 LANDMARK DRIVE            </t>
  </si>
  <si>
    <t xml:space="preserve">WILMINGTON     </t>
  </si>
  <si>
    <t>FRE1018000</t>
  </si>
  <si>
    <t xml:space="preserve">S5063692  </t>
  </si>
  <si>
    <t xml:space="preserve">7725-1503-136     </t>
  </si>
  <si>
    <t xml:space="preserve"> 2ML 15"X10YD NP LIME GREEN   </t>
  </si>
  <si>
    <t xml:space="preserve">ATLAS SIGN SERVICES           </t>
  </si>
  <si>
    <t xml:space="preserve">6411 AIRLINE DR               </t>
  </si>
  <si>
    <t xml:space="preserve">HOUSTON        </t>
  </si>
  <si>
    <t xml:space="preserve">481079-00 </t>
  </si>
  <si>
    <t xml:space="preserve">FELLERS - CHARLOTTE           </t>
  </si>
  <si>
    <t xml:space="preserve">1010 PRESSLEY ROAD            </t>
  </si>
  <si>
    <t xml:space="preserve">SIGN &amp; AWNINGS SYSTEM INC.    </t>
  </si>
  <si>
    <t xml:space="preserve">2785 US HWY 301 N.            </t>
  </si>
  <si>
    <t xml:space="preserve">ATTN:JAYMES                   </t>
  </si>
  <si>
    <t xml:space="preserve">DUNN           </t>
  </si>
  <si>
    <t>FFE5050000</t>
  </si>
  <si>
    <t xml:space="preserve">7125-3015-063     </t>
  </si>
  <si>
    <t xml:space="preserve"> 2ML 30"X50YD NONPERF GERANIUM</t>
  </si>
  <si>
    <t xml:space="preserve">7125-3015-057     </t>
  </si>
  <si>
    <t xml:space="preserve"> 2ML 30"X50YD NPF OLYMPIC BLUE</t>
  </si>
  <si>
    <t xml:space="preserve">CUSTOM PRINTS LLC             </t>
  </si>
  <si>
    <t xml:space="preserve">3500 N ROCK RD                </t>
  </si>
  <si>
    <t xml:space="preserve">BUILDING 2100                 </t>
  </si>
  <si>
    <t xml:space="preserve">CA4801421         </t>
  </si>
  <si>
    <t xml:space="preserve"> CA421 48IN X 5YD             </t>
  </si>
  <si>
    <t xml:space="preserve"> DI-NOC Carbon                </t>
  </si>
  <si>
    <t xml:space="preserve">FW48011757        </t>
  </si>
  <si>
    <t xml:space="preserve"> FW1757 48IN X 5YD            </t>
  </si>
  <si>
    <t xml:space="preserve"> DI-NOC Fine Wood             </t>
  </si>
  <si>
    <t xml:space="preserve">ME4801486         </t>
  </si>
  <si>
    <t xml:space="preserve"> ME486 48IN X 5YD             </t>
  </si>
  <si>
    <t xml:space="preserve"> DI-NOC Metallic              </t>
  </si>
  <si>
    <t xml:space="preserve">PS4801504         </t>
  </si>
  <si>
    <t xml:space="preserve"> PS504 48IN X 5YD             </t>
  </si>
  <si>
    <t xml:space="preserve"> DI-NOC Single Color          </t>
  </si>
  <si>
    <t xml:space="preserve">WG48011390        </t>
  </si>
  <si>
    <t xml:space="preserve"> WG1390 48IN X 5YD            </t>
  </si>
  <si>
    <t xml:space="preserve"> DI-NOC Wood Grain            </t>
  </si>
  <si>
    <t xml:space="preserve">BEACON GRAPHICS - NJ          </t>
  </si>
  <si>
    <t xml:space="preserve">189 MEISTER AVENUE            </t>
  </si>
  <si>
    <t xml:space="preserve">BRANCHBURG     </t>
  </si>
  <si>
    <t xml:space="preserve">DEPT OF PUBLIC WORKS          </t>
  </si>
  <si>
    <t>TOWNSHIP OF JEFFERSON/MARGO LO</t>
  </si>
  <si>
    <t xml:space="preserve">1033 WELDON ROAD              </t>
  </si>
  <si>
    <t xml:space="preserve">LAKE HOPATCONG </t>
  </si>
  <si>
    <t>FBE1010000</t>
  </si>
  <si>
    <t xml:space="preserve">6800-2403-071     </t>
  </si>
  <si>
    <t xml:space="preserve"> 7ML 24"X10YD NONPERF YELLOW  </t>
  </si>
  <si>
    <t xml:space="preserve">7125-2403-197     </t>
  </si>
  <si>
    <t xml:space="preserve"> 2ML 24"X10YD NONPERF LT NAVY </t>
  </si>
  <si>
    <t xml:space="preserve">FELLERS - NASHVILLE           </t>
  </si>
  <si>
    <t xml:space="preserve">233 BLANTON AVENUE            </t>
  </si>
  <si>
    <t>COUNTRY MUSIC HALL OF FAME AND</t>
  </si>
  <si>
    <t xml:space="preserve">222 REP JOHN LEWIS WAY S      </t>
  </si>
  <si>
    <t xml:space="preserve">ATTN JOHN SLOBODA             </t>
  </si>
  <si>
    <t xml:space="preserve">37203-4206 </t>
  </si>
  <si>
    <t>FFE5270000</t>
  </si>
  <si>
    <t xml:space="preserve">7175-3003-022     </t>
  </si>
  <si>
    <t xml:space="preserve"> 2ML 30"X10YD PERF MATTE BLACK</t>
  </si>
  <si>
    <t xml:space="preserve">UPPER LEVEL GRAPHICS- INC     </t>
  </si>
  <si>
    <t xml:space="preserve">13193 WAYNE RD                </t>
  </si>
  <si>
    <t xml:space="preserve">LIVONIA        </t>
  </si>
  <si>
    <t xml:space="preserve">48150-1266 </t>
  </si>
  <si>
    <t xml:space="preserve">7125-3003-031     </t>
  </si>
  <si>
    <t xml:space="preserve"> 2ML 30"X10YD NONPERF MED GREY</t>
  </si>
  <si>
    <t xml:space="preserve">CRAFTSMEN INDUSTRIES          </t>
  </si>
  <si>
    <t xml:space="preserve">3101 ELM POINT INDUSTRIAL DR  </t>
  </si>
  <si>
    <t xml:space="preserve">SAINT CHARLES  </t>
  </si>
  <si>
    <t xml:space="preserve">63301-4338 </t>
  </si>
  <si>
    <t xml:space="preserve">7125-4815-020     </t>
  </si>
  <si>
    <t xml:space="preserve"> 2ML 48"X50YD NPRF MATTE WHITE</t>
  </si>
  <si>
    <t xml:space="preserve">FELLERS - COLONIE             </t>
  </si>
  <si>
    <t xml:space="preserve">8 ACCESS ROAD                 </t>
  </si>
  <si>
    <t xml:space="preserve">UNIT 3                        </t>
  </si>
  <si>
    <t xml:space="preserve">COLONIE        </t>
  </si>
  <si>
    <t xml:space="preserve">INFINITE SIGNS                </t>
  </si>
  <si>
    <t xml:space="preserve">16 GABRIELS WAY               </t>
  </si>
  <si>
    <t xml:space="preserve">OAKLAND        </t>
  </si>
  <si>
    <t>ME</t>
  </si>
  <si>
    <t xml:space="preserve">04963-4453 </t>
  </si>
  <si>
    <t>FFE5540000</t>
  </si>
  <si>
    <t xml:space="preserve">7175-1503-105     </t>
  </si>
  <si>
    <t xml:space="preserve"> 2ML 15"X10YD PRF HARVEST GOLD</t>
  </si>
  <si>
    <t xml:space="preserve">MEYER PLASTICS - INDY         </t>
  </si>
  <si>
    <t xml:space="preserve">5968 SUNNYSIDE ROAD           </t>
  </si>
  <si>
    <t xml:space="preserve">CHRISTY'S DESIGN &amp; SIGNN INC. </t>
  </si>
  <si>
    <t xml:space="preserve">500 S POLK ST                 </t>
  </si>
  <si>
    <t xml:space="preserve">GREENWOOD      </t>
  </si>
  <si>
    <t>FME1030000</t>
  </si>
  <si>
    <t xml:space="preserve">7270-5408-049     </t>
  </si>
  <si>
    <t xml:space="preserve"> 3.2ML 54"X25YD NP MATTE WHITE</t>
  </si>
  <si>
    <t xml:space="preserve"> TRANSLUCENT VINYL FILM       </t>
  </si>
  <si>
    <t xml:space="preserve">ENERGY PRODUCTS DISTRIBUTION  </t>
  </si>
  <si>
    <t xml:space="preserve">9223 HARFORD ROAD             </t>
  </si>
  <si>
    <t xml:space="preserve">BALTIMORE      </t>
  </si>
  <si>
    <t xml:space="preserve">GALAXY SIGN CO                </t>
  </si>
  <si>
    <t xml:space="preserve">6523 CALIFORNIA AVE SW        </t>
  </si>
  <si>
    <t xml:space="preserve">#225                          </t>
  </si>
  <si>
    <t xml:space="preserve">SEATTLE        </t>
  </si>
  <si>
    <t>FEN1001000</t>
  </si>
  <si>
    <t xml:space="preserve">FW48011766        </t>
  </si>
  <si>
    <t xml:space="preserve"> FW1766 48IN X 5YD            </t>
  </si>
  <si>
    <t>FAR FROM NORMAL GRAPHICS-FARGO</t>
  </si>
  <si>
    <t xml:space="preserve">1318 39TH STREET NW           </t>
  </si>
  <si>
    <t xml:space="preserve">FARGO          </t>
  </si>
  <si>
    <t>ND</t>
  </si>
  <si>
    <t xml:space="preserve">WINNING EDGE GRAPHICS         </t>
  </si>
  <si>
    <t xml:space="preserve">202 MAPLE ST                  </t>
  </si>
  <si>
    <t xml:space="preserve">ALEXANDRIA     </t>
  </si>
  <si>
    <t>FFA1060000</t>
  </si>
  <si>
    <t xml:space="preserve">7301-4808-010     </t>
  </si>
  <si>
    <t xml:space="preserve"> 7ML 48"X25YD WHITE           </t>
  </si>
  <si>
    <t xml:space="preserve"> IJ680CR-10 SERIES            </t>
  </si>
  <si>
    <t xml:space="preserve">REECE SUPPLY-DALLAS           </t>
  </si>
  <si>
    <t xml:space="preserve">P.O. BOX 565545               </t>
  </si>
  <si>
    <t xml:space="preserve">PHASE 3 MEDIA                 </t>
  </si>
  <si>
    <t xml:space="preserve">dba: GIGANTIC COLOR           </t>
  </si>
  <si>
    <t xml:space="preserve">415 REGAL ROW                 </t>
  </si>
  <si>
    <t>FRE1015000</t>
  </si>
  <si>
    <t xml:space="preserve">S5064030  </t>
  </si>
  <si>
    <t xml:space="preserve">7725-4803-241     </t>
  </si>
  <si>
    <t xml:space="preserve"> 2ML 48"X10YD NP GOLD METALLIC</t>
  </si>
  <si>
    <t xml:space="preserve">LOWEN CORP.                   </t>
  </si>
  <si>
    <t xml:space="preserve">P.O. BOX 1528                 </t>
  </si>
  <si>
    <t xml:space="preserve">HUTCHINSON     </t>
  </si>
  <si>
    <t xml:space="preserve">LOWEN COLOR GRAPHICS          </t>
  </si>
  <si>
    <t xml:space="preserve">1111 AIRPORT RD               </t>
  </si>
  <si>
    <t>FLO1014000</t>
  </si>
  <si>
    <t>UPS GROUND</t>
  </si>
  <si>
    <t xml:space="preserve">1Z5934W80377146157            </t>
  </si>
  <si>
    <t xml:space="preserve">180MC4815-131     </t>
  </si>
  <si>
    <t xml:space="preserve"> 2ML 48"X50YD NP SATIN GOLD   </t>
  </si>
  <si>
    <t xml:space="preserve">MOVED/SPLIT W/RENO            </t>
  </si>
  <si>
    <t xml:space="preserve">SIGNMAX / ALERT-O-LITE        </t>
  </si>
  <si>
    <t xml:space="preserve">2436 FOUNDRY PARK AVE         </t>
  </si>
  <si>
    <t xml:space="preserve">93706-4531 </t>
  </si>
  <si>
    <t xml:space="preserve">7125-2403-056     </t>
  </si>
  <si>
    <t xml:space="preserve"> 2ML 24"X10YD NONPERF DK GREEN</t>
  </si>
  <si>
    <t xml:space="preserve">THE SIGN WORKS                </t>
  </si>
  <si>
    <t xml:space="preserve">4938 W STATE HIGHWAY 140      </t>
  </si>
  <si>
    <t xml:space="preserve">ATWATER        </t>
  </si>
  <si>
    <t xml:space="preserve">95301-8838 </t>
  </si>
  <si>
    <t xml:space="preserve">7125-2415-056     </t>
  </si>
  <si>
    <t xml:space="preserve"> 2ML 24"X50YD NONPERF DK GREEN</t>
  </si>
  <si>
    <t>HIGH PERFORMANCE SIGNS &amp; GRAPH</t>
  </si>
  <si>
    <t xml:space="preserve">180MC4803-201     </t>
  </si>
  <si>
    <t xml:space="preserve"> 2ML 48"X10YD NPF SLATE METALL</t>
  </si>
  <si>
    <t xml:space="preserve">GLANTZ-BREA                   </t>
  </si>
  <si>
    <t xml:space="preserve">350 RANGER AVENUE #B          </t>
  </si>
  <si>
    <t xml:space="preserve">BREA           </t>
  </si>
  <si>
    <t xml:space="preserve">VITAL SIGNS OF BAKERSFIELD    </t>
  </si>
  <si>
    <t xml:space="preserve">6703 ROSEDALE HIGHWAY         </t>
  </si>
  <si>
    <t xml:space="preserve">BAKERSFIELD    </t>
  </si>
  <si>
    <t>FGL1034000</t>
  </si>
  <si>
    <t>3723111-00</t>
  </si>
  <si>
    <t xml:space="preserve">3630-4803-108     </t>
  </si>
  <si>
    <t xml:space="preserve"> 2ML 48"X10YD NONPERF PINK    </t>
  </si>
  <si>
    <t xml:space="preserve">PERFECTLY FRESH LOGISTIC INC  </t>
  </si>
  <si>
    <t xml:space="preserve">8333 HIGHWAY 140 E            </t>
  </si>
  <si>
    <t xml:space="preserve">KLAMATH FALLS  </t>
  </si>
  <si>
    <t xml:space="preserve">97603-9420 </t>
  </si>
  <si>
    <t xml:space="preserve">4827-2403-007     </t>
  </si>
  <si>
    <t xml:space="preserve"> DIAMOND PLATE                </t>
  </si>
  <si>
    <t xml:space="preserve">960 W 2100 S                  </t>
  </si>
  <si>
    <t xml:space="preserve">6801-2403-064     </t>
  </si>
  <si>
    <t xml:space="preserve"> 7ML 24"X10YD NONPERF GOLD    </t>
  </si>
  <si>
    <t xml:space="preserve">KAPCO GRAPHIC PRODUCTS        </t>
  </si>
  <si>
    <t xml:space="preserve">1000 CHERRY STREET            </t>
  </si>
  <si>
    <t xml:space="preserve">44240-7520 </t>
  </si>
  <si>
    <t xml:space="preserve">JERRY WYRICK                  </t>
  </si>
  <si>
    <t xml:space="preserve">4670 KINGSBURY RD             </t>
  </si>
  <si>
    <t xml:space="preserve">*RESIDENTIAL*                 </t>
  </si>
  <si>
    <t xml:space="preserve">MEDINA         </t>
  </si>
  <si>
    <t>FKA1010000</t>
  </si>
  <si>
    <t>FEDEX 1SAT</t>
  </si>
  <si>
    <t xml:space="preserve"> 1.0%,10 NET 30</t>
  </si>
  <si>
    <t>-*****************************</t>
  </si>
  <si>
    <t xml:space="preserve">-MUST SHIP FEDEX 1DAY         </t>
  </si>
  <si>
    <t xml:space="preserve">*RESIDENTIAL DELIVERY*        </t>
  </si>
  <si>
    <t xml:space="preserve">-FEDEX ACCT 044705974         </t>
  </si>
  <si>
    <t xml:space="preserve">4775-1515B057     </t>
  </si>
  <si>
    <t xml:space="preserve"> 3.2ML 15"X50YD PRF OLYMP BLUE</t>
  </si>
  <si>
    <t xml:space="preserve"> CALENDERED VINYL FILM        </t>
  </si>
  <si>
    <t xml:space="preserve">WAGNER SIGN                   </t>
  </si>
  <si>
    <t xml:space="preserve">7135 W RIDGE RD               </t>
  </si>
  <si>
    <t xml:space="preserve">ELYRIA         </t>
  </si>
  <si>
    <t xml:space="preserve">44035-1996 </t>
  </si>
  <si>
    <t xml:space="preserve">7125-3003-397     </t>
  </si>
  <si>
    <t xml:space="preserve"> 2ML 30"X10YD NP DARK BLUE    </t>
  </si>
  <si>
    <t xml:space="preserve">7125-4815-397     </t>
  </si>
  <si>
    <t xml:space="preserve"> 2ML 48"X50YD NP DARK BLUE    </t>
  </si>
  <si>
    <t xml:space="preserve">WRIGHT GRAPHIC DESIGNS        </t>
  </si>
  <si>
    <t xml:space="preserve">6290 SEEDS RD                 </t>
  </si>
  <si>
    <t xml:space="preserve">GROVE CITY     </t>
  </si>
  <si>
    <t xml:space="preserve">43123-8932 </t>
  </si>
  <si>
    <t xml:space="preserve">6800-4803-091     </t>
  </si>
  <si>
    <t xml:space="preserve"> 7ML 48"X10YD NP SCHL BUS YELL</t>
  </si>
  <si>
    <t xml:space="preserve">MELLO SIGNS                   </t>
  </si>
  <si>
    <t xml:space="preserve">990 HALTOM RD                 </t>
  </si>
  <si>
    <t xml:space="preserve">FORT WORTH     </t>
  </si>
  <si>
    <t xml:space="preserve">76117-6423 </t>
  </si>
  <si>
    <t xml:space="preserve">7725-4803-293     </t>
  </si>
  <si>
    <t xml:space="preserve"> 2ML 48"X10YD NPF ATOMIC RED  </t>
  </si>
  <si>
    <t xml:space="preserve">RVINYL                        </t>
  </si>
  <si>
    <t xml:space="preserve"> 140 58TH ST SUITE 7H2        </t>
  </si>
  <si>
    <t xml:space="preserve">11220-2521 </t>
  </si>
  <si>
    <t xml:space="preserve">3630-2403-116     </t>
  </si>
  <si>
    <t xml:space="preserve"> 2ML 24"X10YD NPRF LT JADE GRN</t>
  </si>
  <si>
    <t xml:space="preserve">FASTSIGNS                     </t>
  </si>
  <si>
    <t xml:space="preserve">2116 E US HIGHWAY 377         </t>
  </si>
  <si>
    <t xml:space="preserve">GRANBURY       </t>
  </si>
  <si>
    <t xml:space="preserve">76049-5917 </t>
  </si>
  <si>
    <t xml:space="preserve">7775-1503-120     </t>
  </si>
  <si>
    <t xml:space="preserve"> 2ML 15"X10YD P SATIN ALUMINUM</t>
  </si>
  <si>
    <t xml:space="preserve"> 7725-120                     </t>
  </si>
  <si>
    <t xml:space="preserve">CUSTOM DECAL                  </t>
  </si>
  <si>
    <t xml:space="preserve">707 W JEFFERSON ST            </t>
  </si>
  <si>
    <t xml:space="preserve">GRAND PRAIRIE  </t>
  </si>
  <si>
    <t xml:space="preserve">75051-1643 </t>
  </si>
  <si>
    <t xml:space="preserve">180MC1515-012     </t>
  </si>
  <si>
    <t xml:space="preserve"> 2ML 15"X50YD NP BLACK        </t>
  </si>
  <si>
    <t xml:space="preserve">RED HOT STUDIOS LLC.          </t>
  </si>
  <si>
    <t xml:space="preserve">728 SHADOWOOD LN SE           </t>
  </si>
  <si>
    <t xml:space="preserve">WARREN         </t>
  </si>
  <si>
    <t xml:space="preserve">44484-2441 </t>
  </si>
  <si>
    <t xml:space="preserve">5101-2415-010     </t>
  </si>
  <si>
    <t xml:space="preserve"> 6ML 24"X50YD NONPERF WHITE   </t>
  </si>
  <si>
    <t xml:space="preserve">5101-2415-075     </t>
  </si>
  <si>
    <t xml:space="preserve"> 6ML 24"X50YD NONPERF BLUE    </t>
  </si>
  <si>
    <t xml:space="preserve">5101-2415-085     </t>
  </si>
  <si>
    <t xml:space="preserve"> 6ML 24"X50YD NONPERF BLACK   </t>
  </si>
  <si>
    <t xml:space="preserve">GLANTZ-SACRAMENTO             </t>
  </si>
  <si>
    <t xml:space="preserve">1215 STRIKER AVENUE           </t>
  </si>
  <si>
    <t xml:space="preserve">SUITE 180                     </t>
  </si>
  <si>
    <t xml:space="preserve">SIGNARAMA10778                </t>
  </si>
  <si>
    <t xml:space="preserve">4351 CATERPILLAR RD           </t>
  </si>
  <si>
    <t xml:space="preserve">REDDING        </t>
  </si>
  <si>
    <t>FGL1070100</t>
  </si>
  <si>
    <t>2624764-00</t>
  </si>
  <si>
    <t xml:space="preserve">1Z5934W80377255931            </t>
  </si>
  <si>
    <t xml:space="preserve">7292-5404-302     </t>
  </si>
  <si>
    <t xml:space="preserve"> 3.2ML 54"X32.8FT MATT SILVER </t>
  </si>
  <si>
    <t xml:space="preserve">GRAPHIC PRODUCTS-WARRENDALE   </t>
  </si>
  <si>
    <t xml:space="preserve">320 B NORTHGATE DRIVE         </t>
  </si>
  <si>
    <t xml:space="preserve">WARRENDALE     </t>
  </si>
  <si>
    <t xml:space="preserve">320 B NORTHGATE DR            </t>
  </si>
  <si>
    <t>FGR1051000</t>
  </si>
  <si>
    <t xml:space="preserve">2826-2402-004     </t>
  </si>
  <si>
    <t xml:space="preserve"> 3ML 24"X5YD NONPERF GOLD     </t>
  </si>
  <si>
    <t xml:space="preserve">  FLORENTINE LEAF             </t>
  </si>
  <si>
    <t xml:space="preserve">REECE SUPPLY-SAN ANTONIO      </t>
  </si>
  <si>
    <t xml:space="preserve">P.O. BOX 200081               </t>
  </si>
  <si>
    <t xml:space="preserve">CHISM CO., INC.               </t>
  </si>
  <si>
    <t xml:space="preserve">8310 BROADWAY                 </t>
  </si>
  <si>
    <t>FRE1013000</t>
  </si>
  <si>
    <t xml:space="preserve">S5063551  </t>
  </si>
  <si>
    <t xml:space="preserve">7725-4803-099     </t>
  </si>
  <si>
    <t xml:space="preserve"> 2ML 48"X10YD NONPERF FAWN    </t>
  </si>
  <si>
    <t xml:space="preserve">CERTAPRO PAINTERS             </t>
  </si>
  <si>
    <t xml:space="preserve">109 SENTRY RIDGE              </t>
  </si>
  <si>
    <t xml:space="preserve">SMITHSBURG     </t>
  </si>
  <si>
    <t xml:space="preserve">FW48031286        </t>
  </si>
  <si>
    <t xml:space="preserve"> FW1286 48IN X 10YD           </t>
  </si>
  <si>
    <t xml:space="preserve">FW48011286        </t>
  </si>
  <si>
    <t xml:space="preserve"> FW1286 48IN X 5YD            </t>
  </si>
  <si>
    <t xml:space="preserve">GLANTZ-UPPER MARLBORO         </t>
  </si>
  <si>
    <t xml:space="preserve">797 CROMWELL PARK DRIVE       </t>
  </si>
  <si>
    <t xml:space="preserve">GLEN BURNIE    </t>
  </si>
  <si>
    <t xml:space="preserve">STERICO, INC                  </t>
  </si>
  <si>
    <t xml:space="preserve">8411 HELGERMAN                </t>
  </si>
  <si>
    <t xml:space="preserve">GAITHERSBURG   </t>
  </si>
  <si>
    <t>FGL1033000</t>
  </si>
  <si>
    <t>4600218-00</t>
  </si>
  <si>
    <t xml:space="preserve">7725-6003-314     </t>
  </si>
  <si>
    <t xml:space="preserve"> 2ML 60"X10YD NP DUSTED CRYSTL</t>
  </si>
  <si>
    <t xml:space="preserve">SERRATO SIGNS                 </t>
  </si>
  <si>
    <t xml:space="preserve">15 DEWEY ST                   </t>
  </si>
  <si>
    <t xml:space="preserve">WORCESTER      </t>
  </si>
  <si>
    <t xml:space="preserve">01609-2909 </t>
  </si>
  <si>
    <t xml:space="preserve">7125-3003-241     </t>
  </si>
  <si>
    <t xml:space="preserve"> 2ML 30"X10YD NP GOLD METALLIC</t>
  </si>
  <si>
    <t xml:space="preserve">SERVICE SIGNS LLC             </t>
  </si>
  <si>
    <t xml:space="preserve">133 LOGAN AVE                 </t>
  </si>
  <si>
    <t xml:space="preserve">JERSEY CITY    </t>
  </si>
  <si>
    <t xml:space="preserve">07306-6930 </t>
  </si>
  <si>
    <t xml:space="preserve">6801-1503-064     </t>
  </si>
  <si>
    <t xml:space="preserve"> 7ML 15"X10YD NONPERF GOLD    </t>
  </si>
  <si>
    <t xml:space="preserve">ILLUMINATED IMAGE             </t>
  </si>
  <si>
    <t xml:space="preserve">1825 W MAUMEE ST              </t>
  </si>
  <si>
    <t xml:space="preserve">ANGOLA         </t>
  </si>
  <si>
    <t xml:space="preserve">46703-7066 </t>
  </si>
  <si>
    <t xml:space="preserve">3630-4803-039     </t>
  </si>
  <si>
    <t xml:space="preserve"> 2ML 48"X10YD NP WARM BIEGE   </t>
  </si>
  <si>
    <t xml:space="preserve">AMERICAN SIGN PRODUCTS        </t>
  </si>
  <si>
    <t xml:space="preserve">5718 TRANSPORTATION BLVD      </t>
  </si>
  <si>
    <t xml:space="preserve">GARFIELD HTS   </t>
  </si>
  <si>
    <t xml:space="preserve">THE FINISHING TOUCH           </t>
  </si>
  <si>
    <t xml:space="preserve">14 DICKERSON AVE              </t>
  </si>
  <si>
    <t xml:space="preserve">BAYVILLE       </t>
  </si>
  <si>
    <t>FAM1010000</t>
  </si>
  <si>
    <t xml:space="preserve">1Z5934W80376952368            </t>
  </si>
  <si>
    <t xml:space="preserve">6851-1515-010     </t>
  </si>
  <si>
    <t xml:space="preserve"> 7ML 15"X50YD PERF WHITE      </t>
  </si>
  <si>
    <t xml:space="preserve">6851-1503-075     </t>
  </si>
  <si>
    <t xml:space="preserve"> 7ML 15"X10YD PERF BLUE       </t>
  </si>
  <si>
    <t xml:space="preserve">J &amp; F COMMERCIAL PRODUCTS     </t>
  </si>
  <si>
    <t xml:space="preserve">202 S. HANOVER STREET         </t>
  </si>
  <si>
    <t xml:space="preserve">POTTSTOWN      </t>
  </si>
  <si>
    <t xml:space="preserve">FAST SIGNS ALLENTOWN          </t>
  </si>
  <si>
    <t xml:space="preserve">396 SHANTZ ROAD               </t>
  </si>
  <si>
    <t xml:space="preserve">ALLENTOWN      </t>
  </si>
  <si>
    <t>FJF1000000</t>
  </si>
  <si>
    <t xml:space="preserve">1Z5934W80378419342            </t>
  </si>
  <si>
    <t xml:space="preserve">2100-4815-003     </t>
  </si>
  <si>
    <t xml:space="preserve"> 2ML 48"X50YD NPRF GLOSS BLACK</t>
  </si>
  <si>
    <t xml:space="preserve">T &amp; J PRINTING                </t>
  </si>
  <si>
    <t xml:space="preserve">11461 ALLISON CT              </t>
  </si>
  <si>
    <t xml:space="preserve">SUITE 7                       </t>
  </si>
  <si>
    <t xml:space="preserve">HUNTLEY        </t>
  </si>
  <si>
    <t xml:space="preserve">PARADOX SOLUTIONS             </t>
  </si>
  <si>
    <t xml:space="preserve">4315 GREENWOOD RD             </t>
  </si>
  <si>
    <t xml:space="preserve">UNIT R                        </t>
  </si>
  <si>
    <t xml:space="preserve">WOODSTOCK      </t>
  </si>
  <si>
    <t>FTJ1000000</t>
  </si>
  <si>
    <t xml:space="preserve">191480A   </t>
  </si>
  <si>
    <t xml:space="preserve">1Z5934W80376634418            </t>
  </si>
  <si>
    <t xml:space="preserve">2407-2403-002     </t>
  </si>
  <si>
    <t xml:space="preserve"> 5.9ML 24"X10YD NONPERF WHITE </t>
  </si>
  <si>
    <t xml:space="preserve"> REFLECTIVE VINYL FILM        </t>
  </si>
  <si>
    <t xml:space="preserve">ARTWORKS GRAPHICS             </t>
  </si>
  <si>
    <t xml:space="preserve">3510 LINDENWOOD ST            </t>
  </si>
  <si>
    <t xml:space="preserve">SIOUX CITY     </t>
  </si>
  <si>
    <t xml:space="preserve">51104-2256 </t>
  </si>
  <si>
    <t xml:space="preserve">2407-4803-004     </t>
  </si>
  <si>
    <t xml:space="preserve"> 5.9ML 48"X10YD NONPERF GOLD  </t>
  </si>
  <si>
    <t xml:space="preserve">GRIMCO - GREENSBORO           </t>
  </si>
  <si>
    <t xml:space="preserve">7347 W. FRIENDLY AVENUE       </t>
  </si>
  <si>
    <t xml:space="preserve">SUITE D                       </t>
  </si>
  <si>
    <t xml:space="preserve">GREENSBORO     </t>
  </si>
  <si>
    <t xml:space="preserve">&amp; MARKETING INC               </t>
  </si>
  <si>
    <t xml:space="preserve">768 OLD PIPERS GAP RD         </t>
  </si>
  <si>
    <t xml:space="preserve">CANA           </t>
  </si>
  <si>
    <t xml:space="preserve">24317-4073 </t>
  </si>
  <si>
    <t>FGR3070000</t>
  </si>
  <si>
    <t xml:space="preserve">5101-4803-075     </t>
  </si>
  <si>
    <t xml:space="preserve"> 6ML 48"X10YD NONPERF BLUE    </t>
  </si>
  <si>
    <t xml:space="preserve">ACCURATE REPRO                </t>
  </si>
  <si>
    <t>2368 CORPORATE LANE- SUITE 100</t>
  </si>
  <si>
    <t xml:space="preserve">NAPERVILLE     </t>
  </si>
  <si>
    <t xml:space="preserve">180MC3003-012     </t>
  </si>
  <si>
    <t xml:space="preserve"> 2ML 30"X10YD NP BLACK        </t>
  </si>
  <si>
    <t xml:space="preserve">GLANTZ-MILWAUKEE              </t>
  </si>
  <si>
    <t xml:space="preserve">7000 W. MARCIA ROAD           </t>
  </si>
  <si>
    <t xml:space="preserve">MILWAUKEE      </t>
  </si>
  <si>
    <t xml:space="preserve">PSCO KIEFFER CO               </t>
  </si>
  <si>
    <t xml:space="preserve">3322 WASHINGTON AVENUE        </t>
  </si>
  <si>
    <t xml:space="preserve">SHEBOYGAN      </t>
  </si>
  <si>
    <t>FGL1037000</t>
  </si>
  <si>
    <t xml:space="preserve">733501-00 </t>
  </si>
  <si>
    <t xml:space="preserve">2901-3015-006     </t>
  </si>
  <si>
    <t xml:space="preserve"> 3.4ML 30"X50YD NONPERF YELLOW</t>
  </si>
  <si>
    <t xml:space="preserve">RAINEY ELECTRONICS  INC       </t>
  </si>
  <si>
    <t xml:space="preserve">19023 COLONEL GLENN RD        </t>
  </si>
  <si>
    <t xml:space="preserve">LITTLE ROCK    </t>
  </si>
  <si>
    <t>AR</t>
  </si>
  <si>
    <t xml:space="preserve">7125-1515-048     </t>
  </si>
  <si>
    <t xml:space="preserve"> 2ML 15"X50YD NONPERF PURPLE  </t>
  </si>
  <si>
    <t xml:space="preserve">REF PO# 323                   </t>
  </si>
  <si>
    <t xml:space="preserve">SIMPLY SIGNS                  </t>
  </si>
  <si>
    <t xml:space="preserve">3275 JUDD ROAD                </t>
  </si>
  <si>
    <t xml:space="preserve">MILAN          </t>
  </si>
  <si>
    <t xml:space="preserve">MARK LANING                   </t>
  </si>
  <si>
    <t xml:space="preserve">133 CLIFF AVE                 </t>
  </si>
  <si>
    <t xml:space="preserve">WINTHROP       </t>
  </si>
  <si>
    <t xml:space="preserve">7125-3015-020     </t>
  </si>
  <si>
    <t xml:space="preserve"> 2ML 30"X50YD NPRF MATTE WHITE</t>
  </si>
  <si>
    <t xml:space="preserve">3630-4803-124     </t>
  </si>
  <si>
    <t xml:space="preserve"> 2ML 48"X10YD NP BURNT ORANGE </t>
  </si>
  <si>
    <t xml:space="preserve">MOTION PRODUCTS - WI          </t>
  </si>
  <si>
    <t xml:space="preserve">777 KUEHN CT                  </t>
  </si>
  <si>
    <t xml:space="preserve">NEENAH         </t>
  </si>
  <si>
    <t xml:space="preserve">MAPLE STREET SIGN STUDIO      </t>
  </si>
  <si>
    <t xml:space="preserve">5480 COUNTY ROAD T            </t>
  </si>
  <si>
    <t xml:space="preserve">STURGEON BAY   </t>
  </si>
  <si>
    <t>FMO1000000</t>
  </si>
  <si>
    <t xml:space="preserve">2615-1430-002     </t>
  </si>
  <si>
    <t xml:space="preserve"> 14"X100YD WHITE              </t>
  </si>
  <si>
    <t xml:space="preserve"> 4050 RLA SERIES              </t>
  </si>
  <si>
    <t xml:space="preserve">POBLOCKI SIGN CO.             </t>
  </si>
  <si>
    <t xml:space="preserve">4 INDUSTRIAL PARK RD.         </t>
  </si>
  <si>
    <t xml:space="preserve">MEDWAY         </t>
  </si>
  <si>
    <t xml:space="preserve">S5063744  </t>
  </si>
  <si>
    <t xml:space="preserve">7725-2403-201     </t>
  </si>
  <si>
    <t xml:space="preserve"> 2ML 24"X10YD NP SLATE METALLC</t>
  </si>
  <si>
    <t xml:space="preserve">GLANTZ-MARYLAND HGTS          </t>
  </si>
  <si>
    <t xml:space="preserve">93 WELDON PKWY                </t>
  </si>
  <si>
    <t>MARYLAND HEIGHT</t>
  </si>
  <si>
    <t xml:space="preserve">DE SIGNS                      </t>
  </si>
  <si>
    <t xml:space="preserve">6167 STATE ROUTE 3            </t>
  </si>
  <si>
    <t xml:space="preserve">WATERLOO       </t>
  </si>
  <si>
    <t>FGL1071000</t>
  </si>
  <si>
    <t>3218060-00</t>
  </si>
  <si>
    <t xml:space="preserve">BONAS COMPANY                 </t>
  </si>
  <si>
    <t xml:space="preserve">3197-C AIRPORT LOOP DRIVE     </t>
  </si>
  <si>
    <t xml:space="preserve">COSTA MESA     </t>
  </si>
  <si>
    <t xml:space="preserve">FW48031021        </t>
  </si>
  <si>
    <t xml:space="preserve"> FW1021 48IN X 10YD           </t>
  </si>
  <si>
    <t xml:space="preserve">GRAFIX SHOPPE                 </t>
  </si>
  <si>
    <t xml:space="preserve">3225 NEIL ARMSTRONG BLVD      </t>
  </si>
  <si>
    <t xml:space="preserve">UNIT 600                      </t>
  </si>
  <si>
    <t xml:space="preserve">EAGAN          </t>
  </si>
  <si>
    <t>8011534-00</t>
  </si>
  <si>
    <t xml:space="preserve">6801-4803-014     </t>
  </si>
  <si>
    <t xml:space="preserve"> 7ML 48"X10YD NONPERF ORANGE  </t>
  </si>
  <si>
    <t xml:space="preserve">INTERWEST DISTRIBUTION CO     </t>
  </si>
  <si>
    <t xml:space="preserve">2275 WEST CHENANGO AVE        </t>
  </si>
  <si>
    <t xml:space="preserve">SUITE 100                     </t>
  </si>
  <si>
    <t xml:space="preserve">LITTLETON      </t>
  </si>
  <si>
    <t xml:space="preserve">PRISM GRAPHICS                </t>
  </si>
  <si>
    <t xml:space="preserve">7609 5TH AVENUE               </t>
  </si>
  <si>
    <t>FIN1130000</t>
  </si>
  <si>
    <t xml:space="preserve">FW4803612         </t>
  </si>
  <si>
    <t xml:space="preserve"> FW612 48IN X 10YD            </t>
  </si>
  <si>
    <t xml:space="preserve">IMAGE 360 HENDERSONVILLE      </t>
  </si>
  <si>
    <t xml:space="preserve">41 INDUSTRIAL PARK DR         </t>
  </si>
  <si>
    <t xml:space="preserve">ATTN BRIAN THOMAS             </t>
  </si>
  <si>
    <t xml:space="preserve">HENDERSONVILLE </t>
  </si>
  <si>
    <t xml:space="preserve">37075-2824 </t>
  </si>
  <si>
    <t xml:space="preserve">0055-1515-483     </t>
  </si>
  <si>
    <t xml:space="preserve"> 3ML 15"X50YD PERF DARK RED   </t>
  </si>
  <si>
    <t xml:space="preserve">SIGN PRO OF TOLEDO- LLC       </t>
  </si>
  <si>
    <t xml:space="preserve">5055 GLENDALE AVE             </t>
  </si>
  <si>
    <t xml:space="preserve">STE 3                         </t>
  </si>
  <si>
    <t xml:space="preserve">43614-1871 </t>
  </si>
  <si>
    <t xml:space="preserve">180MC3003-037     </t>
  </si>
  <si>
    <t xml:space="preserve"> 2ML 30"X10YD NP SAPPHIRE BLUE</t>
  </si>
  <si>
    <t xml:space="preserve">METROPOLITAN WEST             </t>
  </si>
  <si>
    <t xml:space="preserve">2310 LONG BEACH BLVD          </t>
  </si>
  <si>
    <t xml:space="preserve">STE B                         </t>
  </si>
  <si>
    <t xml:space="preserve">LONG BEACH     </t>
  </si>
  <si>
    <t>FEDEX 1DAY</t>
  </si>
  <si>
    <t xml:space="preserve">PSMT48013094      </t>
  </si>
  <si>
    <t xml:space="preserve"> PSMT3094 48IN X 5YD          </t>
  </si>
  <si>
    <t xml:space="preserve"> DI-NOC Single Color Matte    </t>
  </si>
  <si>
    <t xml:space="preserve">PSMT48033094      </t>
  </si>
  <si>
    <t xml:space="preserve"> PSMT3094 48IN X 10YD         </t>
  </si>
  <si>
    <t xml:space="preserve">ACCENT DISTRIBUTING, LLC-FL   </t>
  </si>
  <si>
    <t xml:space="preserve">4123 CLARK ROAD               </t>
  </si>
  <si>
    <t xml:space="preserve">SARASOTA       </t>
  </si>
  <si>
    <t xml:space="preserve">TRIM GLOW DESIGNS             </t>
  </si>
  <si>
    <t xml:space="preserve">18345 NORMAN BLVD             </t>
  </si>
  <si>
    <t xml:space="preserve">ATTN: SEAN HAGERAATS          </t>
  </si>
  <si>
    <t>DESERT HOT SPRI</t>
  </si>
  <si>
    <t>FAC1031000</t>
  </si>
  <si>
    <t xml:space="preserve">115972F   </t>
  </si>
  <si>
    <t>FEDEX 2DAY</t>
  </si>
  <si>
    <t xml:space="preserve">FW48011737        </t>
  </si>
  <si>
    <t xml:space="preserve"> FW1737 48IN X 5YD            </t>
  </si>
  <si>
    <t xml:space="preserve">-SHIP VIA SECOND DAY AIR !!!! </t>
  </si>
  <si>
    <t xml:space="preserve">GRIMCO - BETHEL               </t>
  </si>
  <si>
    <t xml:space="preserve">229 B INDUSTRIAL PARK ROAD    </t>
  </si>
  <si>
    <t xml:space="preserve">MIDDLETOWN     </t>
  </si>
  <si>
    <t>CT</t>
  </si>
  <si>
    <t xml:space="preserve">WELSH SIGNS                   </t>
  </si>
  <si>
    <t xml:space="preserve">23 WARD DR S                  </t>
  </si>
  <si>
    <t xml:space="preserve">DANBURY        </t>
  </si>
  <si>
    <t xml:space="preserve">06810-8244 </t>
  </si>
  <si>
    <t>FGR3060000</t>
  </si>
  <si>
    <t xml:space="preserve">7725-2403-012     </t>
  </si>
  <si>
    <t xml:space="preserve">7725-2403-197     </t>
  </si>
  <si>
    <t>PRINTING PARTNERS-GARFIELD HTS</t>
  </si>
  <si>
    <t xml:space="preserve">839 PEAL RD                   </t>
  </si>
  <si>
    <t xml:space="preserve">BRUNSWICK      </t>
  </si>
  <si>
    <t xml:space="preserve">44212-2559 </t>
  </si>
  <si>
    <t xml:space="preserve">0055-1515-082     </t>
  </si>
  <si>
    <t xml:space="preserve"> 3ML 15"X50YD PERF LIGHT BLUE </t>
  </si>
  <si>
    <t xml:space="preserve">JDS INDUSTRIES, INC           </t>
  </si>
  <si>
    <t xml:space="preserve">1800 E. 57TH STREET NORTH     </t>
  </si>
  <si>
    <t xml:space="preserve">THRASHER WELDING &amp; MACHINE    </t>
  </si>
  <si>
    <t xml:space="preserve">2085 S 600 W                  </t>
  </si>
  <si>
    <t xml:space="preserve">46703-9670 </t>
  </si>
  <si>
    <t>FJD1000000</t>
  </si>
  <si>
    <t xml:space="preserve">7125-1503-015     </t>
  </si>
  <si>
    <t xml:space="preserve"> 2ML 15"X10YD NOPRF BRT YELLOW</t>
  </si>
  <si>
    <t xml:space="preserve">7125-1503-012     </t>
  </si>
  <si>
    <t xml:space="preserve"> 2ML 15"X10YD NONPERF BLACK   </t>
  </si>
  <si>
    <t xml:space="preserve">7125-1503-037     </t>
  </si>
  <si>
    <t xml:space="preserve"> 2ML 15"X10YD NOPRF SAPPH BLUE</t>
  </si>
  <si>
    <t xml:space="preserve">7125-1503-217     </t>
  </si>
  <si>
    <t xml:space="preserve"> 2ML 15"X10YD NP DARK BLUE MET</t>
  </si>
  <si>
    <t xml:space="preserve">7125-1503-249     </t>
  </si>
  <si>
    <t xml:space="preserve"> 2ML 15"X10YD NP CHAMPAGNE MET</t>
  </si>
  <si>
    <t xml:space="preserve">SUNSHINE TROPHIES &amp; AWARDS    </t>
  </si>
  <si>
    <t xml:space="preserve">239 N HIGHWAY 17              </t>
  </si>
  <si>
    <t xml:space="preserve">PALATKA        </t>
  </si>
  <si>
    <t xml:space="preserve">32177-9672 </t>
  </si>
  <si>
    <t xml:space="preserve">0050-1503-027     </t>
  </si>
  <si>
    <t xml:space="preserve"> 3ML 15"X10YD NOPERF SUNFLOWER</t>
  </si>
  <si>
    <t xml:space="preserve">0050-1503-078     </t>
  </si>
  <si>
    <t xml:space="preserve"> 3ML 15"X10YD NPERF DARK GREEN</t>
  </si>
  <si>
    <t xml:space="preserve">0050-1515-012     </t>
  </si>
  <si>
    <t xml:space="preserve"> 3ML 15"X50YD NONPERF BLACK   </t>
  </si>
  <si>
    <t xml:space="preserve">0050-1515-088     </t>
  </si>
  <si>
    <t xml:space="preserve"> 3ML 15"X50YD NP SAPPHIRE BLUE</t>
  </si>
  <si>
    <t xml:space="preserve">SEAMLESS WRAPS                </t>
  </si>
  <si>
    <t xml:space="preserve">175 W MAIN ST STE 2           </t>
  </si>
  <si>
    <t xml:space="preserve">MILLBURY       </t>
  </si>
  <si>
    <t xml:space="preserve">01527-1915 </t>
  </si>
  <si>
    <t xml:space="preserve">7175-1503-049     </t>
  </si>
  <si>
    <t xml:space="preserve"> 2ML 15"X10YD PERF BEIGE      </t>
  </si>
  <si>
    <t xml:space="preserve">GRAPHIC SOLUTIONS - CINCY     </t>
  </si>
  <si>
    <t xml:space="preserve">2150 WAYCROSS ROAD            </t>
  </si>
  <si>
    <t xml:space="preserve">CINCINNATI     </t>
  </si>
  <si>
    <t xml:space="preserve">UNIVERSAL SIGN SYSTEMS        </t>
  </si>
  <si>
    <t xml:space="preserve">5001 FALCON VIEW AVE SE       </t>
  </si>
  <si>
    <t xml:space="preserve">GRAND RAPIDS   </t>
  </si>
  <si>
    <t xml:space="preserve">49512-5405 </t>
  </si>
  <si>
    <t>FGR1011400</t>
  </si>
  <si>
    <t>7050709-00</t>
  </si>
  <si>
    <t xml:space="preserve">7725-2403-057     </t>
  </si>
  <si>
    <t xml:space="preserve"> 2ML 24"X10YD NOPERF OLYM BLUE</t>
  </si>
  <si>
    <t xml:space="preserve"> 7725-SERIES                  </t>
  </si>
  <si>
    <t xml:space="preserve">SMITHPRO COMMERCIAL PAINTING  </t>
  </si>
  <si>
    <t xml:space="preserve">2655 METRO BLVD               </t>
  </si>
  <si>
    <t xml:space="preserve">PSMT48083091      </t>
  </si>
  <si>
    <t xml:space="preserve"> PSMT3091 48IN X 27YD         </t>
  </si>
  <si>
    <t xml:space="preserve">PSMT48033091      </t>
  </si>
  <si>
    <t xml:space="preserve"> PSMT3091 48IN X 10YD         </t>
  </si>
  <si>
    <t xml:space="preserve">-B/O FROM 3/14                </t>
  </si>
  <si>
    <t xml:space="preserve">SIGN HERE                     </t>
  </si>
  <si>
    <t xml:space="preserve">345 E ANTIETAM ST             </t>
  </si>
  <si>
    <t xml:space="preserve">HAGERSTOWN     </t>
  </si>
  <si>
    <t xml:space="preserve">21740-5701 </t>
  </si>
  <si>
    <t xml:space="preserve">7175-3003-069     </t>
  </si>
  <si>
    <t xml:space="preserve"> 2ML 30"X10YD PERF DURANODIC  </t>
  </si>
  <si>
    <t xml:space="preserve">OFF CENTER DESIGNS            </t>
  </si>
  <si>
    <t xml:space="preserve">115 W GEORGIA AVE             </t>
  </si>
  <si>
    <t xml:space="preserve">GUNNISON       </t>
  </si>
  <si>
    <t xml:space="preserve">81230-2421 </t>
  </si>
  <si>
    <t xml:space="preserve">7175-3003-012     </t>
  </si>
  <si>
    <t xml:space="preserve"> 2ML 30"X10YD PERF BLACK      </t>
  </si>
  <si>
    <t xml:space="preserve">SIGNARAMA DANBURY             </t>
  </si>
  <si>
    <t xml:space="preserve">35 EAGLE RD                   </t>
  </si>
  <si>
    <t xml:space="preserve">06810-4127 </t>
  </si>
  <si>
    <t xml:space="preserve">5101-3003-072     </t>
  </si>
  <si>
    <t xml:space="preserve"> 6ML 30"X10YD NP RED          </t>
  </si>
  <si>
    <t xml:space="preserve">5101-2403-076     </t>
  </si>
  <si>
    <t xml:space="preserve"> 6ML 24"X10YD NP LIGHT BLUE   </t>
  </si>
  <si>
    <t xml:space="preserve">MIDWEST SIGN SUPPLY - CHICAGO </t>
  </si>
  <si>
    <t xml:space="preserve">5521 N. LYNCH AVENUE          </t>
  </si>
  <si>
    <t xml:space="preserve">CHICAGO        </t>
  </si>
  <si>
    <t>FMI1070000</t>
  </si>
  <si>
    <t xml:space="preserve">7175-1515-120     </t>
  </si>
  <si>
    <t xml:space="preserve"> 2ML 15"X50YD PRF SATIN ALUMIN</t>
  </si>
  <si>
    <t xml:space="preserve">GRIMCO - ORLANDO              </t>
  </si>
  <si>
    <t xml:space="preserve">7630 CURRENCY DRIVE           </t>
  </si>
  <si>
    <t xml:space="preserve">Grimco Orlando Warehouse      </t>
  </si>
  <si>
    <t xml:space="preserve">236 Outlook Point Dr.         </t>
  </si>
  <si>
    <t xml:space="preserve">Orlando        </t>
  </si>
  <si>
    <t>FGR3190000</t>
  </si>
  <si>
    <t xml:space="preserve">6800-0115-010     </t>
  </si>
  <si>
    <t xml:space="preserve"> 7ML 1"X50YD WHITE            </t>
  </si>
  <si>
    <t xml:space="preserve">5-7 BUSINESS DAY LEAD TIME    </t>
  </si>
  <si>
    <t xml:space="preserve">ON STRIPES W/ OUT PRE-MASK    </t>
  </si>
  <si>
    <t xml:space="preserve">SPLIT WITH SO 413331          </t>
  </si>
  <si>
    <t xml:space="preserve">WENSCO - BROOKLYN HEIGHTS     </t>
  </si>
  <si>
    <t xml:space="preserve">211 HAYES DRIVE               </t>
  </si>
  <si>
    <t xml:space="preserve">SUITE A                       </t>
  </si>
  <si>
    <t>BROOKYN HEIGHTS</t>
  </si>
  <si>
    <t xml:space="preserve">COTT MANUFACTURING            </t>
  </si>
  <si>
    <t xml:space="preserve">43 ALLEGHENY SQ               </t>
  </si>
  <si>
    <t xml:space="preserve">GLASSPORT      </t>
  </si>
  <si>
    <t>FWE1102000</t>
  </si>
  <si>
    <t xml:space="preserve">6800-0215-072     </t>
  </si>
  <si>
    <t xml:space="preserve"> 7ML 2"X50YD RED              </t>
  </si>
  <si>
    <t xml:space="preserve">6800-0215-077     </t>
  </si>
  <si>
    <t xml:space="preserve"> 7ML 2"X50YD GREEN            </t>
  </si>
  <si>
    <t xml:space="preserve">MARK PACKAGES "TOM"           </t>
  </si>
  <si>
    <t xml:space="preserve">GREGORY INC. - BUHLER         </t>
  </si>
  <si>
    <t xml:space="preserve">P.O. BOX 410                  </t>
  </si>
  <si>
    <t xml:space="preserve">BUHLER         </t>
  </si>
  <si>
    <t xml:space="preserve">METROLINA SIGN SUPPLY         </t>
  </si>
  <si>
    <t xml:space="preserve">801-D ATANDO AVE              </t>
  </si>
  <si>
    <t>FGR1020000</t>
  </si>
  <si>
    <t xml:space="preserve">PD42010   </t>
  </si>
  <si>
    <t xml:space="preserve">7136-3015-089     </t>
  </si>
  <si>
    <t xml:space="preserve"> 2ML 30"X50YD NP SANDSTONE/MSK</t>
  </si>
  <si>
    <t xml:space="preserve">**USE 2614 PREMASK**          </t>
  </si>
  <si>
    <t xml:space="preserve">-B/O FROM 2/6                 </t>
  </si>
  <si>
    <t xml:space="preserve">6812-0615-077     </t>
  </si>
  <si>
    <t xml:space="preserve"> 7ML 6"X50YD GREEN W/PREMASK  </t>
  </si>
  <si>
    <t xml:space="preserve">GUARDIAN GRAPHICS INC.        </t>
  </si>
  <si>
    <t xml:space="preserve">932 EDWARD ST                 </t>
  </si>
  <si>
    <t xml:space="preserve">GALION         </t>
  </si>
  <si>
    <t xml:space="preserve">0050-1515-034     </t>
  </si>
  <si>
    <t xml:space="preserve"> 3ML 15"X50YD NP BRIGHT ORANGE</t>
  </si>
  <si>
    <t xml:space="preserve">DO NOT SHIP UNTIL  3/15       </t>
  </si>
  <si>
    <t xml:space="preserve">DO NOT SHIP UNTIL 3/15        </t>
  </si>
  <si>
    <t xml:space="preserve">FELLERS - ST. LOUIS           </t>
  </si>
  <si>
    <t xml:space="preserve">1425 STRASSNER DRIVE          </t>
  </si>
  <si>
    <t xml:space="preserve">BRENTWOOD      </t>
  </si>
  <si>
    <t xml:space="preserve">FULL BRIGHT SIGN &amp; LIGHTING   </t>
  </si>
  <si>
    <t xml:space="preserve">2005 3 19TH ST                </t>
  </si>
  <si>
    <t xml:space="preserve">ATTN BRIAN FULLER             </t>
  </si>
  <si>
    <t xml:space="preserve">LAWRENCE       </t>
  </si>
  <si>
    <t xml:space="preserve">66046-5407 </t>
  </si>
  <si>
    <t>FFE5440000</t>
  </si>
  <si>
    <t xml:space="preserve">7125-3003-013     </t>
  </si>
  <si>
    <t xml:space="preserve"> 2ML 30"X10YD NOPRF TOMATO RED</t>
  </si>
  <si>
    <t xml:space="preserve">7175-3003-047     </t>
  </si>
  <si>
    <t xml:space="preserve"> 2ML 30"X10YD PRF INTENSE BLUE</t>
  </si>
  <si>
    <t xml:space="preserve">O'GRAPHICS DESIGNS            </t>
  </si>
  <si>
    <t xml:space="preserve">6 CORTLAND ST                 </t>
  </si>
  <si>
    <t xml:space="preserve">ATTN DAVE SMITH               </t>
  </si>
  <si>
    <t xml:space="preserve">MARATHON       </t>
  </si>
  <si>
    <t xml:space="preserve">7175-3003-096     </t>
  </si>
  <si>
    <t xml:space="preserve"> 2ML 30"X10YD PERF TEAL       </t>
  </si>
  <si>
    <t xml:space="preserve">GRIMCO - GRAND RAPIDS         </t>
  </si>
  <si>
    <t xml:space="preserve">103 76TH STREET SW            </t>
  </si>
  <si>
    <t xml:space="preserve">LAGWANA                       </t>
  </si>
  <si>
    <t xml:space="preserve">2465 N 850 W                  </t>
  </si>
  <si>
    <t xml:space="preserve">SHIPSHEWANA    </t>
  </si>
  <si>
    <t xml:space="preserve">46565-8645 </t>
  </si>
  <si>
    <t>FGR3211000</t>
  </si>
  <si>
    <t xml:space="preserve">6801-2415-082     </t>
  </si>
  <si>
    <t xml:space="preserve"> 7ML 24"X50YD NONPERF RUBY RED</t>
  </si>
  <si>
    <t xml:space="preserve">XPRESS GRAPHIX                </t>
  </si>
  <si>
    <t xml:space="preserve">8512 STATE ROAD 76            </t>
  </si>
  <si>
    <t xml:space="preserve">9810-0615-071     </t>
  </si>
  <si>
    <t xml:space="preserve"> 14ML 6"X50YD YELLOW          </t>
  </si>
  <si>
    <t xml:space="preserve"> 3M 983 SERIES 7000055617     </t>
  </si>
  <si>
    <t xml:space="preserve">-ALL 7125                     </t>
  </si>
  <si>
    <t xml:space="preserve">-ALL 6800/6801                </t>
  </si>
  <si>
    <t xml:space="preserve">-MUST SHIP FEDEX ONLY!!!!     </t>
  </si>
  <si>
    <t xml:space="preserve">-B/O FROM 2/9                 </t>
  </si>
  <si>
    <t xml:space="preserve">DEMOND SIGNS INC              </t>
  </si>
  <si>
    <t xml:space="preserve">93 BETTY LN                   </t>
  </si>
  <si>
    <t xml:space="preserve">O FALLON       </t>
  </si>
  <si>
    <t xml:space="preserve">62269-2234 </t>
  </si>
  <si>
    <t xml:space="preserve">3680-3003-076     </t>
  </si>
  <si>
    <t xml:space="preserve"> 2ML 30"X10YD PERF HOLLY GREEN</t>
  </si>
  <si>
    <t xml:space="preserve">INDUSTRIAL SUPPLIES CO        </t>
  </si>
  <si>
    <t xml:space="preserve">1291 NW 65TH PL               </t>
  </si>
  <si>
    <t xml:space="preserve">ATTN LEONA CAPPS              </t>
  </si>
  <si>
    <t>FORT LAUDERDALE</t>
  </si>
  <si>
    <t>4100857-00</t>
  </si>
  <si>
    <t xml:space="preserve">PA4816320         </t>
  </si>
  <si>
    <t xml:space="preserve"> PA320 48IN X 54YD            </t>
  </si>
  <si>
    <t xml:space="preserve">1350 S MILWAUKEE AVE          </t>
  </si>
  <si>
    <t xml:space="preserve">LIBERTYVILLE   </t>
  </si>
  <si>
    <t xml:space="preserve">60048-3795 </t>
  </si>
  <si>
    <t xml:space="preserve">7175-1503-041     </t>
  </si>
  <si>
    <t xml:space="preserve"> 2ML 15"X10YD PERF DARK GREY  </t>
  </si>
  <si>
    <t xml:space="preserve">VITAL SIGNS                   </t>
  </si>
  <si>
    <t xml:space="preserve">37037 SCHOOLCRAFT RD          </t>
  </si>
  <si>
    <t xml:space="preserve">48150-1116 </t>
  </si>
  <si>
    <t xml:space="preserve">3630-2403-097     </t>
  </si>
  <si>
    <t xml:space="preserve"> 2ML 24"X10YD NPF BRISTOL BLUE</t>
  </si>
  <si>
    <t xml:space="preserve">KIMLINE SIGNS                 </t>
  </si>
  <si>
    <t xml:space="preserve">3110 CANTERBURY CT            </t>
  </si>
  <si>
    <t xml:space="preserve">ALBANY         </t>
  </si>
  <si>
    <t xml:space="preserve">45710-8985 </t>
  </si>
  <si>
    <t xml:space="preserve">GRIMCO - HOUSTON              </t>
  </si>
  <si>
    <t xml:space="preserve">4300 PINE TIMBERS             </t>
  </si>
  <si>
    <t xml:space="preserve">SUITE 112                     </t>
  </si>
  <si>
    <t>SIDDONS MARTIN EMERGENCY GROUP</t>
  </si>
  <si>
    <t xml:space="preserve">1300 E RICHEY RD              </t>
  </si>
  <si>
    <t xml:space="preserve">77073-3505 </t>
  </si>
  <si>
    <t>FGR3210000</t>
  </si>
  <si>
    <t xml:space="preserve">6801-4815-082     </t>
  </si>
  <si>
    <t xml:space="preserve"> 7ML 48"X50YD NONPRF RUBY RED </t>
  </si>
  <si>
    <t xml:space="preserve"> 680CR-82                     </t>
  </si>
  <si>
    <t>3MPROMO15-6801-COL</t>
  </si>
  <si>
    <t xml:space="preserve"> 6801-COL                     </t>
  </si>
  <si>
    <t xml:space="preserve">GEMGRAPHICS                   </t>
  </si>
  <si>
    <t xml:space="preserve">415 MARLBORO ST               </t>
  </si>
  <si>
    <t xml:space="preserve">KEENE          </t>
  </si>
  <si>
    <t>NH</t>
  </si>
  <si>
    <t xml:space="preserve">03431-4310 </t>
  </si>
  <si>
    <t xml:space="preserve">CREATION SIGN LLC             </t>
  </si>
  <si>
    <t xml:space="preserve">7364 MCWHORTER PL             </t>
  </si>
  <si>
    <t xml:space="preserve">ANNANDALE      </t>
  </si>
  <si>
    <t xml:space="preserve">22003-5605 </t>
  </si>
  <si>
    <t xml:space="preserve">3630-4803-077     </t>
  </si>
  <si>
    <t xml:space="preserve"> 2ML 48"X10YD NONPERF INDIGO  </t>
  </si>
  <si>
    <t xml:space="preserve">GRIMCO - MEMPHIS              </t>
  </si>
  <si>
    <t xml:space="preserve">311 BELLBROOK DRIVE           </t>
  </si>
  <si>
    <t xml:space="preserve">DESIGN TEAM SIGN CO           </t>
  </si>
  <si>
    <t xml:space="preserve">255 OLD MORRIS CHAPEL RD      </t>
  </si>
  <si>
    <t xml:space="preserve">ADAMSVILLE     </t>
  </si>
  <si>
    <t xml:space="preserve">38310-4094 </t>
  </si>
  <si>
    <t>FGR3061000</t>
  </si>
  <si>
    <t xml:space="preserve">3630-4815-236     </t>
  </si>
  <si>
    <t xml:space="preserve"> 2ML 48"X50YD NOPERF TURQUOISE</t>
  </si>
  <si>
    <t xml:space="preserve">ARKANSAS SIGN AND BANNER      </t>
  </si>
  <si>
    <t xml:space="preserve">1914 S WALTON BLVD STE 4      </t>
  </si>
  <si>
    <t xml:space="preserve">BENTONVILLE    </t>
  </si>
  <si>
    <t xml:space="preserve">72712-6755 </t>
  </si>
  <si>
    <t xml:space="preserve">0050-4803-058     </t>
  </si>
  <si>
    <t xml:space="preserve"> 3ML 48"X10YD NONPERF SILVER  </t>
  </si>
  <si>
    <t xml:space="preserve">GRIMCO - RALEIGH              </t>
  </si>
  <si>
    <t xml:space="preserve">3201 WELLINGTON CT.           </t>
  </si>
  <si>
    <t xml:space="preserve">SUITE 108                     </t>
  </si>
  <si>
    <t xml:space="preserve">RALEIGH        </t>
  </si>
  <si>
    <t xml:space="preserve">EMPIRE GRAPHICS- LLC          </t>
  </si>
  <si>
    <t xml:space="preserve">16581 US HWY 17N              </t>
  </si>
  <si>
    <t xml:space="preserve">SUITE 300                     </t>
  </si>
  <si>
    <t xml:space="preserve">HAMPSTEAD      </t>
  </si>
  <si>
    <t>FGR3330000</t>
  </si>
  <si>
    <t xml:space="preserve">6801-3603-010     </t>
  </si>
  <si>
    <t xml:space="preserve"> 7ML 36"X10YD NONPERF WHITE   </t>
  </si>
  <si>
    <t xml:space="preserve">COLUMBIA NEON CO INC          </t>
  </si>
  <si>
    <t xml:space="preserve">102 NASHVILLE HWY             </t>
  </si>
  <si>
    <t xml:space="preserve">COLUMBIA       </t>
  </si>
  <si>
    <t xml:space="preserve">38401-2429 </t>
  </si>
  <si>
    <t xml:space="preserve">7725-3003-197     </t>
  </si>
  <si>
    <t xml:space="preserve"> 2ML 30"X10YD NONPERF LT NAVY </t>
  </si>
  <si>
    <t xml:space="preserve">OTTWAY SIGNS                  </t>
  </si>
  <si>
    <t xml:space="preserve">1922 STATE ROUTE 94 E         </t>
  </si>
  <si>
    <t xml:space="preserve">MURRAY         </t>
  </si>
  <si>
    <t>KY</t>
  </si>
  <si>
    <t xml:space="preserve">42071-9401 </t>
  </si>
  <si>
    <t xml:space="preserve">6801-2403-085     </t>
  </si>
  <si>
    <t xml:space="preserve"> 7ML 24"X10YD NONPERF BLACK   </t>
  </si>
  <si>
    <t xml:space="preserve">TEXAS SIGN                    </t>
  </si>
  <si>
    <t xml:space="preserve">9695 BUSINESS INTERSTATE 40   </t>
  </si>
  <si>
    <t xml:space="preserve">AMARILLO       </t>
  </si>
  <si>
    <t xml:space="preserve">79124-2330 </t>
  </si>
  <si>
    <t xml:space="preserve">180MC2403-217     </t>
  </si>
  <si>
    <t xml:space="preserve"> 2ML 24"X10YD NP DRK BLUE META</t>
  </si>
  <si>
    <t xml:space="preserve">7725-3003-406     </t>
  </si>
  <si>
    <t xml:space="preserve"> 2ML 30"X10YD NP FLOUR GREEN  </t>
  </si>
  <si>
    <t xml:space="preserve">GRIMCO - NEW BERLIN           </t>
  </si>
  <si>
    <t xml:space="preserve">N16 W233290 STONE DRIVE       </t>
  </si>
  <si>
    <t xml:space="preserve">WAUKESHA       </t>
  </si>
  <si>
    <t xml:space="preserve">AUTO TRIM DESIGN              </t>
  </si>
  <si>
    <t xml:space="preserve">5209 SCHOFIELD AVE            </t>
  </si>
  <si>
    <t xml:space="preserve">SUITE C                       </t>
  </si>
  <si>
    <t xml:space="preserve">SCHOFIELD      </t>
  </si>
  <si>
    <t xml:space="preserve">54476-2952 </t>
  </si>
  <si>
    <t>FGR3281000</t>
  </si>
  <si>
    <t xml:space="preserve">4826-3003-107     </t>
  </si>
  <si>
    <t xml:space="preserve"> 3ML 30"X10YD NONPERF SILVER  </t>
  </si>
  <si>
    <t xml:space="preserve">SOUTHERN SIGN COMPANY         </t>
  </si>
  <si>
    <t xml:space="preserve">5649 CAROLINA BEACH RD        </t>
  </si>
  <si>
    <t xml:space="preserve">28412-2609 </t>
  </si>
  <si>
    <t xml:space="preserve">5101-2415-072     </t>
  </si>
  <si>
    <t xml:space="preserve"> 6ML 24"X50YD NONPERF RED     </t>
  </si>
  <si>
    <t xml:space="preserve">DEVRIES DESIGNS               </t>
  </si>
  <si>
    <t xml:space="preserve">28 PINE ST                    </t>
  </si>
  <si>
    <t xml:space="preserve">WEST HURLEY    </t>
  </si>
  <si>
    <t xml:space="preserve">12491-5504 </t>
  </si>
  <si>
    <t xml:space="preserve">185MC1515-012     </t>
  </si>
  <si>
    <t xml:space="preserve"> 2ML 15"X50YD PF BLACK        </t>
  </si>
  <si>
    <t xml:space="preserve">KREMERS PAINTING INC          </t>
  </si>
  <si>
    <t xml:space="preserve">5131 37TH AVE                 </t>
  </si>
  <si>
    <t xml:space="preserve">HUDSONVILLE    </t>
  </si>
  <si>
    <t xml:space="preserve">49426-1617 </t>
  </si>
  <si>
    <t xml:space="preserve">7175-1503-010     </t>
  </si>
  <si>
    <t xml:space="preserve">7125-1503-397     </t>
  </si>
  <si>
    <t xml:space="preserve"> 2ML 15"X10YD NP DARK BLUE    </t>
  </si>
  <si>
    <t xml:space="preserve">GENNEX MEDIA                  </t>
  </si>
  <si>
    <t xml:space="preserve">4659 WRIGHT RD                </t>
  </si>
  <si>
    <t xml:space="preserve">STAFFORD       </t>
  </si>
  <si>
    <t xml:space="preserve">77477-4137 </t>
  </si>
  <si>
    <t xml:space="preserve">2824-2415-007     </t>
  </si>
  <si>
    <t xml:space="preserve"> 3ML 24"X50YD NONPERF SILVER  </t>
  </si>
  <si>
    <t xml:space="preserve"> SEQUINS                      </t>
  </si>
  <si>
    <t xml:space="preserve">FINE ARTS LITHO INC           </t>
  </si>
  <si>
    <t xml:space="preserve">1014 BAY ST STE 6             </t>
  </si>
  <si>
    <t xml:space="preserve">PORT ORCHARD   </t>
  </si>
  <si>
    <t xml:space="preserve">98366-5242 </t>
  </si>
  <si>
    <t xml:space="preserve">7725-2403-093     </t>
  </si>
  <si>
    <t xml:space="preserve"> 2ML 24"X10YD NPF IMPERIAL RED</t>
  </si>
  <si>
    <t xml:space="preserve">GRIMCO - POMPANO BEACH        </t>
  </si>
  <si>
    <t xml:space="preserve">1750 NW 15TH AVENUE           </t>
  </si>
  <si>
    <t xml:space="preserve">SUITE 535                     </t>
  </si>
  <si>
    <t xml:space="preserve">POMPANO BEACH  </t>
  </si>
  <si>
    <t xml:space="preserve">C   D SIGNS AND DESIGN        </t>
  </si>
  <si>
    <t xml:space="preserve">1601 W MCNAB RD               </t>
  </si>
  <si>
    <t xml:space="preserve">33069-4705 </t>
  </si>
  <si>
    <t>FGR3340000</t>
  </si>
  <si>
    <t xml:space="preserve">5101-3015-085     </t>
  </si>
  <si>
    <t xml:space="preserve"> 6ML 30"X50YD NONPERF BLACK   </t>
  </si>
  <si>
    <t xml:space="preserve">TOM JEFFREYS SIGN AND BANNER  </t>
  </si>
  <si>
    <t xml:space="preserve">3303B MEMORIAL PKWY SW        </t>
  </si>
  <si>
    <t xml:space="preserve">HUNTSVILLE     </t>
  </si>
  <si>
    <t xml:space="preserve">35801-5342 </t>
  </si>
  <si>
    <t xml:space="preserve">DOUBLE D SIGNS- INC.          </t>
  </si>
  <si>
    <t xml:space="preserve">12548 N 1950TH ST             </t>
  </si>
  <si>
    <t xml:space="preserve">TEUTOPOLIS     </t>
  </si>
  <si>
    <t xml:space="preserve">62467-4015 </t>
  </si>
  <si>
    <t xml:space="preserve">5101-2403-077     </t>
  </si>
  <si>
    <t xml:space="preserve"> 6ML 24"X10YD NONPERF GREEN   </t>
  </si>
  <si>
    <t xml:space="preserve">7175-1503-187     </t>
  </si>
  <si>
    <t xml:space="preserve"> 2ML 15"X10YD PERF WEDGEW BLUE</t>
  </si>
  <si>
    <t xml:space="preserve">FELLERS - ELK GROVE           </t>
  </si>
  <si>
    <t xml:space="preserve">1625 HUNTERS RUN ROAD         </t>
  </si>
  <si>
    <t xml:space="preserve">SUITE B                       </t>
  </si>
  <si>
    <t xml:space="preserve">HANOVER PARK   </t>
  </si>
  <si>
    <t xml:space="preserve">STRYPES PLUS MORE INC         </t>
  </si>
  <si>
    <t xml:space="preserve">120 S SYCAMORE ST             </t>
  </si>
  <si>
    <t xml:space="preserve">ATTN: LARRY YAGGIE            </t>
  </si>
  <si>
    <t xml:space="preserve">HINCKLEY       </t>
  </si>
  <si>
    <t>FFE5140000</t>
  </si>
  <si>
    <t xml:space="preserve">9810-0615-023     </t>
  </si>
  <si>
    <t xml:space="preserve"> 14ML 6"X50YD FLUOR YEL-GREEN </t>
  </si>
  <si>
    <t xml:space="preserve"> 3M 983-23ES 7100010482       </t>
  </si>
  <si>
    <t xml:space="preserve">9810-0615-072     </t>
  </si>
  <si>
    <t xml:space="preserve"> 14ML 6"X50YD RED             </t>
  </si>
  <si>
    <t xml:space="preserve"> 3M 983-72 7000129413         </t>
  </si>
  <si>
    <t xml:space="preserve">VT SAN ANTONIO                </t>
  </si>
  <si>
    <t xml:space="preserve">9800 JOHN SAUNDERS ROAD       </t>
  </si>
  <si>
    <t xml:space="preserve">KYLE MAXLEY                   </t>
  </si>
  <si>
    <t xml:space="preserve">3600-4815-010     </t>
  </si>
  <si>
    <t xml:space="preserve"> 2ML 48"X50YD NONPRF WHITE    </t>
  </si>
  <si>
    <t xml:space="preserve"> 3650-10                      </t>
  </si>
  <si>
    <t xml:space="preserve">SIGN WAREHOUSE INC. - KY      </t>
  </si>
  <si>
    <t xml:space="preserve">980 CONTRACT STREET           </t>
  </si>
  <si>
    <t xml:space="preserve">SUITE 110                     </t>
  </si>
  <si>
    <t xml:space="preserve">LEXINGTON      </t>
  </si>
  <si>
    <t xml:space="preserve">SHERRODS COLLISION CENTER     </t>
  </si>
  <si>
    <t xml:space="preserve">704 SOUTH MILL ST             </t>
  </si>
  <si>
    <t xml:space="preserve">ATTN KIRSHA SHERROD           </t>
  </si>
  <si>
    <t xml:space="preserve">HARRISBURG     </t>
  </si>
  <si>
    <t>FSI1041000</t>
  </si>
  <si>
    <t xml:space="preserve">P12667    </t>
  </si>
  <si>
    <t xml:space="preserve">7132-5415-010     </t>
  </si>
  <si>
    <t xml:space="preserve"> 2ML 54"X50YD WHITE           </t>
  </si>
  <si>
    <t xml:space="preserve"> IJ180CV1-10 CONTROLTAC/COMPLY</t>
  </si>
  <si>
    <t xml:space="preserve">3M                            </t>
  </si>
  <si>
    <t xml:space="preserve">3M ACCOUNTS PAYABLE           </t>
  </si>
  <si>
    <t xml:space="preserve">P.O. BOX 33121                </t>
  </si>
  <si>
    <t xml:space="preserve">ST. PAUL       </t>
  </si>
  <si>
    <t xml:space="preserve">55133-3121 </t>
  </si>
  <si>
    <t xml:space="preserve">HKS                           </t>
  </si>
  <si>
    <t>3280 PEACHTREE RD NE, SUITE 90</t>
  </si>
  <si>
    <t xml:space="preserve">ATLANTA        </t>
  </si>
  <si>
    <t>FTM3000000</t>
  </si>
  <si>
    <t xml:space="preserve">ZD-339261 </t>
  </si>
  <si>
    <t>FDC7000</t>
  </si>
  <si>
    <t xml:space="preserve">ME80002272        </t>
  </si>
  <si>
    <t xml:space="preserve"> ME2272 8IN X 10IN            </t>
  </si>
  <si>
    <t xml:space="preserve"> DI-NOC Metallic SAMPLE       </t>
  </si>
  <si>
    <t xml:space="preserve">ME80002273        </t>
  </si>
  <si>
    <t xml:space="preserve"> ME2273 8IN X 10IN            </t>
  </si>
  <si>
    <t xml:space="preserve">ME80002274        </t>
  </si>
  <si>
    <t xml:space="preserve"> ME2274 8IN X 10IN            </t>
  </si>
  <si>
    <t xml:space="preserve">ATTN: SHIYIN TANG             </t>
  </si>
  <si>
    <t xml:space="preserve">3M GRAPHIC                    </t>
  </si>
  <si>
    <t xml:space="preserve">3M CENTER, BUILDING 280-4E-44 </t>
  </si>
  <si>
    <t xml:space="preserve">ATTN: SCOTT ROTH              </t>
  </si>
  <si>
    <t xml:space="preserve">ZD-340724 </t>
  </si>
  <si>
    <t xml:space="preserve">DWMT80001901      </t>
  </si>
  <si>
    <t xml:space="preserve"> DWMT1901 8IN X 10IN          </t>
  </si>
  <si>
    <t xml:space="preserve">DWMT80002207      </t>
  </si>
  <si>
    <t xml:space="preserve"> DWMT2207 8IN X 10IN          </t>
  </si>
  <si>
    <t xml:space="preserve">DWMT80001878      </t>
  </si>
  <si>
    <t xml:space="preserve"> DWMT1878 8IN X 10IN          </t>
  </si>
  <si>
    <t xml:space="preserve">PWMT80002305      </t>
  </si>
  <si>
    <t xml:space="preserve"> PWMT2305 8IN X 10IN          </t>
  </si>
  <si>
    <t xml:space="preserve"> DI-NOC Premium Wood Matte SAM</t>
  </si>
  <si>
    <t xml:space="preserve">FW80001214        </t>
  </si>
  <si>
    <t xml:space="preserve"> FW1214 8IN X 10IN            </t>
  </si>
  <si>
    <t xml:space="preserve"> DI-NOC Fine Wood SAMPLE      </t>
  </si>
  <si>
    <t xml:space="preserve">FW80001291        </t>
  </si>
  <si>
    <t xml:space="preserve"> FW1291 8IN X 10IN            </t>
  </si>
  <si>
    <t xml:space="preserve">FW80001681        </t>
  </si>
  <si>
    <t xml:space="preserve"> FW1681 8IN X 10IN            </t>
  </si>
  <si>
    <t xml:space="preserve">FW80001810        </t>
  </si>
  <si>
    <t xml:space="preserve"> FW1810 8IN X 10IN            </t>
  </si>
  <si>
    <t xml:space="preserve">WG80001815        </t>
  </si>
  <si>
    <t xml:space="preserve"> WG1815 8IN X 10IN            </t>
  </si>
  <si>
    <t xml:space="preserve"> DI-NOC Wood Grain SAMPLE     </t>
  </si>
  <si>
    <t xml:space="preserve">WG8000256         </t>
  </si>
  <si>
    <t xml:space="preserve"> WG256 8IN X 10IN             </t>
  </si>
  <si>
    <t xml:space="preserve">WG80002944        </t>
  </si>
  <si>
    <t xml:space="preserve"> WG2944 8IN X 10IN            </t>
  </si>
  <si>
    <t>FDC-0324-4</t>
  </si>
  <si>
    <t xml:space="preserve">PSMT80003099      </t>
  </si>
  <si>
    <t xml:space="preserve"> PSMT3099 8IN X 10IN          </t>
  </si>
  <si>
    <t xml:space="preserve"> DI-NOC Single Color Matte SAM</t>
  </si>
  <si>
    <t xml:space="preserve">PSMT80003100      </t>
  </si>
  <si>
    <t xml:space="preserve"> PSMT3100 8IN X 10IN          </t>
  </si>
  <si>
    <t xml:space="preserve">PSMT80003101      </t>
  </si>
  <si>
    <t xml:space="preserve"> PSMT3101 8IN X 10IN          </t>
  </si>
  <si>
    <t xml:space="preserve">PSMT80003863      </t>
  </si>
  <si>
    <t xml:space="preserve"> PSMT3863 8IN X 10IN          </t>
  </si>
  <si>
    <t xml:space="preserve">PSMT80003864      </t>
  </si>
  <si>
    <t xml:space="preserve"> PSMT3864 8IN X 10IN          </t>
  </si>
  <si>
    <t xml:space="preserve">PSMT80003865      </t>
  </si>
  <si>
    <t xml:space="preserve"> PSMT3865 8IN X 10IN          </t>
  </si>
  <si>
    <t xml:space="preserve">PSMT80003866      </t>
  </si>
  <si>
    <t xml:space="preserve"> PSMT3866 8IN X 10IN          </t>
  </si>
  <si>
    <t xml:space="preserve">PSMT80003867      </t>
  </si>
  <si>
    <t xml:space="preserve"> PSMT3867 8IN X 10IN          </t>
  </si>
  <si>
    <t xml:space="preserve">PSMT80003869      </t>
  </si>
  <si>
    <t xml:space="preserve"> PSMT3869 8IN X 10IN          </t>
  </si>
  <si>
    <t xml:space="preserve">PSMT80003870      </t>
  </si>
  <si>
    <t xml:space="preserve"> PSMT3870 8IN X 10IN          </t>
  </si>
  <si>
    <t xml:space="preserve">PSMT80003904      </t>
  </si>
  <si>
    <t xml:space="preserve"> PSMT3904 8IN X 10IN          </t>
  </si>
  <si>
    <t xml:space="preserve">PSMT80003989      </t>
  </si>
  <si>
    <t xml:space="preserve"> PSMT3989 8IN X 10IN          </t>
  </si>
  <si>
    <t xml:space="preserve">PT8000735         </t>
  </si>
  <si>
    <t xml:space="preserve"> PT735 8IN X 10IN             </t>
  </si>
  <si>
    <t xml:space="preserve"> DI-NOC Abstract SAMPLE       </t>
  </si>
  <si>
    <t xml:space="preserve">PT8000347         </t>
  </si>
  <si>
    <t xml:space="preserve"> PT347 8IN X 10IN             </t>
  </si>
  <si>
    <t xml:space="preserve">PWMT80002306      </t>
  </si>
  <si>
    <t xml:space="preserve"> PWMT2306 8IN X 10IN          </t>
  </si>
  <si>
    <t xml:space="preserve">PWMT80002307      </t>
  </si>
  <si>
    <t xml:space="preserve"> PWMT2307 8IN X 10IN          </t>
  </si>
  <si>
    <t xml:space="preserve">PWMT80002308      </t>
  </si>
  <si>
    <t xml:space="preserve"> PWMT2308 8IN X 10IN          </t>
  </si>
  <si>
    <t xml:space="preserve">PWMT80002309      </t>
  </si>
  <si>
    <t xml:space="preserve"> PWMT2309 8IN X 10IN          </t>
  </si>
  <si>
    <t xml:space="preserve">PWMT80002310      </t>
  </si>
  <si>
    <t xml:space="preserve"> PWMT2310 8IN X 10IN          </t>
  </si>
  <si>
    <t xml:space="preserve">PWMT80002311      </t>
  </si>
  <si>
    <t xml:space="preserve"> PWMT2311 8IN X 10IN          </t>
  </si>
  <si>
    <t xml:space="preserve">PWMT80002312      </t>
  </si>
  <si>
    <t xml:space="preserve"> PWMT2312 8IN X 10IN          </t>
  </si>
  <si>
    <t xml:space="preserve">PWMT80002313      </t>
  </si>
  <si>
    <t xml:space="preserve"> PWMT2313 8IN X 10IN          </t>
  </si>
  <si>
    <t xml:space="preserve">PWMT80002314      </t>
  </si>
  <si>
    <t xml:space="preserve"> PWMT2314 8IN X 10IN          </t>
  </si>
  <si>
    <t xml:space="preserve">PWMT80002315      </t>
  </si>
  <si>
    <t xml:space="preserve"> PWMT2315 8IN X 10IN          </t>
  </si>
  <si>
    <t xml:space="preserve">PWMT80002316      </t>
  </si>
  <si>
    <t xml:space="preserve"> PWMT2316 8IN X 10IN          </t>
  </si>
  <si>
    <t xml:space="preserve">PWMT80002317      </t>
  </si>
  <si>
    <t xml:space="preserve"> PWMT2317 8IN X 10IN          </t>
  </si>
  <si>
    <t xml:space="preserve">PWMT80002318      </t>
  </si>
  <si>
    <t xml:space="preserve"> PWMT2318 8IN X 10IN          </t>
  </si>
  <si>
    <t xml:space="preserve">PWMT80002319      </t>
  </si>
  <si>
    <t xml:space="preserve"> PWMT2319 8IN X 10IN          </t>
  </si>
  <si>
    <t xml:space="preserve">RS80001190        </t>
  </si>
  <si>
    <t xml:space="preserve"> RS1190 8IN X 10IN            </t>
  </si>
  <si>
    <t xml:space="preserve"> DI-NOC Entertainment SAMPLE  </t>
  </si>
  <si>
    <t xml:space="preserve">SI80001613        </t>
  </si>
  <si>
    <t xml:space="preserve"> SI1613 8IN X 10IN            </t>
  </si>
  <si>
    <t xml:space="preserve"> DI-NOC Silk SAMPLE           </t>
  </si>
  <si>
    <t xml:space="preserve">SI80001688        </t>
  </si>
  <si>
    <t xml:space="preserve"> SI1688 8IN X 10IN            </t>
  </si>
  <si>
    <t xml:space="preserve">SI80001689        </t>
  </si>
  <si>
    <t xml:space="preserve"> SI1689 8IN X 10IN            </t>
  </si>
  <si>
    <t xml:space="preserve">ST80001588        </t>
  </si>
  <si>
    <t xml:space="preserve"> ST1588 8IN X 10IN            </t>
  </si>
  <si>
    <t xml:space="preserve"> DI-NOC Stone SAMPLE          </t>
  </si>
  <si>
    <t xml:space="preserve">ST80001828        </t>
  </si>
  <si>
    <t xml:space="preserve"> ST1828 8IN X 10IN            </t>
  </si>
  <si>
    <t xml:space="preserve">ST80001831        </t>
  </si>
  <si>
    <t xml:space="preserve"> ST1831 8IN X 10IN            </t>
  </si>
  <si>
    <t xml:space="preserve">STEX8000442       </t>
  </si>
  <si>
    <t xml:space="preserve"> STEX442 8IN X 10IN           </t>
  </si>
  <si>
    <t xml:space="preserve"> DI-NOC Stone Exterior SAMPLE </t>
  </si>
  <si>
    <t xml:space="preserve">STEX8000736       </t>
  </si>
  <si>
    <t xml:space="preserve"> STEX736 8IN X 10IN           </t>
  </si>
  <si>
    <t xml:space="preserve">STMT80001911      </t>
  </si>
  <si>
    <t xml:space="preserve"> STMT1911 8IN X 10IN          </t>
  </si>
  <si>
    <t xml:space="preserve"> DI-NOC Stone Matte SAMPLE    </t>
  </si>
  <si>
    <t xml:space="preserve">STMT80001912      </t>
  </si>
  <si>
    <t xml:space="preserve"> STMT1912 8IN X 10IN          </t>
  </si>
  <si>
    <t xml:space="preserve">STMT80001914      </t>
  </si>
  <si>
    <t xml:space="preserve"> STMT1914 8IN X 10IN          </t>
  </si>
  <si>
    <t xml:space="preserve">STMT80001915      </t>
  </si>
  <si>
    <t xml:space="preserve"> STMT1915 8IN X 10IN          </t>
  </si>
  <si>
    <t xml:space="preserve">STMT80001916      </t>
  </si>
  <si>
    <t xml:space="preserve"> STMT1916 8IN X 10IN          </t>
  </si>
  <si>
    <t xml:space="preserve">STMT80001919      </t>
  </si>
  <si>
    <t xml:space="preserve"> STMT1919 8IN X 10IN          </t>
  </si>
  <si>
    <t xml:space="preserve">STMT80001920      </t>
  </si>
  <si>
    <t xml:space="preserve"> STMT1920 8IN X 10IN          </t>
  </si>
  <si>
    <t xml:space="preserve">STMT80001927      </t>
  </si>
  <si>
    <t xml:space="preserve"> STMT1927 8IN X 10IN          </t>
  </si>
  <si>
    <t xml:space="preserve">STMT80002170      </t>
  </si>
  <si>
    <t xml:space="preserve"> STMT2170 8IN X 10IN          </t>
  </si>
  <si>
    <t xml:space="preserve">STMT80002171      </t>
  </si>
  <si>
    <t xml:space="preserve"> STMT2171 8IN X 10IN          </t>
  </si>
  <si>
    <t xml:space="preserve">SUMT80002231      </t>
  </si>
  <si>
    <t xml:space="preserve"> SUMT2231 8IN X 10IN          </t>
  </si>
  <si>
    <t xml:space="preserve"> DI-NOC Suede Matte SAMPLE    </t>
  </si>
  <si>
    <t xml:space="preserve">SUMT80002232      </t>
  </si>
  <si>
    <t xml:space="preserve"> SUMT2232 8IN X 10IN          </t>
  </si>
  <si>
    <t xml:space="preserve">SUMT80002233      </t>
  </si>
  <si>
    <t xml:space="preserve"> SUMT2233 8IN X 10IN          </t>
  </si>
  <si>
    <t xml:space="preserve">SUMT80002234      </t>
  </si>
  <si>
    <t xml:space="preserve"> SUMT2234 8IN X 10IN          </t>
  </si>
  <si>
    <t xml:space="preserve">SUMT80002235      </t>
  </si>
  <si>
    <t xml:space="preserve"> SUMT2235 8IN X 10IN          </t>
  </si>
  <si>
    <t xml:space="preserve">TE80001650        </t>
  </si>
  <si>
    <t xml:space="preserve"> TE1650 8IN X 10IN            </t>
  </si>
  <si>
    <t xml:space="preserve"> DI-NOC Advanced Metallic SAMP</t>
  </si>
  <si>
    <t xml:space="preserve">TE80001713        </t>
  </si>
  <si>
    <t xml:space="preserve"> TE1713 8IN X 10IN            </t>
  </si>
  <si>
    <t xml:space="preserve">TE80001714        </t>
  </si>
  <si>
    <t xml:space="preserve"> TE1714 8IN X 10IN            </t>
  </si>
  <si>
    <t xml:space="preserve">VM80001488        </t>
  </si>
  <si>
    <t xml:space="preserve"> VM1488 8IN X 10IN            </t>
  </si>
  <si>
    <t xml:space="preserve">VM80001489        </t>
  </si>
  <si>
    <t xml:space="preserve"> VM1489 8IN X 10IN            </t>
  </si>
  <si>
    <t xml:space="preserve">VM8000168         </t>
  </si>
  <si>
    <t xml:space="preserve"> VM168 8IN X 10IN             </t>
  </si>
  <si>
    <t xml:space="preserve">VM80001691        </t>
  </si>
  <si>
    <t xml:space="preserve"> VM1691 8IN X 10IN            </t>
  </si>
  <si>
    <t xml:space="preserve">VM80001692        </t>
  </si>
  <si>
    <t xml:space="preserve"> VM1692 8IN X 10IN            </t>
  </si>
  <si>
    <t xml:space="preserve">VM80001693        </t>
  </si>
  <si>
    <t xml:space="preserve"> VM1693 8IN X 10IN            </t>
  </si>
  <si>
    <t xml:space="preserve">VM80002035        </t>
  </si>
  <si>
    <t xml:space="preserve"> VM2035 8IN X 10IN            </t>
  </si>
  <si>
    <t xml:space="preserve">VM80002038        </t>
  </si>
  <si>
    <t xml:space="preserve"> VM2038 8IN X 10IN            </t>
  </si>
  <si>
    <t xml:space="preserve">VM8000305         </t>
  </si>
  <si>
    <t xml:space="preserve"> VM305 8IN X 10IN             </t>
  </si>
  <si>
    <t xml:space="preserve">VM8000381         </t>
  </si>
  <si>
    <t xml:space="preserve"> VM381 8IN X 10IN             </t>
  </si>
  <si>
    <t xml:space="preserve">VM8000452         </t>
  </si>
  <si>
    <t xml:space="preserve"> VM452 8IN X 10IN             </t>
  </si>
  <si>
    <t xml:space="preserve">VM8000800         </t>
  </si>
  <si>
    <t xml:space="preserve"> VM800 8IN X 10IN             </t>
  </si>
  <si>
    <t xml:space="preserve">VMMT80001855      </t>
  </si>
  <si>
    <t xml:space="preserve"> VMMT1855 8IN X 10IN          </t>
  </si>
  <si>
    <t xml:space="preserve"> DI-NOC Metallic Matte SAMPLE </t>
  </si>
  <si>
    <t xml:space="preserve">VMMT80001858      </t>
  </si>
  <si>
    <t xml:space="preserve"> VMMT1858 8IN X 10IN          </t>
  </si>
  <si>
    <t xml:space="preserve">VMMT80001859      </t>
  </si>
  <si>
    <t xml:space="preserve"> VMMT1859 8IN X 10IN          </t>
  </si>
  <si>
    <t xml:space="preserve">VMMT80001991      </t>
  </si>
  <si>
    <t xml:space="preserve"> VMMT1991 8IN X 10IN          </t>
  </si>
  <si>
    <t xml:space="preserve">WG80001052        </t>
  </si>
  <si>
    <t xml:space="preserve"> WG1052 8IN X 10IN            </t>
  </si>
  <si>
    <t xml:space="preserve">WG80001057        </t>
  </si>
  <si>
    <t xml:space="preserve"> WG1057 8IN X 10IN            </t>
  </si>
  <si>
    <t xml:space="preserve">WG80001058        </t>
  </si>
  <si>
    <t xml:space="preserve"> WG1058 8IN X 10IN            </t>
  </si>
  <si>
    <t xml:space="preserve">WG80001142        </t>
  </si>
  <si>
    <t xml:space="preserve"> WG1142 8IN X 10IN            </t>
  </si>
  <si>
    <t xml:space="preserve">WG80001143        </t>
  </si>
  <si>
    <t xml:space="preserve"> WG1143 8IN X 10IN            </t>
  </si>
  <si>
    <t xml:space="preserve">WG80001146        </t>
  </si>
  <si>
    <t xml:space="preserve"> WG1146 8IN X 10IN            </t>
  </si>
  <si>
    <t xml:space="preserve">WG80001147        </t>
  </si>
  <si>
    <t xml:space="preserve"> WG1147 8IN X 10IN            </t>
  </si>
  <si>
    <t xml:space="preserve">WG80001196        </t>
  </si>
  <si>
    <t xml:space="preserve"> WG1196 8IN X 10IN            </t>
  </si>
  <si>
    <t xml:space="preserve">WG80001219        </t>
  </si>
  <si>
    <t xml:space="preserve"> WG1219 8IN X 10IN            </t>
  </si>
  <si>
    <t xml:space="preserve">WG80001221        </t>
  </si>
  <si>
    <t xml:space="preserve"> WG1221 8IN X 10IN            </t>
  </si>
  <si>
    <t xml:space="preserve">WG80001336        </t>
  </si>
  <si>
    <t xml:space="preserve"> WG1336 8IN X 10IN            </t>
  </si>
  <si>
    <t xml:space="preserve">WG80001346        </t>
  </si>
  <si>
    <t xml:space="preserve"> WG1346 8IN X 10IN            </t>
  </si>
  <si>
    <t xml:space="preserve">WG80001348        </t>
  </si>
  <si>
    <t xml:space="preserve"> WG1348 8IN X 10IN            </t>
  </si>
  <si>
    <t xml:space="preserve">WG80001350        </t>
  </si>
  <si>
    <t xml:space="preserve"> WG1350 8IN X 10IN            </t>
  </si>
  <si>
    <t xml:space="preserve">WG80001357        </t>
  </si>
  <si>
    <t xml:space="preserve"> WG1357 8IN X 10IN            </t>
  </si>
  <si>
    <t xml:space="preserve">WG80001359        </t>
  </si>
  <si>
    <t xml:space="preserve"> WG1359 8IN X 10IN            </t>
  </si>
  <si>
    <t xml:space="preserve">WG80001372        </t>
  </si>
  <si>
    <t xml:space="preserve"> WG1372 8IN X 10IN            </t>
  </si>
  <si>
    <t xml:space="preserve">WG80001375        </t>
  </si>
  <si>
    <t xml:space="preserve"> WG1375 8IN X 10IN            </t>
  </si>
  <si>
    <t xml:space="preserve">WG80001380        </t>
  </si>
  <si>
    <t xml:space="preserve"> WG1380 8IN X 10IN            </t>
  </si>
  <si>
    <t xml:space="preserve">WG8000166         </t>
  </si>
  <si>
    <t xml:space="preserve"> WG166 8IN X 10IN             </t>
  </si>
  <si>
    <t xml:space="preserve">WG80001704        </t>
  </si>
  <si>
    <t xml:space="preserve"> WG1704 8IN X 10IN            </t>
  </si>
  <si>
    <t xml:space="preserve">WG80001705        </t>
  </si>
  <si>
    <t xml:space="preserve"> WG1705 8IN X 10IN            </t>
  </si>
  <si>
    <t xml:space="preserve">WG80001814        </t>
  </si>
  <si>
    <t xml:space="preserve"> WG1814 8IN X 10IN            </t>
  </si>
  <si>
    <t xml:space="preserve">WG80001816        </t>
  </si>
  <si>
    <t xml:space="preserve"> WG1816 8IN X 10IN            </t>
  </si>
  <si>
    <t xml:space="preserve">WG80001836        </t>
  </si>
  <si>
    <t xml:space="preserve"> WG1836 8IN X 10IN            </t>
  </si>
  <si>
    <t xml:space="preserve">WG80002019        </t>
  </si>
  <si>
    <t xml:space="preserve"> WG2019 8IN X 10IN            </t>
  </si>
  <si>
    <t xml:space="preserve">WG80002080        </t>
  </si>
  <si>
    <t xml:space="preserve"> WG2080H 8IN X 10IN           </t>
  </si>
  <si>
    <t xml:space="preserve">WG80002085        </t>
  </si>
  <si>
    <t xml:space="preserve"> WG2085 8IN X 10IN            </t>
  </si>
  <si>
    <t>FDC-0324-2</t>
  </si>
  <si>
    <t xml:space="preserve">DWMT80002217      </t>
  </si>
  <si>
    <t xml:space="preserve"> DWMT2217 8IN X 10IN          </t>
  </si>
  <si>
    <t xml:space="preserve">DWMT80002220      </t>
  </si>
  <si>
    <t xml:space="preserve"> DWMT2220 8IN X 10IN          </t>
  </si>
  <si>
    <t xml:space="preserve">DWMT80002221      </t>
  </si>
  <si>
    <t xml:space="preserve"> DWMT2221 8IN X 10IN          </t>
  </si>
  <si>
    <t xml:space="preserve">DWMT80002222      </t>
  </si>
  <si>
    <t xml:space="preserve"> DWMT2222 8IN X 10IN          </t>
  </si>
  <si>
    <t xml:space="preserve">DWMT80002223      </t>
  </si>
  <si>
    <t xml:space="preserve"> DWMT2223 8IN X 10IN          </t>
  </si>
  <si>
    <t xml:space="preserve">DWMT80002224      </t>
  </si>
  <si>
    <t xml:space="preserve"> DWMT2224 8IN X 10IN          </t>
  </si>
  <si>
    <t xml:space="preserve">DWMT80002225      </t>
  </si>
  <si>
    <t xml:space="preserve"> DWMT2225 8IN X 10IN          </t>
  </si>
  <si>
    <t xml:space="preserve">DWMT80002226      </t>
  </si>
  <si>
    <t xml:space="preserve"> DWMT2226 8IN X 10IN          </t>
  </si>
  <si>
    <t xml:space="preserve">DWMT80002227      </t>
  </si>
  <si>
    <t xml:space="preserve"> DWMT2227 8IN X 10IN          </t>
  </si>
  <si>
    <t xml:space="preserve">DWMT80002228      </t>
  </si>
  <si>
    <t xml:space="preserve"> DWMT2228 8IN X 10IN          </t>
  </si>
  <si>
    <t xml:space="preserve">DWMT80002229      </t>
  </si>
  <si>
    <t xml:space="preserve"> DWMT2229 8IN X 10IN          </t>
  </si>
  <si>
    <t xml:space="preserve">ET80001772        </t>
  </si>
  <si>
    <t xml:space="preserve"> ET1772 8IN X 10IN            </t>
  </si>
  <si>
    <t xml:space="preserve"> DI-NOC Effect SAMPLE         </t>
  </si>
  <si>
    <t xml:space="preserve">ET80001773        </t>
  </si>
  <si>
    <t xml:space="preserve"> ET1773 8IN X 10IN            </t>
  </si>
  <si>
    <t xml:space="preserve">FA80001095        </t>
  </si>
  <si>
    <t xml:space="preserve"> FA1095 8IN X 10IN            </t>
  </si>
  <si>
    <t xml:space="preserve"> DI-NOC Multiple Categories SA</t>
  </si>
  <si>
    <t xml:space="preserve">FA80001150        </t>
  </si>
  <si>
    <t xml:space="preserve"> FA1150 8IN X 10IN            </t>
  </si>
  <si>
    <t xml:space="preserve">FA80001153        </t>
  </si>
  <si>
    <t xml:space="preserve"> FA1153 8IN X 10IN            </t>
  </si>
  <si>
    <t xml:space="preserve">FA80001163        </t>
  </si>
  <si>
    <t xml:space="preserve"> FA1163 8IN X 10IN            </t>
  </si>
  <si>
    <t xml:space="preserve">FA80001164        </t>
  </si>
  <si>
    <t xml:space="preserve"> FA1164 8IN X 10IN            </t>
  </si>
  <si>
    <t xml:space="preserve">FA80001680        </t>
  </si>
  <si>
    <t xml:space="preserve"> FA1680 8IN X 10IN            </t>
  </si>
  <si>
    <t xml:space="preserve">FA8000690         </t>
  </si>
  <si>
    <t xml:space="preserve"> FA690 8IN X 10IN             </t>
  </si>
  <si>
    <t xml:space="preserve">FAEX80001530      </t>
  </si>
  <si>
    <t xml:space="preserve"> FAEX1530 8IN X 10IN          </t>
  </si>
  <si>
    <t xml:space="preserve"> DI-NOC Multiple Categories Ex</t>
  </si>
  <si>
    <t xml:space="preserve">FW80001021        </t>
  </si>
  <si>
    <t xml:space="preserve"> FW1021 8IN X 10IN            </t>
  </si>
  <si>
    <t xml:space="preserve">FW80001023        </t>
  </si>
  <si>
    <t xml:space="preserve"> FW1023 8IN X 10IN            </t>
  </si>
  <si>
    <t xml:space="preserve">FW80001113        </t>
  </si>
  <si>
    <t xml:space="preserve"> FW1113 8IN X 10IN            </t>
  </si>
  <si>
    <t xml:space="preserve">FW80001122        </t>
  </si>
  <si>
    <t xml:space="preserve"> FW1122 8IN X 10IN            </t>
  </si>
  <si>
    <t xml:space="preserve">FW80001129        </t>
  </si>
  <si>
    <t xml:space="preserve"> FW1129 8IN X 10IN            </t>
  </si>
  <si>
    <t xml:space="preserve">FW80001139        </t>
  </si>
  <si>
    <t xml:space="preserve"> FW1139H 8IN X 10IN           </t>
  </si>
  <si>
    <t xml:space="preserve">FW80001208        </t>
  </si>
  <si>
    <t xml:space="preserve"> FW1208 8IN X 10IN            </t>
  </si>
  <si>
    <t xml:space="preserve">FW80001258        </t>
  </si>
  <si>
    <t xml:space="preserve"> FW1258 8IN X 10IN            </t>
  </si>
  <si>
    <t xml:space="preserve">FW80001276        </t>
  </si>
  <si>
    <t xml:space="preserve"> FW1276 8IN X 10IN            </t>
  </si>
  <si>
    <t xml:space="preserve">FW80001281        </t>
  </si>
  <si>
    <t xml:space="preserve"> FW1281 8IN X 10IN            </t>
  </si>
  <si>
    <t xml:space="preserve">FW80001283        </t>
  </si>
  <si>
    <t xml:space="preserve"> FW1283 8IN X 10IN            </t>
  </si>
  <si>
    <t xml:space="preserve">FW80001287        </t>
  </si>
  <si>
    <t xml:space="preserve"> FW1287 8IN X 10IN            </t>
  </si>
  <si>
    <t xml:space="preserve">FW80001289        </t>
  </si>
  <si>
    <t xml:space="preserve"> FW1289 8IN X 10IN            </t>
  </si>
  <si>
    <t xml:space="preserve">FW80001301        </t>
  </si>
  <si>
    <t xml:space="preserve"> FW1301 8IN X 10IN            </t>
  </si>
  <si>
    <t xml:space="preserve">FW80001737        </t>
  </si>
  <si>
    <t xml:space="preserve"> FW1737 8IN X 10IN            </t>
  </si>
  <si>
    <t xml:space="preserve">FW80001740        </t>
  </si>
  <si>
    <t xml:space="preserve"> FW1740 8IN X 10IN            </t>
  </si>
  <si>
    <t xml:space="preserve">FW80001744        </t>
  </si>
  <si>
    <t xml:space="preserve"> FW1744 8IN X 10IN            </t>
  </si>
  <si>
    <t xml:space="preserve">FW80001745        </t>
  </si>
  <si>
    <t xml:space="preserve"> FW1745 8IN X 10IN            </t>
  </si>
  <si>
    <t xml:space="preserve">FW80001752        </t>
  </si>
  <si>
    <t xml:space="preserve"> FW1752H 8IN X 10IN           </t>
  </si>
  <si>
    <t xml:space="preserve">FW80001758        </t>
  </si>
  <si>
    <t xml:space="preserve"> FW1758 8IN X 10IN            </t>
  </si>
  <si>
    <t xml:space="preserve">FW80001761        </t>
  </si>
  <si>
    <t xml:space="preserve"> FW1761 8IN X 10IN            </t>
  </si>
  <si>
    <t xml:space="preserve">FW80001970        </t>
  </si>
  <si>
    <t xml:space="preserve"> FW1970 8IN X 10IN            </t>
  </si>
  <si>
    <t xml:space="preserve">FW80001987        </t>
  </si>
  <si>
    <t xml:space="preserve"> FW1987 8IN X 10IN            </t>
  </si>
  <si>
    <t xml:space="preserve">FW8000232         </t>
  </si>
  <si>
    <t xml:space="preserve"> FW232 8IN X 10IN             </t>
  </si>
  <si>
    <t xml:space="preserve">FW8000233         </t>
  </si>
  <si>
    <t xml:space="preserve"> FW233 8IN X 10IN             </t>
  </si>
  <si>
    <t xml:space="preserve">FW8000510         </t>
  </si>
  <si>
    <t xml:space="preserve"> FW510 8IN X 10IN             </t>
  </si>
  <si>
    <t xml:space="preserve">FW8000613         </t>
  </si>
  <si>
    <t xml:space="preserve"> FW613 8IN X 10IN             </t>
  </si>
  <si>
    <t xml:space="preserve">FW8000640         </t>
  </si>
  <si>
    <t xml:space="preserve"> FW640 8IN X 10IN             </t>
  </si>
  <si>
    <t xml:space="preserve">FW8000653         </t>
  </si>
  <si>
    <t xml:space="preserve"> FW653 8IN X 10IN             </t>
  </si>
  <si>
    <t xml:space="preserve">FW8000655         </t>
  </si>
  <si>
    <t xml:space="preserve"> FW655 8IN X 10IN             </t>
  </si>
  <si>
    <t xml:space="preserve">FW8000656         </t>
  </si>
  <si>
    <t xml:space="preserve"> FW656 8IN X 10IN             </t>
  </si>
  <si>
    <t xml:space="preserve">FW80007007        </t>
  </si>
  <si>
    <t xml:space="preserve"> FW7007 8IN X 10IN            </t>
  </si>
  <si>
    <t xml:space="preserve">FW80007013        </t>
  </si>
  <si>
    <t xml:space="preserve"> FW7013 8IN X 10IN            </t>
  </si>
  <si>
    <t xml:space="preserve">FW80007017        </t>
  </si>
  <si>
    <t xml:space="preserve"> FW7017 8IN X 10IN            </t>
  </si>
  <si>
    <t xml:space="preserve">FW8000886         </t>
  </si>
  <si>
    <t xml:space="preserve"> FW886 8IN X 10IN             </t>
  </si>
  <si>
    <t xml:space="preserve">FW8000888         </t>
  </si>
  <si>
    <t xml:space="preserve"> FW888 8IN X 10IN             </t>
  </si>
  <si>
    <t xml:space="preserve">FW8000889         </t>
  </si>
  <si>
    <t xml:space="preserve"> FW889 8IN X 10IN             </t>
  </si>
  <si>
    <t xml:space="preserve">FWEX80001022      </t>
  </si>
  <si>
    <t xml:space="preserve"> FWEX1022 8IN X 10IN          </t>
  </si>
  <si>
    <t xml:space="preserve"> DI-NOC Fine Wood Exterior SAM</t>
  </si>
  <si>
    <t xml:space="preserve">FWEX80001023      </t>
  </si>
  <si>
    <t xml:space="preserve"> FWEX1023 8IN X 10IN          </t>
  </si>
  <si>
    <t xml:space="preserve">FWEX80001113      </t>
  </si>
  <si>
    <t xml:space="preserve"> FWEX1113 8IN X 10IN          </t>
  </si>
  <si>
    <t xml:space="preserve">FWEX80001122      </t>
  </si>
  <si>
    <t xml:space="preserve"> FWEX1122 8IN X 10IN          </t>
  </si>
  <si>
    <t xml:space="preserve">FWEX80001123      </t>
  </si>
  <si>
    <t xml:space="preserve"> FWEX1123 8IN X 10IN          </t>
  </si>
  <si>
    <t xml:space="preserve">FWEX80001124      </t>
  </si>
  <si>
    <t xml:space="preserve"> FWEX1124 8IN X 10IN          </t>
  </si>
  <si>
    <t xml:space="preserve">FWEX80001129      </t>
  </si>
  <si>
    <t xml:space="preserve"> FWEX1129 8IN X 10IN          </t>
  </si>
  <si>
    <t xml:space="preserve">FWEX80001214      </t>
  </si>
  <si>
    <t xml:space="preserve"> FWEX1214 8IN X 10IN          </t>
  </si>
  <si>
    <t xml:space="preserve">FWEX80001801      </t>
  </si>
  <si>
    <t xml:space="preserve"> FWEX1801 8IN X 10IN          </t>
  </si>
  <si>
    <t xml:space="preserve">FWEX80001805      </t>
  </si>
  <si>
    <t xml:space="preserve"> FWEX1805 8IN X 10IN          </t>
  </si>
  <si>
    <t xml:space="preserve">FWEX8000233       </t>
  </si>
  <si>
    <t xml:space="preserve"> FWEX233 8IN X 10IN           </t>
  </si>
  <si>
    <t xml:space="preserve">FWEX8000236       </t>
  </si>
  <si>
    <t xml:space="preserve"> FWEX236 8IN X 10IN           </t>
  </si>
  <si>
    <t xml:space="preserve">FWEX8000324       </t>
  </si>
  <si>
    <t xml:space="preserve"> FWEX324 8IN X 10IN           </t>
  </si>
  <si>
    <t xml:space="preserve">FWEX8000330       </t>
  </si>
  <si>
    <t xml:space="preserve"> FWEX330 8IN X 10IN           </t>
  </si>
  <si>
    <t xml:space="preserve">FWEX8000522       </t>
  </si>
  <si>
    <t xml:space="preserve"> FWEX522 8IN X 10IN           </t>
  </si>
  <si>
    <t xml:space="preserve">FWEX8000609       </t>
  </si>
  <si>
    <t xml:space="preserve"> FWEX609H 8IN X 10IN          </t>
  </si>
  <si>
    <t xml:space="preserve">FWEX8000618       </t>
  </si>
  <si>
    <t xml:space="preserve"> FWEX618 8IN X 10IN           </t>
  </si>
  <si>
    <t xml:space="preserve">FWEX8000625       </t>
  </si>
  <si>
    <t xml:space="preserve"> FWEX625 8IN X 10IN           </t>
  </si>
  <si>
    <t xml:space="preserve">FWEX8000627       </t>
  </si>
  <si>
    <t xml:space="preserve"> FWEX627 8IN X 10IN           </t>
  </si>
  <si>
    <t xml:space="preserve">FWEX8000640       </t>
  </si>
  <si>
    <t xml:space="preserve"> FWEX640 8IN X 10IN           </t>
  </si>
  <si>
    <t xml:space="preserve">FWEX8000643       </t>
  </si>
  <si>
    <t xml:space="preserve"> FWEX643 8IN X 10IN           </t>
  </si>
  <si>
    <t xml:space="preserve">FWEX8000650       </t>
  </si>
  <si>
    <t xml:space="preserve"> FWEX650 8IN X 10IN           </t>
  </si>
  <si>
    <t xml:space="preserve">FWEX8000651       </t>
  </si>
  <si>
    <t xml:space="preserve"> FWEX651 8IN X 10IN           </t>
  </si>
  <si>
    <t xml:space="preserve">FWEX80007006      </t>
  </si>
  <si>
    <t xml:space="preserve"> FWEX7006 8IN X 10IN          </t>
  </si>
  <si>
    <t xml:space="preserve">FWEX80007008      </t>
  </si>
  <si>
    <t xml:space="preserve"> FWEX7008 8IN X 10IN          </t>
  </si>
  <si>
    <t xml:space="preserve">FWEX80007011      </t>
  </si>
  <si>
    <t xml:space="preserve"> FWEX7011 8IN X 10IN          </t>
  </si>
  <si>
    <t xml:space="preserve">FWEX8000887       </t>
  </si>
  <si>
    <t xml:space="preserve"> FWEX887 8IN X 10IN           </t>
  </si>
  <si>
    <t xml:space="preserve">HG80001205        </t>
  </si>
  <si>
    <t xml:space="preserve"> HG1205 8IN X 10IN            </t>
  </si>
  <si>
    <t xml:space="preserve"> DI-NOC High Gloss SAMPLE     </t>
  </si>
  <si>
    <t xml:space="preserve">HG80001994        </t>
  </si>
  <si>
    <t xml:space="preserve"> HG1994 8IN X 10IN            </t>
  </si>
  <si>
    <t xml:space="preserve">LE80001104        </t>
  </si>
  <si>
    <t xml:space="preserve"> LE1104 8IN X 10IN            </t>
  </si>
  <si>
    <t xml:space="preserve"> DI-NOC Leather SAMPLE        </t>
  </si>
  <si>
    <t xml:space="preserve">LE80001105        </t>
  </si>
  <si>
    <t xml:space="preserve"> LE1105 8IN X 10IN            </t>
  </si>
  <si>
    <t xml:space="preserve">LE80001106        </t>
  </si>
  <si>
    <t xml:space="preserve"> LE1106 8IN X 10IN            </t>
  </si>
  <si>
    <t xml:space="preserve">LEEX8000703       </t>
  </si>
  <si>
    <t xml:space="preserve"> LEEX703 8IN X 10IN           </t>
  </si>
  <si>
    <t xml:space="preserve"> DI-NOC Leather Exterior SAMPL</t>
  </si>
  <si>
    <t xml:space="preserve">LW80001084        </t>
  </si>
  <si>
    <t xml:space="preserve"> LW1084 8IN X 10IN            </t>
  </si>
  <si>
    <t xml:space="preserve">LW80001085        </t>
  </si>
  <si>
    <t xml:space="preserve"> LW1085 8IN X 10IN            </t>
  </si>
  <si>
    <t xml:space="preserve">LZ8000462         </t>
  </si>
  <si>
    <t xml:space="preserve"> LZ462 8IN X 10IN             </t>
  </si>
  <si>
    <t xml:space="preserve">ME80001174        </t>
  </si>
  <si>
    <t xml:space="preserve"> ME1174 8IN X 10IN            </t>
  </si>
  <si>
    <t xml:space="preserve">ME80001223        </t>
  </si>
  <si>
    <t xml:space="preserve"> ME1223 8IN X 10IN            </t>
  </si>
  <si>
    <t xml:space="preserve">ME80001466        </t>
  </si>
  <si>
    <t xml:space="preserve"> ME1466 8IN X 10IN            </t>
  </si>
  <si>
    <t xml:space="preserve">ME80001467        </t>
  </si>
  <si>
    <t xml:space="preserve"> ME1467 8IN X 10IN            </t>
  </si>
  <si>
    <t xml:space="preserve">ME8000147         </t>
  </si>
  <si>
    <t xml:space="preserve"> ME147 8IN X 10IN             </t>
  </si>
  <si>
    <t xml:space="preserve">DWMT80002218      </t>
  </si>
  <si>
    <t xml:space="preserve"> DWMT2218 8IN X 10IN          </t>
  </si>
  <si>
    <t xml:space="preserve">DWMT80002219      </t>
  </si>
  <si>
    <t xml:space="preserve"> DWMT2219 8IN X 10IN          </t>
  </si>
  <si>
    <t>FDC-0324-3</t>
  </si>
  <si>
    <t xml:space="preserve">ME80001781        </t>
  </si>
  <si>
    <t xml:space="preserve"> ME1781 8IN X 10IN            </t>
  </si>
  <si>
    <t xml:space="preserve">ME80002026        </t>
  </si>
  <si>
    <t xml:space="preserve"> ME2026 8IN X 10IN            </t>
  </si>
  <si>
    <t xml:space="preserve">ME8000388         </t>
  </si>
  <si>
    <t xml:space="preserve"> ME388 8IN X 10IN             </t>
  </si>
  <si>
    <t xml:space="preserve">ME8000431         </t>
  </si>
  <si>
    <t xml:space="preserve"> ME431 8IN X 10IN             </t>
  </si>
  <si>
    <t xml:space="preserve">ME8000432         </t>
  </si>
  <si>
    <t xml:space="preserve"> ME432 8IN X 10IN             </t>
  </si>
  <si>
    <t xml:space="preserve">ME8000433         </t>
  </si>
  <si>
    <t xml:space="preserve"> ME433 8IN X 10IN             </t>
  </si>
  <si>
    <t xml:space="preserve">ME8000904         </t>
  </si>
  <si>
    <t xml:space="preserve"> ME904 8IN X 10IN             </t>
  </si>
  <si>
    <t xml:space="preserve">MEEX8000001       </t>
  </si>
  <si>
    <t xml:space="preserve"> MEEX001 8IN X 10IN           </t>
  </si>
  <si>
    <t xml:space="preserve"> DI-NOC Metallic Exterior SAMP</t>
  </si>
  <si>
    <t xml:space="preserve">MEEX8000002       </t>
  </si>
  <si>
    <t xml:space="preserve"> MEEX002 8IN X 10IN           </t>
  </si>
  <si>
    <t xml:space="preserve">MEEX8000003       </t>
  </si>
  <si>
    <t xml:space="preserve"> MEEX003 8IN X 10IN           </t>
  </si>
  <si>
    <t xml:space="preserve">MEEX8000004       </t>
  </si>
  <si>
    <t xml:space="preserve"> MEEX004 8IN X 10IN           </t>
  </si>
  <si>
    <t xml:space="preserve">MEEX8000007       </t>
  </si>
  <si>
    <t xml:space="preserve"> MEEX007 8IN X 10IN           </t>
  </si>
  <si>
    <t xml:space="preserve">MEMT80002251      </t>
  </si>
  <si>
    <t xml:space="preserve"> MEMT2251 8IN X 10IN          </t>
  </si>
  <si>
    <t xml:space="preserve">MEMT80002252      </t>
  </si>
  <si>
    <t xml:space="preserve"> MEMT2252 8IN X 10IN          </t>
  </si>
  <si>
    <t xml:space="preserve">MEMT80002253      </t>
  </si>
  <si>
    <t xml:space="preserve"> MEMT2253 8IN X 10IN          </t>
  </si>
  <si>
    <t xml:space="preserve">MEMT80002254      </t>
  </si>
  <si>
    <t xml:space="preserve"> MEMT2254 8IN X 10IN          </t>
  </si>
  <si>
    <t xml:space="preserve">MEMT80002255      </t>
  </si>
  <si>
    <t xml:space="preserve"> MEMT2255 8IN X 10IN          </t>
  </si>
  <si>
    <t xml:space="preserve">MW80001177        </t>
  </si>
  <si>
    <t xml:space="preserve"> MW1177 8IN X 10IN            </t>
  </si>
  <si>
    <t xml:space="preserve"> DI-NOC Metallic Wood SAMPLE  </t>
  </si>
  <si>
    <t xml:space="preserve">MW80001417        </t>
  </si>
  <si>
    <t xml:space="preserve"> MW1417 8IN X 10IN            </t>
  </si>
  <si>
    <t xml:space="preserve">MW80001418        </t>
  </si>
  <si>
    <t xml:space="preserve"> MW1418 8IN X 10IN            </t>
  </si>
  <si>
    <t xml:space="preserve">MW80001782        </t>
  </si>
  <si>
    <t xml:space="preserve"> MW1782 8IN X 10IN            </t>
  </si>
  <si>
    <t xml:space="preserve">NU80001237        </t>
  </si>
  <si>
    <t xml:space="preserve"> NU1237 8IN X 10IN            </t>
  </si>
  <si>
    <t xml:space="preserve"> DI-NOC Nuno/Textile SAMPLE   </t>
  </si>
  <si>
    <t xml:space="preserve">NU80001603        </t>
  </si>
  <si>
    <t xml:space="preserve"> NU1603 8IN X 10IN            </t>
  </si>
  <si>
    <t xml:space="preserve">NU80001785        </t>
  </si>
  <si>
    <t xml:space="preserve"> NU1785 8IN X 10IN            </t>
  </si>
  <si>
    <t xml:space="preserve">NU80001786        </t>
  </si>
  <si>
    <t xml:space="preserve"> NU1786 8IN X 10IN            </t>
  </si>
  <si>
    <t xml:space="preserve">NU80002006        </t>
  </si>
  <si>
    <t xml:space="preserve"> NU2006 8IN X 10IN            </t>
  </si>
  <si>
    <t xml:space="preserve">NU80002008        </t>
  </si>
  <si>
    <t xml:space="preserve"> NU2008 8IN X 10IN            </t>
  </si>
  <si>
    <t xml:space="preserve">NU80002010        </t>
  </si>
  <si>
    <t xml:space="preserve"> NU2010 8IN X 10IN            </t>
  </si>
  <si>
    <t xml:space="preserve">NU80002012        </t>
  </si>
  <si>
    <t xml:space="preserve"> NU2012 8IN X 10IN            </t>
  </si>
  <si>
    <t xml:space="preserve">NUMT80001934      </t>
  </si>
  <si>
    <t xml:space="preserve"> NUMT1934 8IN X 10IN          </t>
  </si>
  <si>
    <t xml:space="preserve"> DI-NOC Nuno/Textile Matte SAM</t>
  </si>
  <si>
    <t xml:space="preserve">NUMT80001935      </t>
  </si>
  <si>
    <t xml:space="preserve"> NUMT1935 8IN X 10IN          </t>
  </si>
  <si>
    <t xml:space="preserve">NUMT80001936      </t>
  </si>
  <si>
    <t xml:space="preserve"> NUMT1936 8IN X 10IN          </t>
  </si>
  <si>
    <t xml:space="preserve">NUMT80001937      </t>
  </si>
  <si>
    <t xml:space="preserve"> NUMT1937 8IN X 10IN          </t>
  </si>
  <si>
    <t xml:space="preserve">NUMT80001938      </t>
  </si>
  <si>
    <t xml:space="preserve"> NUMT1938 8IN X 10IN          </t>
  </si>
  <si>
    <t xml:space="preserve">NUMT80001939      </t>
  </si>
  <si>
    <t xml:space="preserve"> NUMT1939 8IN X 10IN          </t>
  </si>
  <si>
    <t xml:space="preserve">NUMT80001940      </t>
  </si>
  <si>
    <t xml:space="preserve"> NUMT1940 8IN X 10IN          </t>
  </si>
  <si>
    <t xml:space="preserve">NUMT80001941      </t>
  </si>
  <si>
    <t xml:space="preserve"> NUMT1941 8IN X 10IN          </t>
  </si>
  <si>
    <t xml:space="preserve">NUMT80001942      </t>
  </si>
  <si>
    <t xml:space="preserve"> NUMT1942 8IN X 10IN          </t>
  </si>
  <si>
    <t xml:space="preserve">NUMT80001943      </t>
  </si>
  <si>
    <t xml:space="preserve"> NUMT1943 8IN X 10IN          </t>
  </si>
  <si>
    <t xml:space="preserve">NUMT80002175      </t>
  </si>
  <si>
    <t xml:space="preserve"> NUMT2175 8IN X 10IN          </t>
  </si>
  <si>
    <t xml:space="preserve">NUMT80002176      </t>
  </si>
  <si>
    <t xml:space="preserve"> NUMT2176 8IN X 10IN          </t>
  </si>
  <si>
    <t xml:space="preserve">PA8000045         </t>
  </si>
  <si>
    <t xml:space="preserve"> PA045 8IN X 10IN             </t>
  </si>
  <si>
    <t xml:space="preserve"> DI-NOC Metallic  SAMPLE      </t>
  </si>
  <si>
    <t xml:space="preserve">PA8000178         </t>
  </si>
  <si>
    <t xml:space="preserve"> PA178 8IN X 10IN             </t>
  </si>
  <si>
    <t xml:space="preserve">PA8000180         </t>
  </si>
  <si>
    <t xml:space="preserve"> PA180 8IN X 10IN             </t>
  </si>
  <si>
    <t xml:space="preserve">PA8000390         </t>
  </si>
  <si>
    <t xml:space="preserve"> PA390 8IN X 10IN             </t>
  </si>
  <si>
    <t xml:space="preserve">PAEX8000038       </t>
  </si>
  <si>
    <t xml:space="preserve"> PAEX038 8IN X 10IN           </t>
  </si>
  <si>
    <t xml:space="preserve">PAEX8000039       </t>
  </si>
  <si>
    <t xml:space="preserve"> PAEX039 8IN X 10IN           </t>
  </si>
  <si>
    <t xml:space="preserve">PAEX8000181       </t>
  </si>
  <si>
    <t xml:space="preserve"> PAEX181 8IN X 10IN           </t>
  </si>
  <si>
    <t xml:space="preserve">PAEX80001854      </t>
  </si>
  <si>
    <t xml:space="preserve"> PAEX1854 8IN X 10IN          </t>
  </si>
  <si>
    <t xml:space="preserve">PAEX8000187       </t>
  </si>
  <si>
    <t xml:space="preserve"> PAEX187 8IN X 10IN           </t>
  </si>
  <si>
    <t xml:space="preserve">PAEX8000389       </t>
  </si>
  <si>
    <t xml:space="preserve"> PAEX389 8IN X 10IN           </t>
  </si>
  <si>
    <t xml:space="preserve">PAEX8000390       </t>
  </si>
  <si>
    <t xml:space="preserve"> PAEX390 8IN X 10IN           </t>
  </si>
  <si>
    <t xml:space="preserve">PC80001179        </t>
  </si>
  <si>
    <t xml:space="preserve"> PC1179 8IN X 10IN            </t>
  </si>
  <si>
    <t xml:space="preserve"> DI-NOC Sand SAMPLE           </t>
  </si>
  <si>
    <t xml:space="preserve">PG8000189         </t>
  </si>
  <si>
    <t xml:space="preserve"> PG189 8IN X 10IN             </t>
  </si>
  <si>
    <t xml:space="preserve">PG8000190         </t>
  </si>
  <si>
    <t xml:space="preserve"> PG190 8IN X 10IN             </t>
  </si>
  <si>
    <t xml:space="preserve">PS8000091         </t>
  </si>
  <si>
    <t xml:space="preserve"> PS091 8IN X 10IN             </t>
  </si>
  <si>
    <t xml:space="preserve"> DI-NOC Single Color SAMPLE   </t>
  </si>
  <si>
    <t xml:space="preserve">PS8000093         </t>
  </si>
  <si>
    <t xml:space="preserve"> PS093 8IN X 10IN             </t>
  </si>
  <si>
    <t xml:space="preserve">PS80001009        </t>
  </si>
  <si>
    <t xml:space="preserve"> PS1009 8IN X 10IN            </t>
  </si>
  <si>
    <t xml:space="preserve">PS80001010        </t>
  </si>
  <si>
    <t xml:space="preserve"> PS1010 8IN X 10IN            </t>
  </si>
  <si>
    <t xml:space="preserve">PS8000110         </t>
  </si>
  <si>
    <t xml:space="preserve"> PS110 8IN X 10IN             </t>
  </si>
  <si>
    <t xml:space="preserve">PS80001183        </t>
  </si>
  <si>
    <t xml:space="preserve"> PS1183 8IN X 10IN            </t>
  </si>
  <si>
    <t xml:space="preserve">PS80001185        </t>
  </si>
  <si>
    <t xml:space="preserve"> PS1185 8IN X 10IN            </t>
  </si>
  <si>
    <t xml:space="preserve">PS80001186        </t>
  </si>
  <si>
    <t xml:space="preserve"> PS1186 8IN X 10IN            </t>
  </si>
  <si>
    <t xml:space="preserve">PS80001187        </t>
  </si>
  <si>
    <t xml:space="preserve"> PS1187 8IN X 10IN            </t>
  </si>
  <si>
    <t xml:space="preserve">PS8000121         </t>
  </si>
  <si>
    <t xml:space="preserve"> PS121 8IN X 10IN             </t>
  </si>
  <si>
    <t xml:space="preserve">PS80001444        </t>
  </si>
  <si>
    <t xml:space="preserve"> PS1444 8IN X 10IN            </t>
  </si>
  <si>
    <t xml:space="preserve">PS80001446        </t>
  </si>
  <si>
    <t xml:space="preserve"> PS1446 8IN X 10IN            </t>
  </si>
  <si>
    <t xml:space="preserve">PS80001452        </t>
  </si>
  <si>
    <t xml:space="preserve"> PS1452 8IN X 10IN            </t>
  </si>
  <si>
    <t xml:space="preserve">PS80001454        </t>
  </si>
  <si>
    <t xml:space="preserve"> PS1454 8IN X 10IN            </t>
  </si>
  <si>
    <t xml:space="preserve">PS80001826        </t>
  </si>
  <si>
    <t xml:space="preserve"> PS1826 8IN X 10IN            </t>
  </si>
  <si>
    <t xml:space="preserve">PS8000293         </t>
  </si>
  <si>
    <t xml:space="preserve"> PS293 8IN X 10IN             </t>
  </si>
  <si>
    <t xml:space="preserve">PS8000294         </t>
  </si>
  <si>
    <t xml:space="preserve"> PS294 8IN X 10IN             </t>
  </si>
  <si>
    <t xml:space="preserve">PS8000506         </t>
  </si>
  <si>
    <t xml:space="preserve"> PS506 8IN X 10IN             </t>
  </si>
  <si>
    <t xml:space="preserve">PS8000900         </t>
  </si>
  <si>
    <t xml:space="preserve"> PS900 8IN X 10IN             </t>
  </si>
  <si>
    <t xml:space="preserve">PS8000920         </t>
  </si>
  <si>
    <t xml:space="preserve"> PS920 8IN X 10IN             </t>
  </si>
  <si>
    <t xml:space="preserve">PS8000955         </t>
  </si>
  <si>
    <t xml:space="preserve"> PS955 8IN X 10IN             </t>
  </si>
  <si>
    <t xml:space="preserve">PS8000975         </t>
  </si>
  <si>
    <t xml:space="preserve"> PS975 8IN X 10IN             </t>
  </si>
  <si>
    <t xml:space="preserve">PS8000998         </t>
  </si>
  <si>
    <t xml:space="preserve"> PS998 8IN X 10IN             </t>
  </si>
  <si>
    <t xml:space="preserve">PSEX8000090       </t>
  </si>
  <si>
    <t xml:space="preserve"> PSEX090 8IN X 10IN           </t>
  </si>
  <si>
    <t xml:space="preserve"> DI-NOC Single Color Exterior </t>
  </si>
  <si>
    <t xml:space="preserve">PSEX8000957       </t>
  </si>
  <si>
    <t xml:space="preserve"> PSEX957 8IN X 10IN           </t>
  </si>
  <si>
    <t xml:space="preserve">PSEX8000959       </t>
  </si>
  <si>
    <t xml:space="preserve"> PSEX959 8IN X 10IN           </t>
  </si>
  <si>
    <t xml:space="preserve">PSEX8000976       </t>
  </si>
  <si>
    <t xml:space="preserve"> PSEX976 8IN X 10IN           </t>
  </si>
  <si>
    <t xml:space="preserve">PSMT80001870      </t>
  </si>
  <si>
    <t xml:space="preserve"> PSMT1870 8IN X 10IN          </t>
  </si>
  <si>
    <t xml:space="preserve">PSMT80001904      </t>
  </si>
  <si>
    <t xml:space="preserve"> PSMT1904 8IN X 10IN          </t>
  </si>
  <si>
    <t xml:space="preserve">PSMT80001989      </t>
  </si>
  <si>
    <t xml:space="preserve"> PSMT1989 8IN X 10IN          </t>
  </si>
  <si>
    <t xml:space="preserve">PSMT80002093      </t>
  </si>
  <si>
    <t xml:space="preserve"> PSMT2093 8IN X 10IN          </t>
  </si>
  <si>
    <t xml:space="preserve">PSMT80002095      </t>
  </si>
  <si>
    <t xml:space="preserve"> PSMT2095 8IN X 10IN          </t>
  </si>
  <si>
    <t xml:space="preserve">PSMT80002096      </t>
  </si>
  <si>
    <t xml:space="preserve"> PSMT2096 8IN X 10IN          </t>
  </si>
  <si>
    <t xml:space="preserve">PSMT80002097      </t>
  </si>
  <si>
    <t xml:space="preserve"> PSMT2097 8IN X 10IN          </t>
  </si>
  <si>
    <t xml:space="preserve">PSMT80002098      </t>
  </si>
  <si>
    <t xml:space="preserve"> PSMT2098 8IN X 10IN          </t>
  </si>
  <si>
    <t xml:space="preserve">PSMT80002099      </t>
  </si>
  <si>
    <t xml:space="preserve"> PSMT2099 8IN X 10IN          </t>
  </si>
  <si>
    <t xml:space="preserve">PSMT80002100      </t>
  </si>
  <si>
    <t xml:space="preserve"> PSMT2100 8IN X 10IN          </t>
  </si>
  <si>
    <t xml:space="preserve">PSMT80002101      </t>
  </si>
  <si>
    <t xml:space="preserve"> PSMT2101 8IN X 10IN          </t>
  </si>
  <si>
    <t xml:space="preserve">PSMT80003091      </t>
  </si>
  <si>
    <t xml:space="preserve"> PSMT3091 8IN X 10IN          </t>
  </si>
  <si>
    <t xml:space="preserve">PSMT80003092      </t>
  </si>
  <si>
    <t xml:space="preserve"> PSMT3092 8IN X 10IN          </t>
  </si>
  <si>
    <t xml:space="preserve">PSMT80003093      </t>
  </si>
  <si>
    <t xml:space="preserve"> PSMT3093 8IN X 10IN          </t>
  </si>
  <si>
    <t xml:space="preserve">PSMT80003094      </t>
  </si>
  <si>
    <t xml:space="preserve"> PSMT3094 8IN X 10IN          </t>
  </si>
  <si>
    <t xml:space="preserve">PSMT80003095      </t>
  </si>
  <si>
    <t xml:space="preserve"> PSMT3095 8IN X 10IN          </t>
  </si>
  <si>
    <t xml:space="preserve">PSMT80003096      </t>
  </si>
  <si>
    <t xml:space="preserve"> PSMT3096 8IN X 10IN          </t>
  </si>
  <si>
    <t xml:space="preserve">PSMT80003097      </t>
  </si>
  <si>
    <t xml:space="preserve"> PSMT3097 8IN X 10IN          </t>
  </si>
  <si>
    <t xml:space="preserve">PSMT80003098      </t>
  </si>
  <si>
    <t xml:space="preserve"> PSMT3098 8IN X 10IN          </t>
  </si>
  <si>
    <t xml:space="preserve">LIFE TIME                     </t>
  </si>
  <si>
    <t xml:space="preserve">2900 CORPORATE PLACE          </t>
  </si>
  <si>
    <t xml:space="preserve">CHANHASSEN     </t>
  </si>
  <si>
    <t xml:space="preserve">ZD-340436 </t>
  </si>
  <si>
    <t xml:space="preserve">WG8000695         </t>
  </si>
  <si>
    <t xml:space="preserve"> WG695 8IN X 10IN             </t>
  </si>
  <si>
    <t xml:space="preserve">WG80001708        </t>
  </si>
  <si>
    <t xml:space="preserve"> WG1708 8IN X 10IN            </t>
  </si>
  <si>
    <t xml:space="preserve">DWMT80001881      </t>
  </si>
  <si>
    <t xml:space="preserve"> DWMT1881 8IN X 10IN          </t>
  </si>
  <si>
    <t xml:space="preserve">DWMT80001890      </t>
  </si>
  <si>
    <t xml:space="preserve"> DWMT1890 8IN X 10IN          </t>
  </si>
  <si>
    <t xml:space="preserve">ATTN: AMI ANDERSON            </t>
  </si>
  <si>
    <t xml:space="preserve">ZOOX                          </t>
  </si>
  <si>
    <t xml:space="preserve">1149 CHESS DR                 </t>
  </si>
  <si>
    <t xml:space="preserve">ATTN: KAROLINE HUBER          </t>
  </si>
  <si>
    <t xml:space="preserve">FOSTER CITY    </t>
  </si>
  <si>
    <t xml:space="preserve">GABLES RESIDENTIAL            </t>
  </si>
  <si>
    <t xml:space="preserve">8300 GREENSBORO DR            </t>
  </si>
  <si>
    <t xml:space="preserve">MCLEAN         </t>
  </si>
  <si>
    <t xml:space="preserve">ZD-340651 </t>
  </si>
  <si>
    <t xml:space="preserve">ATTN: LYNN STROKES            </t>
  </si>
  <si>
    <t xml:space="preserve">FORGE ARCHITECTURE            </t>
  </si>
  <si>
    <t xml:space="preserve">500 MONTGOMERY STREET         </t>
  </si>
  <si>
    <t xml:space="preserve">SF             </t>
  </si>
  <si>
    <t xml:space="preserve">ZD-340465 </t>
  </si>
  <si>
    <t xml:space="preserve">WG80007022        </t>
  </si>
  <si>
    <t xml:space="preserve"> WG7022 8IN X 10IN            </t>
  </si>
  <si>
    <t xml:space="preserve">WG8000940         </t>
  </si>
  <si>
    <t xml:space="preserve"> WG940 8IN X 10IN             </t>
  </si>
  <si>
    <t xml:space="preserve">WG8000943         </t>
  </si>
  <si>
    <t xml:space="preserve"> WG943 8IN X 10IN             </t>
  </si>
  <si>
    <t xml:space="preserve">WG80002862        </t>
  </si>
  <si>
    <t xml:space="preserve"> WG2862 8IN X 10IN            </t>
  </si>
  <si>
    <t xml:space="preserve">WG80007024        </t>
  </si>
  <si>
    <t xml:space="preserve"> WG7024 8IN X 10IN            </t>
  </si>
  <si>
    <t xml:space="preserve">ATTN: GWEN LU                 </t>
  </si>
  <si>
    <t xml:space="preserve">PIEDMONT PLST-CHICAGO         </t>
  </si>
  <si>
    <t xml:space="preserve">180 MESSNER DRIVE             </t>
  </si>
  <si>
    <t xml:space="preserve">REBECCA VELASCO               </t>
  </si>
  <si>
    <t xml:space="preserve">598 FOUR SEASONS BLVD         </t>
  </si>
  <si>
    <t xml:space="preserve">AURORA         </t>
  </si>
  <si>
    <t>FPI1024000</t>
  </si>
  <si>
    <t xml:space="preserve">ZD340642  </t>
  </si>
  <si>
    <t xml:space="preserve">LT23-HTV0-D01     </t>
  </si>
  <si>
    <t xml:space="preserve"> FDC HTV PROD CAT 2023        </t>
  </si>
  <si>
    <t xml:space="preserve">LDIG19000-0V1     </t>
  </si>
  <si>
    <t xml:space="preserve"> LUMINA DIGITAL PROD CAT 2019 </t>
  </si>
  <si>
    <t xml:space="preserve">LSIGN1900-0V1     </t>
  </si>
  <si>
    <t xml:space="preserve"> LUMINA SIGN PROD CAT 2019    </t>
  </si>
  <si>
    <t xml:space="preserve">LT22-LSGN-D01     </t>
  </si>
  <si>
    <t xml:space="preserve"> LUMINA SIGN PROD CAT 2022    </t>
  </si>
  <si>
    <t xml:space="preserve">LT23-2100-S01     </t>
  </si>
  <si>
    <t xml:space="preserve"> LUMINA 2100 COLOR UPDT BRO 23</t>
  </si>
  <si>
    <t xml:space="preserve">LT23-3521-S01     </t>
  </si>
  <si>
    <t xml:space="preserve"> LUMINA 3521 FACT SHEET SWATCH</t>
  </si>
  <si>
    <t xml:space="preserve">LIT20-3710-S03    </t>
  </si>
  <si>
    <t xml:space="preserve"> LUMINA 3710 ULTRA-METALLIC FS</t>
  </si>
  <si>
    <t xml:space="preserve">LIT20-3522-S01    </t>
  </si>
  <si>
    <t xml:space="preserve"> LUMINA 3522 ETCHED GLASS FS  </t>
  </si>
  <si>
    <t xml:space="preserve">LIT20-7251-S01    </t>
  </si>
  <si>
    <t xml:space="preserve"> LUMINA 7251 &amp; 7279 FLOOR FS  </t>
  </si>
  <si>
    <t xml:space="preserve">LT21-3M00-S01     </t>
  </si>
  <si>
    <t xml:space="preserve"> FDC &amp; 3M PROD CAT 2021       </t>
  </si>
  <si>
    <t xml:space="preserve">JAXSON BAXTER                 </t>
  </si>
  <si>
    <t>15855 N GREENWAY HAYDEN LOOP 1</t>
  </si>
  <si>
    <t xml:space="preserve">#180                          </t>
  </si>
  <si>
    <t xml:space="preserve">SCOTTSDALE     </t>
  </si>
  <si>
    <t xml:space="preserve">ZD340097  </t>
  </si>
  <si>
    <t xml:space="preserve">7292-0000-300     </t>
  </si>
  <si>
    <t xml:space="preserve"> 3.2ML 12"X12" ETCH GLASS     </t>
  </si>
  <si>
    <t xml:space="preserve"> PRINTABLE ETCH GLAS DRY APPLY</t>
  </si>
  <si>
    <t xml:space="preserve">7292-0000-301     </t>
  </si>
  <si>
    <t xml:space="preserve"> 3ML 12"X12" WHITE            </t>
  </si>
  <si>
    <t xml:space="preserve"> DFL 210 PRINT MILKY DRY APPLY</t>
  </si>
  <si>
    <t xml:space="preserve">7292-0000-302     </t>
  </si>
  <si>
    <t xml:space="preserve"> 3.2ML 12"X12" MAT SILVR      </t>
  </si>
  <si>
    <t xml:space="preserve">WENSCO-BELMONT                </t>
  </si>
  <si>
    <t xml:space="preserve">5760 SAFETY DRIVE             </t>
  </si>
  <si>
    <t xml:space="preserve">BELMONT        </t>
  </si>
  <si>
    <t xml:space="preserve">GRAND RAPIDS BRANCH           </t>
  </si>
  <si>
    <t xml:space="preserve">5760 SAFETY DR                </t>
  </si>
  <si>
    <t xml:space="preserve">ATTN: DENISE                  </t>
  </si>
  <si>
    <t>FWE1100000</t>
  </si>
  <si>
    <t xml:space="preserve">FEDEX FRT </t>
  </si>
  <si>
    <t xml:space="preserve">W71008            </t>
  </si>
  <si>
    <t xml:space="preserve"> 2.8ML 24"X10YD NONPERF BROWN </t>
  </si>
  <si>
    <t xml:space="preserve">W72164            </t>
  </si>
  <si>
    <t xml:space="preserve"> 2ML 24"X10YD NP GOLD MET     </t>
  </si>
  <si>
    <t xml:space="preserve">W72170            </t>
  </si>
  <si>
    <t xml:space="preserve"> 2ML 24"X10YD NP YELLOW       </t>
  </si>
  <si>
    <t xml:space="preserve">WDMBANNER3815     </t>
  </si>
  <si>
    <t xml:space="preserve"> ALPHA 38"X150FT MATTE BANNER </t>
  </si>
  <si>
    <t xml:space="preserve">WDMBANNER5415     </t>
  </si>
  <si>
    <t xml:space="preserve"> ALPHA 54"X150FT MATTE BANNER </t>
  </si>
  <si>
    <t xml:space="preserve">REECE SUPPLY-HOUSTON          </t>
  </si>
  <si>
    <t xml:space="preserve">P.O. BOX 1753                 </t>
  </si>
  <si>
    <t xml:space="preserve">REECE SUPPLY CO OF HOUSTON    </t>
  </si>
  <si>
    <t xml:space="preserve">2606 BELL STREET              </t>
  </si>
  <si>
    <t>FRE1014000</t>
  </si>
  <si>
    <t xml:space="preserve">P1329927  </t>
  </si>
  <si>
    <t xml:space="preserve">0055-1515-010     </t>
  </si>
  <si>
    <t xml:space="preserve"> 3ML 15"X50YD PERF WHITE      </t>
  </si>
  <si>
    <t xml:space="preserve">0055-1515-088     </t>
  </si>
  <si>
    <t xml:space="preserve"> 3ML 15"X50YD PF SAPPHIRE BLUE</t>
  </si>
  <si>
    <t xml:space="preserve">0055-3015-088     </t>
  </si>
  <si>
    <t xml:space="preserve"> 3ML 30"X50YD PF SAPPHIRE BLUE</t>
  </si>
  <si>
    <t xml:space="preserve">0050-2415-010     </t>
  </si>
  <si>
    <t xml:space="preserve"> 3ML 24"X50YD NONPERF WHITE   </t>
  </si>
  <si>
    <t xml:space="preserve">0050-2415-120     </t>
  </si>
  <si>
    <t xml:space="preserve"> 3ML 24"X50YD NPRF MATTE BLACK</t>
  </si>
  <si>
    <t xml:space="preserve">0050-2415-027     </t>
  </si>
  <si>
    <t xml:space="preserve"> 3ML 24"X50YD NPRF SUNFLOWER  </t>
  </si>
  <si>
    <t xml:space="preserve">0050-2415-058     </t>
  </si>
  <si>
    <t xml:space="preserve">0050-2415-064     </t>
  </si>
  <si>
    <t xml:space="preserve"> 3ML 24"X50YD NONPERF PINK    </t>
  </si>
  <si>
    <t xml:space="preserve">7725-4815-314     </t>
  </si>
  <si>
    <t xml:space="preserve"> 2ML 48"X50YD NP DUSTED CRYSTL</t>
  </si>
  <si>
    <t xml:space="preserve">0055-1515-084     </t>
  </si>
  <si>
    <t xml:space="preserve"> 3ML 15"X50YD PERF AZURE BLUE </t>
  </si>
  <si>
    <t xml:space="preserve">ADVANCED PLST-NASHVILLE       </t>
  </si>
  <si>
    <t xml:space="preserve">7360 COCKRILL BEND BOULEVARD  </t>
  </si>
  <si>
    <t xml:space="preserve">37209-1058 </t>
  </si>
  <si>
    <t>FAD1100000</t>
  </si>
  <si>
    <t xml:space="preserve">P917      </t>
  </si>
  <si>
    <t xml:space="preserve"> SFE-13HL MATTE               </t>
  </si>
  <si>
    <t xml:space="preserve">7504-6315-049     </t>
  </si>
  <si>
    <t xml:space="preserve"> 13Oz 63"X50Yd Matte White    </t>
  </si>
  <si>
    <t xml:space="preserve">9304-3008-049     </t>
  </si>
  <si>
    <t xml:space="preserve"> 3.1ML 29.5"X25YDS NP M WHITE </t>
  </si>
  <si>
    <t xml:space="preserve"> PRINT HEAT TRANSFER FILM     </t>
  </si>
  <si>
    <t xml:space="preserve">3635-4815-020     </t>
  </si>
  <si>
    <t xml:space="preserve"> 5.5ML 48"X50YD NP WHITE/BLACK</t>
  </si>
  <si>
    <t xml:space="preserve">9000-1508-003     </t>
  </si>
  <si>
    <t xml:space="preserve"> 3.5ML 15"X25YD NONPERF BLACK </t>
  </si>
  <si>
    <t xml:space="preserve"> T ADVANTAGE HEAT TRANSFER FLM</t>
  </si>
  <si>
    <t xml:space="preserve">VAP-2403-007      </t>
  </si>
  <si>
    <t xml:space="preserve"> 2.8ML 24"X10YD NP SILVER     </t>
  </si>
  <si>
    <t xml:space="preserve">  CALENDERED VINYL FILM__     </t>
  </si>
  <si>
    <t xml:space="preserve">VAP-2403-125      </t>
  </si>
  <si>
    <t xml:space="preserve"> 2.8ML 24"X10YD NP CARDINAL RD</t>
  </si>
  <si>
    <t xml:space="preserve"> CALENDERED VINYL FILM__      </t>
  </si>
  <si>
    <t xml:space="preserve">VAP-2403-126      </t>
  </si>
  <si>
    <t xml:space="preserve"> 2.8ML 24"X10YD NP EMERALD GRE</t>
  </si>
  <si>
    <t xml:space="preserve">VAP-2415-017      </t>
  </si>
  <si>
    <t xml:space="preserve"> 2.8ML 24"X50YD NP SAPHIRE BLU</t>
  </si>
  <si>
    <t xml:space="preserve">4725-1515-012     </t>
  </si>
  <si>
    <t xml:space="preserve"> 3.2ML 15"X50YD NP GLOSS BLACK</t>
  </si>
  <si>
    <t xml:space="preserve">REECE SUPPLY-GEORGIA          </t>
  </si>
  <si>
    <t xml:space="preserve">5755 OAK BROOK PARKWAY        </t>
  </si>
  <si>
    <t xml:space="preserve">NORCROSS       </t>
  </si>
  <si>
    <t xml:space="preserve">REECE SUPPLY  ATLANTA         </t>
  </si>
  <si>
    <t xml:space="preserve">5755 OAKBROOK PARKWAY         </t>
  </si>
  <si>
    <t>FRE1011000</t>
  </si>
  <si>
    <t xml:space="preserve">P1329929  </t>
  </si>
  <si>
    <t xml:space="preserve">0050-2415-084     </t>
  </si>
  <si>
    <t xml:space="preserve"> 3ML 24"X50YD NPERF AZURE BLUE</t>
  </si>
  <si>
    <t xml:space="preserve">3630-4815-044     </t>
  </si>
  <si>
    <t xml:space="preserve"> 2ML 48"X50YD NONPERF ORANGE  </t>
  </si>
  <si>
    <t xml:space="preserve">3630-4815-033     </t>
  </si>
  <si>
    <t xml:space="preserve"> 2ML 48"X50YD NONERF RED      </t>
  </si>
  <si>
    <t xml:space="preserve">Grimco Atlanta Warehouse      </t>
  </si>
  <si>
    <t xml:space="preserve">3850 KENNESAW 75- STE 200     </t>
  </si>
  <si>
    <t xml:space="preserve">Kennesaw       </t>
  </si>
  <si>
    <t xml:space="preserve">3630-4815-025     </t>
  </si>
  <si>
    <t xml:space="preserve"> 2ML 48"X50YD NOPERF SUNFLOWER</t>
  </si>
  <si>
    <t xml:space="preserve">3630-4815-069     </t>
  </si>
  <si>
    <t xml:space="preserve"> 2ML 48"X50YD NOPERF DURANODIC</t>
  </si>
  <si>
    <t xml:space="preserve">6801-3015-010     </t>
  </si>
  <si>
    <t xml:space="preserve"> 7ML 30"X50YD NONPERF WHITE   </t>
  </si>
  <si>
    <t xml:space="preserve">7125-3015-010     </t>
  </si>
  <si>
    <t xml:space="preserve">Grimco Dallas Warehouse       </t>
  </si>
  <si>
    <t xml:space="preserve">200 NORTHPOINT DRIVE          </t>
  </si>
  <si>
    <t xml:space="preserve">3630-4815-043     </t>
  </si>
  <si>
    <t xml:space="preserve"> 2ML 48"X50YD NP LT TOMATO RED</t>
  </si>
  <si>
    <t xml:space="preserve">6801-4803-071     </t>
  </si>
  <si>
    <t xml:space="preserve"> 7ML 48"X10YD NONPERF YELLOW  </t>
  </si>
  <si>
    <t xml:space="preserve">7292-5404-300     </t>
  </si>
  <si>
    <t xml:space="preserve"> 3.2ML 54"X32.8FT ETCH GLASS  </t>
  </si>
  <si>
    <t xml:space="preserve">7125-2415-012     </t>
  </si>
  <si>
    <t xml:space="preserve"> 2ML 24"X50YD NONPERF BLACK   </t>
  </si>
  <si>
    <t xml:space="preserve">6800-4815-071     </t>
  </si>
  <si>
    <t xml:space="preserve"> 7ML 48"X50YD NONPERF YELLOW  </t>
  </si>
  <si>
    <t xml:space="preserve">6800-4815-085     </t>
  </si>
  <si>
    <t xml:space="preserve"> 7ML 48"X50YD NONPERF BLACK   </t>
  </si>
  <si>
    <t xml:space="preserve">3640-4815-010     </t>
  </si>
  <si>
    <t xml:space="preserve"> DISCONTINUED                 </t>
  </si>
  <si>
    <t xml:space="preserve"> 3690 SERIES                  </t>
  </si>
  <si>
    <t xml:space="preserve">2100-2403-423     </t>
  </si>
  <si>
    <t xml:space="preserve"> 2ML 24"X10YD NP LIGHT GRAY   </t>
  </si>
  <si>
    <t xml:space="preserve">2100-2415-002     </t>
  </si>
  <si>
    <t xml:space="preserve"> 2ML 24"X50YD NPRF GLOSS WHITE</t>
  </si>
  <si>
    <t xml:space="preserve">2100-2415-003     </t>
  </si>
  <si>
    <t xml:space="preserve"> 2ML 24"X50YD NPRF GLOSS BLACK</t>
  </si>
  <si>
    <t xml:space="preserve">2407-2403-005     </t>
  </si>
  <si>
    <t xml:space="preserve"> 5.9ML 24"X10YD NONPERF BLUE  </t>
  </si>
  <si>
    <t xml:space="preserve">4725-2415-037     </t>
  </si>
  <si>
    <t xml:space="preserve"> 3.2ML 24"X50YD NPF SAPPH BLUE</t>
  </si>
  <si>
    <t xml:space="preserve">4775-1515-010     </t>
  </si>
  <si>
    <t xml:space="preserve"> 3.2ML 15"X50YD P GLOSS WHITE </t>
  </si>
  <si>
    <t xml:space="preserve">4775-3003-012     </t>
  </si>
  <si>
    <t xml:space="preserve"> 3.2ML 30"X10YD P GLOSS BLACK </t>
  </si>
  <si>
    <t xml:space="preserve">5101-2403-072     </t>
  </si>
  <si>
    <t xml:space="preserve"> 6ML 24"X10YD NP RED          </t>
  </si>
  <si>
    <t xml:space="preserve">7125-4803-022     </t>
  </si>
  <si>
    <t xml:space="preserve"> 2ML 48"X10YD NPRF MATTE BLACK</t>
  </si>
  <si>
    <t xml:space="preserve">7504-5415-002     </t>
  </si>
  <si>
    <t xml:space="preserve"> 13Oz 54"X50Yd Gloss White    </t>
  </si>
  <si>
    <t xml:space="preserve"> SFE-13HL GLOSS               </t>
  </si>
  <si>
    <t xml:space="preserve">ROLL MUST BE REWOUND          </t>
  </si>
  <si>
    <t xml:space="preserve">7506-5415-049     </t>
  </si>
  <si>
    <t xml:space="preserve"> 15Oz 54"X50Yd Matte White    </t>
  </si>
  <si>
    <t xml:space="preserve"> SOB-15                       </t>
  </si>
  <si>
    <t xml:space="preserve">REECE SUPPLY CO. OF DALLAS    </t>
  </si>
  <si>
    <t xml:space="preserve">3820 VALLEY VIEW LN           </t>
  </si>
  <si>
    <t xml:space="preserve">IRVING         </t>
  </si>
  <si>
    <t xml:space="preserve">P1329924  </t>
  </si>
  <si>
    <t xml:space="preserve">0055-3015-010     </t>
  </si>
  <si>
    <t xml:space="preserve"> 3ML 30"X50YD PERF WHITE      </t>
  </si>
  <si>
    <t xml:space="preserve">0050-2415-088     </t>
  </si>
  <si>
    <t xml:space="preserve"> 3ML 24"X50YD NP SAPPHIRE BLUE</t>
  </si>
  <si>
    <t xml:space="preserve">0050-2415-049     </t>
  </si>
  <si>
    <t xml:space="preserve"> 3ML 24"X50YD NONPERF BURGUNDY</t>
  </si>
  <si>
    <t xml:space="preserve">7725-4815-013     </t>
  </si>
  <si>
    <t xml:space="preserve"> 2ML 48"X50YD NOPRF TOMATO RED</t>
  </si>
  <si>
    <t xml:space="preserve">7725-4815-046     </t>
  </si>
  <si>
    <t xml:space="preserve"> 2ML 48"X50YD NPF KELLY GREEN </t>
  </si>
  <si>
    <t xml:space="preserve">7725-4815-022     </t>
  </si>
  <si>
    <t xml:space="preserve"> 2ML 48"X50YD NPRF MATTE BLACK</t>
  </si>
  <si>
    <t xml:space="preserve">3630-4815-020     </t>
  </si>
  <si>
    <t xml:space="preserve"> 2ML 48"X50YD NONPERF WHITE   </t>
  </si>
  <si>
    <t xml:space="preserve">ARTISTIC DESIGN SYSTEM        </t>
  </si>
  <si>
    <t xml:space="preserve">18 BEAUMONT STREET            </t>
  </si>
  <si>
    <t xml:space="preserve">ZANESVILLE     </t>
  </si>
  <si>
    <t>FAR1070000</t>
  </si>
  <si>
    <t xml:space="preserve">ESTES     </t>
  </si>
  <si>
    <t xml:space="preserve">7262-6015-002     </t>
  </si>
  <si>
    <t xml:space="preserve"> 7.5ML 60"X50YD NONPERF WHITE </t>
  </si>
  <si>
    <t xml:space="preserve"> STATIC CLING DIGITAL MEDIA   </t>
  </si>
  <si>
    <t xml:space="preserve">7238-5415-002     </t>
  </si>
  <si>
    <t xml:space="preserve"> 54"X50YD GLOSS WHITE         </t>
  </si>
  <si>
    <t xml:space="preserve"> CALENDERED BLEND             </t>
  </si>
  <si>
    <t xml:space="preserve">7038-5415-000     </t>
  </si>
  <si>
    <t xml:space="preserve"> 54"X50YDS GLOSS CLEAR        </t>
  </si>
  <si>
    <t xml:space="preserve"> CALENDERED                   </t>
  </si>
  <si>
    <t xml:space="preserve">7238-3015-002     </t>
  </si>
  <si>
    <t xml:space="preserve"> 30"X50YD GLOSS WHITE         </t>
  </si>
  <si>
    <t xml:space="preserve">7038-3015-000     </t>
  </si>
  <si>
    <t xml:space="preserve"> 30"X50YDS GLOSS CLEAR        </t>
  </si>
  <si>
    <t xml:space="preserve">4200-2415-003     </t>
  </si>
  <si>
    <t xml:space="preserve"> 2.8ML 24"X50YD NP GLOSS BLACK</t>
  </si>
  <si>
    <t xml:space="preserve">4200-3015-102     </t>
  </si>
  <si>
    <t xml:space="preserve"> 2.8ML 30"X50YD NP CRYSTAL WHT</t>
  </si>
  <si>
    <t xml:space="preserve">4200-2415-006     </t>
  </si>
  <si>
    <t xml:space="preserve"> 2.8ML 24"X50YD NONPERF YELLOW</t>
  </si>
  <si>
    <t xml:space="preserve">4200-2415-102     </t>
  </si>
  <si>
    <t xml:space="preserve"> 2.8ML 24"X50YD NP CRYSTAL WHT</t>
  </si>
  <si>
    <t xml:space="preserve">4725-2415-014     </t>
  </si>
  <si>
    <t xml:space="preserve"> 3.2ML 24"X50YD NPF BRT ORANGE</t>
  </si>
  <si>
    <t xml:space="preserve">2407-2415-002     </t>
  </si>
  <si>
    <t xml:space="preserve"> 5.9ML 24"X50YD NONPERF WHITE </t>
  </si>
  <si>
    <t xml:space="preserve">2407-2415-003     </t>
  </si>
  <si>
    <t xml:space="preserve"> 5.9ML 24"X50YD NONPERF BLACK </t>
  </si>
  <si>
    <t xml:space="preserve">7504-3015-002     </t>
  </si>
  <si>
    <t xml:space="preserve"> 13Oz 30"X50Yd Gloss White    </t>
  </si>
  <si>
    <t xml:space="preserve">ROBBINS SIGN SUPPLY INC.      </t>
  </si>
  <si>
    <t xml:space="preserve">2435 HUNT LANE                </t>
  </si>
  <si>
    <t xml:space="preserve">LENOIR         </t>
  </si>
  <si>
    <t xml:space="preserve">ROBBINS SIGN SUPPLY INC       </t>
  </si>
  <si>
    <t xml:space="preserve">2685 WILKESBORO BLVD          </t>
  </si>
  <si>
    <t>FRO1120000</t>
  </si>
  <si>
    <t xml:space="preserve">2614-6030-002     </t>
  </si>
  <si>
    <t xml:space="preserve"> 60"X100YD WHITE              </t>
  </si>
  <si>
    <t xml:space="preserve"> 4075 RLA SERIES              </t>
  </si>
  <si>
    <t xml:space="preserve">2614-2030-002     </t>
  </si>
  <si>
    <t xml:space="preserve"> 20"X100YD WHITE              </t>
  </si>
  <si>
    <t xml:space="preserve">2614-1830-002     </t>
  </si>
  <si>
    <t xml:space="preserve"> 18"X100YD WHITE              </t>
  </si>
  <si>
    <t xml:space="preserve">2614-3030-002     </t>
  </si>
  <si>
    <t xml:space="preserve"> 30"X100YD WHITE              </t>
  </si>
  <si>
    <t xml:space="preserve">2614-1630-002     </t>
  </si>
  <si>
    <t xml:space="preserve"> 16"X100YD WHITE              </t>
  </si>
  <si>
    <t xml:space="preserve">9015-1515-001     </t>
  </si>
  <si>
    <t xml:space="preserve"> 3.5MIL 15"X50YDS NPF WHITE   </t>
  </si>
  <si>
    <t xml:space="preserve">9015-1503-028     </t>
  </si>
  <si>
    <t xml:space="preserve"> 3.5MIL 15"X10YDS NONPERF SUN </t>
  </si>
  <si>
    <t xml:space="preserve">9015-1503-061     </t>
  </si>
  <si>
    <t xml:space="preserve"> 3.5MIL 15"X10YDS NP PALE BLUE</t>
  </si>
  <si>
    <t xml:space="preserve">2100-2415-336     </t>
  </si>
  <si>
    <t xml:space="preserve"> 2ML 24"X50YD NP LT NAVY BLUE </t>
  </si>
  <si>
    <t xml:space="preserve">2100-2415-017     </t>
  </si>
  <si>
    <t xml:space="preserve"> 2ML 24"X50YD NONPERF SAP BLUE</t>
  </si>
  <si>
    <t xml:space="preserve">2100-2403-029     </t>
  </si>
  <si>
    <t xml:space="preserve"> 2ML 24"X10YD NP DOVE GRAY    </t>
  </si>
  <si>
    <t xml:space="preserve">2614-2430-002     </t>
  </si>
  <si>
    <t xml:space="preserve"> 24"X100YD WHITE              </t>
  </si>
  <si>
    <t xml:space="preserve">9015-1503-008     </t>
  </si>
  <si>
    <t xml:space="preserve"> 3.5MIL 15"X10YDS NPF ORANGE  </t>
  </si>
  <si>
    <t xml:space="preserve">9305-3002-049     </t>
  </si>
  <si>
    <t xml:space="preserve"> 2.0ML 30"X22' NP MAT WHITE   </t>
  </si>
  <si>
    <t xml:space="preserve"> 30 FDC PREMIUM OU PRINT FILM </t>
  </si>
  <si>
    <t xml:space="preserve">3710-2405-074     </t>
  </si>
  <si>
    <t xml:space="preserve"> 4ML 24"X41FT NP ROYAL PURPLE </t>
  </si>
  <si>
    <t xml:space="preserve"> LUMINA ULTRA MET VINYL       </t>
  </si>
  <si>
    <t xml:space="preserve">2616-4830-002     </t>
  </si>
  <si>
    <t xml:space="preserve"> 48"X100YD WHITE              </t>
  </si>
  <si>
    <t xml:space="preserve"> 4775 RLA SERIES              </t>
  </si>
  <si>
    <t xml:space="preserve">2615-0630-002     </t>
  </si>
  <si>
    <t xml:space="preserve"> 6-1/2"X100YD WHITE           </t>
  </si>
  <si>
    <t xml:space="preserve">2614-0430-002     </t>
  </si>
  <si>
    <t xml:space="preserve"> 4-1/4"X100YD WHITE           </t>
  </si>
  <si>
    <t xml:space="preserve">2615-0830-002     </t>
  </si>
  <si>
    <t xml:space="preserve"> 8-1/2"X100YD WHITE           </t>
  </si>
  <si>
    <t xml:space="preserve">4826-2403-104     </t>
  </si>
  <si>
    <t xml:space="preserve"> SMOOTH MIRROR                </t>
  </si>
  <si>
    <t xml:space="preserve">2627-2430-002     </t>
  </si>
  <si>
    <t xml:space="preserve"> 4076 RLA SERIES              </t>
  </si>
  <si>
    <t xml:space="preserve">2100-2415-125     </t>
  </si>
  <si>
    <t xml:space="preserve"> 2ML 24"X50YD NPF WLD CARD RED</t>
  </si>
  <si>
    <t xml:space="preserve">7504-5415-049     </t>
  </si>
  <si>
    <t xml:space="preserve"> 13Oz 54"X50Yd Matte White    </t>
  </si>
  <si>
    <t xml:space="preserve">7175-1515-114     </t>
  </si>
  <si>
    <t xml:space="preserve"> 2ML 15"X50YD PERF TRANSPARENT</t>
  </si>
  <si>
    <t xml:space="preserve">7132-3015-310     </t>
  </si>
  <si>
    <t xml:space="preserve"> 2ML 30"X50YD WHITE           </t>
  </si>
  <si>
    <t xml:space="preserve"> IJ180CV3-10 CONTROLTAC/COMPLY</t>
  </si>
  <si>
    <t xml:space="preserve">6851-1515-085     </t>
  </si>
  <si>
    <t xml:space="preserve"> 7ML 15"X50YD PERF BLACK      </t>
  </si>
  <si>
    <t xml:space="preserve">6851-1515-082     </t>
  </si>
  <si>
    <t xml:space="preserve"> 7ML 15"X50YD PERF RUBY RED   </t>
  </si>
  <si>
    <t xml:space="preserve">6851-1515-064     </t>
  </si>
  <si>
    <t xml:space="preserve"> 7ML 15"X50YD PERF GOLD       </t>
  </si>
  <si>
    <t xml:space="preserve">7175-1515-201     </t>
  </si>
  <si>
    <t xml:space="preserve"> 2ML 15"X50YD PERF SLATE METLC</t>
  </si>
  <si>
    <t xml:space="preserve">2200-1515-322     </t>
  </si>
  <si>
    <t xml:space="preserve"> 2ML 15"X50YD PF CHARCOAL MET </t>
  </si>
  <si>
    <t xml:space="preserve">CAST VINYL FILM               </t>
  </si>
  <si>
    <t xml:space="preserve">2200-1515-431     </t>
  </si>
  <si>
    <t xml:space="preserve"> 2ML 15"X50YD PF DK CHARCOAL M</t>
  </si>
  <si>
    <t xml:space="preserve">INDUSTRIAL SIGN   GRAPHICS    </t>
  </si>
  <si>
    <t xml:space="preserve">4227 N GRAHAM ST              </t>
  </si>
  <si>
    <t xml:space="preserve">28206-1214 </t>
  </si>
  <si>
    <t xml:space="preserve">6801-4815-085     </t>
  </si>
  <si>
    <t xml:space="preserve">Grimco Philadelphia Warehouse </t>
  </si>
  <si>
    <t xml:space="preserve">4 MCFADDEN RD BLDG A          </t>
  </si>
  <si>
    <t xml:space="preserve">7125-2403-053     </t>
  </si>
  <si>
    <t xml:space="preserve"> 2ML 24"X10YD NPF CARDINAL RED</t>
  </si>
  <si>
    <t xml:space="preserve">7725-2415-314     </t>
  </si>
  <si>
    <t xml:space="preserve"> 2ML 24"X50YD NP DUSTED CRYSTL</t>
  </si>
  <si>
    <t xml:space="preserve">SUNBELT SIGN SUPPLY - LONGS   </t>
  </si>
  <si>
    <t xml:space="preserve">2939 HWY 65                   </t>
  </si>
  <si>
    <t xml:space="preserve">UNIT 1                        </t>
  </si>
  <si>
    <t xml:space="preserve">CONWAY         </t>
  </si>
  <si>
    <t xml:space="preserve">SUNBELT SIGN SUPPLY           </t>
  </si>
  <si>
    <t xml:space="preserve">2429 WISE ROAD                </t>
  </si>
  <si>
    <t>FSU1020000</t>
  </si>
  <si>
    <t xml:space="preserve">COR962400-001     </t>
  </si>
  <si>
    <t xml:space="preserve"> 24" CORE PLAIN               </t>
  </si>
  <si>
    <t xml:space="preserve">2614-0830-002     </t>
  </si>
  <si>
    <t xml:space="preserve"> 8 1/2"X 100YDS WHITE         </t>
  </si>
  <si>
    <t xml:space="preserve">2614-1229-002     </t>
  </si>
  <si>
    <t xml:space="preserve"> 12"X100YD WHITE              </t>
  </si>
  <si>
    <t xml:space="preserve">2614-1430-002     </t>
  </si>
  <si>
    <t xml:space="preserve"> 14" X 100 YDS WHITE          </t>
  </si>
  <si>
    <t xml:space="preserve">2614-5430-002     </t>
  </si>
  <si>
    <t xml:space="preserve"> 54"X100YD WHITE              </t>
  </si>
  <si>
    <t xml:space="preserve">GREGORY INC                   </t>
  </si>
  <si>
    <t xml:space="preserve">200 SOUTH REGIER              </t>
  </si>
  <si>
    <t xml:space="preserve">ATTN JAMES EMERY              </t>
  </si>
  <si>
    <t xml:space="preserve">PD42197   </t>
  </si>
  <si>
    <t xml:space="preserve">180MC2403-047     </t>
  </si>
  <si>
    <t xml:space="preserve"> 2ML 24"X10YD NP INTENSE BLUE </t>
  </si>
  <si>
    <t xml:space="preserve">3630-2415-033     </t>
  </si>
  <si>
    <t xml:space="preserve"> 2ML 24"X50YD NONPERF RED     </t>
  </si>
  <si>
    <t xml:space="preserve">3630-2415-073     </t>
  </si>
  <si>
    <t xml:space="preserve"> 2ML 24"X50YD NONPERF DARK RED</t>
  </si>
  <si>
    <t xml:space="preserve">3630-4815-073     </t>
  </si>
  <si>
    <t xml:space="preserve"> 2ML 48"X50YD NONPERF DARK RED</t>
  </si>
  <si>
    <t xml:space="preserve">3630-2415-076     </t>
  </si>
  <si>
    <t xml:space="preserve"> 2ML 24"X50YD NOPERF HOLLY GRN</t>
  </si>
  <si>
    <t xml:space="preserve">3630-4815-076     </t>
  </si>
  <si>
    <t xml:space="preserve"> 2ML 48"X50YD NOPERF HOLLY GRN</t>
  </si>
  <si>
    <t xml:space="preserve">SUITE N ATTN: DENNIS          </t>
  </si>
  <si>
    <t xml:space="preserve">P1329930  </t>
  </si>
  <si>
    <t xml:space="preserve">7725-4815-010     </t>
  </si>
  <si>
    <t xml:space="preserve">7725-4815-020     </t>
  </si>
  <si>
    <t xml:space="preserve">3630-4815-053     </t>
  </si>
  <si>
    <t xml:space="preserve"> 2ML 48"X50YD NPF CARDINAL RED</t>
  </si>
  <si>
    <t xml:space="preserve">REECE SUPPLY - SAN ANTONIO    </t>
  </si>
  <si>
    <t xml:space="preserve">4960 EISENHAUER RD            </t>
  </si>
  <si>
    <t xml:space="preserve">P1329928  </t>
  </si>
  <si>
    <t xml:space="preserve">5101-2415-071     </t>
  </si>
  <si>
    <t xml:space="preserve"> 6ML 24"X50YD NONPERF YELLOW  </t>
  </si>
  <si>
    <t xml:space="preserve">3630-4815-127     </t>
  </si>
  <si>
    <t xml:space="preserve"> 2ML 48"X50YD NPF INTENSE BLUE</t>
  </si>
  <si>
    <t xml:space="preserve">3630-4815-137     </t>
  </si>
  <si>
    <t xml:space="preserve"> 2ML 48"X50YD NOPERF EURO BLUE</t>
  </si>
  <si>
    <t xml:space="preserve">SUNSHINE ELECTRONIC DISPLAY   </t>
  </si>
  <si>
    <t xml:space="preserve">502 SYLVANIE                  </t>
  </si>
  <si>
    <t xml:space="preserve">ST. JOSEPH     </t>
  </si>
  <si>
    <t xml:space="preserve">PD42196   </t>
  </si>
  <si>
    <t xml:space="preserve">3630-3015-076     </t>
  </si>
  <si>
    <t xml:space="preserve"> 2ML 30"X50YD NOPERF HOLLY GRN</t>
  </si>
  <si>
    <t xml:space="preserve">3630-2415-026     </t>
  </si>
  <si>
    <t xml:space="preserve"> 2ML 24"X50YD NONPERF GREEN   </t>
  </si>
  <si>
    <t xml:space="preserve">3630-4815-026     </t>
  </si>
  <si>
    <t xml:space="preserve"> 2ML 48"X50YD NONPERF GREEN   </t>
  </si>
  <si>
    <t xml:space="preserve">3630-4815-049     </t>
  </si>
  <si>
    <t xml:space="preserve"> 2ML 48"X50YD NONPERF BURGUNDY</t>
  </si>
  <si>
    <t xml:space="preserve">3630-4803-163     </t>
  </si>
  <si>
    <t xml:space="preserve"> 2ML 48"X10YD NONPERF SCARLET </t>
  </si>
  <si>
    <t xml:space="preserve">5101-3003-010     </t>
  </si>
  <si>
    <t xml:space="preserve"> 6ML 30"X10YD NONPERF WHITE   </t>
  </si>
  <si>
    <t xml:space="preserve">236 Outlook Point Dr Ste 100  </t>
  </si>
  <si>
    <t xml:space="preserve">3635-4803-171     </t>
  </si>
  <si>
    <t xml:space="preserve"> 4ML 48"X10YD NP DARK GREY    </t>
  </si>
  <si>
    <t xml:space="preserve">0050-3015-120     </t>
  </si>
  <si>
    <t xml:space="preserve"> 3ML 30"X50YD NPRF MATTE BLACK</t>
  </si>
  <si>
    <t xml:space="preserve">5101-4815-085     </t>
  </si>
  <si>
    <t xml:space="preserve"> 6ML 48"X50YD NONPERF BLACK   </t>
  </si>
  <si>
    <t xml:space="preserve">GRIMCO - KANSAS CITY          </t>
  </si>
  <si>
    <t xml:space="preserve">3141 W.HEARTLAND DRIVE        </t>
  </si>
  <si>
    <t xml:space="preserve">SUITE 103                     </t>
  </si>
  <si>
    <t xml:space="preserve">LIBERTY,       </t>
  </si>
  <si>
    <t xml:space="preserve">Grimco Kansas City Warehouse  </t>
  </si>
  <si>
    <t xml:space="preserve">3141 W Heartland Drive        </t>
  </si>
  <si>
    <t xml:space="preserve">Suite 103                     </t>
  </si>
  <si>
    <t xml:space="preserve">Liberty        </t>
  </si>
  <si>
    <t>FGR3160000</t>
  </si>
  <si>
    <t xml:space="preserve">3630-4815-126     </t>
  </si>
  <si>
    <t xml:space="preserve"> 2ML 48"X50YD NPRF DK EMER GRN</t>
  </si>
  <si>
    <t xml:space="preserve">3630-4803-136     </t>
  </si>
  <si>
    <t xml:space="preserve"> 2ML 48"X10YD NONPERF LIME GRN</t>
  </si>
  <si>
    <t xml:space="preserve">3630-4803-044     </t>
  </si>
  <si>
    <t xml:space="preserve"> 2ML 48"X10YD NONPERF ORANGE  </t>
  </si>
  <si>
    <t xml:space="preserve">GLANTZ-DALLAS                 </t>
  </si>
  <si>
    <t xml:space="preserve">2310 MANANA DR                </t>
  </si>
  <si>
    <t>FGL1042000</t>
  </si>
  <si>
    <t>4204484-00</t>
  </si>
  <si>
    <t xml:space="preserve">7125-3015-012     </t>
  </si>
  <si>
    <t xml:space="preserve">7125-3015-037     </t>
  </si>
  <si>
    <t xml:space="preserve"> 2ML 30"X50YD NOPRF SAPPH BLUE</t>
  </si>
  <si>
    <t xml:space="preserve">3630-4803-106     </t>
  </si>
  <si>
    <t xml:space="preserve"> 2ML 48"X10YD NP BRILLIANT GRN</t>
  </si>
  <si>
    <t xml:space="preserve">3630-4803-167     </t>
  </si>
  <si>
    <t xml:space="preserve"> 2ML 48"X10YD NONPERF BRT BLUE</t>
  </si>
  <si>
    <t xml:space="preserve">3630-4803-020     </t>
  </si>
  <si>
    <t xml:space="preserve"> 2ML 48"X10YD NONPERF WHITE   </t>
  </si>
  <si>
    <t xml:space="preserve">3630-4803-026     </t>
  </si>
  <si>
    <t xml:space="preserve"> 2ML 48"X10YD NONPERF GREEN   </t>
  </si>
  <si>
    <t xml:space="preserve">3630-4803-097     </t>
  </si>
  <si>
    <t xml:space="preserve"> 2ML 48"X10YD NPF BRISTOL BLUE</t>
  </si>
  <si>
    <t xml:space="preserve">PD42191   </t>
  </si>
  <si>
    <t xml:space="preserve">7725-2403-120     </t>
  </si>
  <si>
    <t xml:space="preserve"> 2ML 24"X10YD NOPRF SATN ALUMN</t>
  </si>
  <si>
    <t xml:space="preserve">7725-2415-020     </t>
  </si>
  <si>
    <t xml:space="preserve"> 2ML 24"X50YD NPRF MATTE WHITE</t>
  </si>
  <si>
    <t xml:space="preserve">6801-1515-075     </t>
  </si>
  <si>
    <t xml:space="preserve"> 7ML 15"X50YD NONPERF BLUE    </t>
  </si>
  <si>
    <t>Credit/Invoice#</t>
  </si>
  <si>
    <t>Credit/Invoice Date</t>
  </si>
  <si>
    <t>Sold To Customer Name</t>
  </si>
  <si>
    <t>Address1</t>
  </si>
  <si>
    <t>Address2</t>
  </si>
  <si>
    <t>City</t>
  </si>
  <si>
    <t>ST</t>
  </si>
  <si>
    <t>ZIP</t>
  </si>
  <si>
    <t>Ship to Customer Name</t>
  </si>
  <si>
    <t>Sold To Customer Code</t>
  </si>
  <si>
    <t>Customer PO Number</t>
  </si>
  <si>
    <t>Salesperson Code</t>
  </si>
  <si>
    <t>FDC Sales Order Number</t>
  </si>
  <si>
    <t>Ship Via</t>
  </si>
  <si>
    <t>Pcs</t>
  </si>
  <si>
    <t>Weight</t>
  </si>
  <si>
    <t>Terms</t>
  </si>
  <si>
    <t>Ordered Amount</t>
  </si>
  <si>
    <t>Shipped Amount</t>
  </si>
  <si>
    <t>B/O Amount</t>
  </si>
  <si>
    <t>Part Number</t>
  </si>
  <si>
    <t>Description</t>
  </si>
  <si>
    <t>Unit of Measure</t>
  </si>
  <si>
    <t>Net Price</t>
  </si>
  <si>
    <t>Ext Net Price</t>
  </si>
  <si>
    <t>Tracking Number</t>
  </si>
  <si>
    <t>Sub-Total Amount</t>
  </si>
  <si>
    <t>Restocking Fee</t>
  </si>
  <si>
    <t>Freight Amount</t>
  </si>
  <si>
    <t>Total Amount</t>
  </si>
  <si>
    <t>Blank</t>
  </si>
  <si>
    <t>End of Line Marker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</si>
</sst>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017"/>
  <sheetViews>
    <sheetView tabSelected="1" topLeftCell="P1" zoomScale="91" workbookViewId="0">
      <selection activeCell="Q5" sqref="Q5"/>
    </sheetView>
  </sheetViews>
  <sheetFormatPr defaultRowHeight="14"/>
  <cols>
    <col min="1" max="1" width="14.58203125" bestFit="1" customWidth="1"/>
    <col min="2" max="2" width="18.1640625" bestFit="1" customWidth="1"/>
    <col min="3" max="3" width="35.58203125" bestFit="1" customWidth="1"/>
    <col min="4" max="4" width="35.75" bestFit="1" customWidth="1"/>
    <col min="5" max="5" width="25.25" bestFit="1" customWidth="1"/>
    <col min="6" max="6" width="18.58203125" bestFit="1" customWidth="1"/>
    <col min="7" max="7" width="4" bestFit="1" customWidth="1"/>
    <col min="8" max="8" width="11.1640625" bestFit="1" customWidth="1"/>
    <col min="9" max="9" width="36.1640625" bestFit="1" customWidth="1"/>
    <col min="10" max="10" width="35.75" bestFit="1" customWidth="1"/>
    <col min="11" max="11" width="30.25" bestFit="1" customWidth="1"/>
    <col min="12" max="12" width="19" bestFit="1" customWidth="1"/>
    <col min="13" max="13" width="4" bestFit="1" customWidth="1"/>
    <col min="14" max="14" width="11.1640625" bestFit="1" customWidth="1"/>
    <col min="15" max="15" width="22.25" bestFit="1" customWidth="1"/>
    <col min="16" max="16" width="20.58203125" bestFit="1" customWidth="1"/>
    <col min="17" max="17" width="17.4140625" bestFit="1" customWidth="1"/>
    <col min="18" max="18" width="23.4140625" bestFit="1" customWidth="1"/>
    <col min="19" max="19" width="13.1640625" bestFit="1" customWidth="1"/>
    <col min="20" max="20" width="6.25" style="2" customWidth="1"/>
    <col min="21" max="21" width="7" bestFit="1" customWidth="1"/>
    <col min="22" max="22" width="14.75" bestFit="1" customWidth="1"/>
    <col min="23" max="23" width="15.58203125" bestFit="1" customWidth="1"/>
    <col min="24" max="24" width="15.75" bestFit="1" customWidth="1"/>
    <col min="25" max="25" width="11.58203125" bestFit="1" customWidth="1"/>
    <col min="26" max="26" width="22" bestFit="1" customWidth="1"/>
    <col min="27" max="27" width="34" bestFit="1" customWidth="1"/>
    <col min="28" max="28" width="14.83203125" bestFit="1" customWidth="1"/>
    <col min="29" max="29" width="10" bestFit="1" customWidth="1"/>
    <col min="30" max="30" width="11.83203125" bestFit="1" customWidth="1"/>
    <col min="31" max="31" width="16.4140625" customWidth="1"/>
    <col min="32" max="32" width="17" bestFit="1" customWidth="1"/>
    <col min="33" max="33" width="14.1640625" bestFit="1" customWidth="1"/>
    <col min="34" max="34" width="14.4140625" bestFit="1" customWidth="1"/>
    <col min="35" max="35" width="12.75" bestFit="1" customWidth="1"/>
    <col min="36" max="36" width="14" bestFit="1" customWidth="1"/>
    <col min="37" max="37" width="17.58203125" bestFit="1" customWidth="1"/>
  </cols>
  <sheetData>
    <row r="1" spans="1:37">
      <c r="A1" t="s">
        <v>2826</v>
      </c>
      <c r="B1" t="s">
        <v>2827</v>
      </c>
      <c r="C1" t="s">
        <v>2828</v>
      </c>
      <c r="D1" t="s">
        <v>2829</v>
      </c>
      <c r="E1" t="s">
        <v>2830</v>
      </c>
      <c r="F1" t="s">
        <v>2831</v>
      </c>
      <c r="G1" t="s">
        <v>2832</v>
      </c>
      <c r="H1" t="s">
        <v>2833</v>
      </c>
      <c r="I1" t="s">
        <v>2834</v>
      </c>
      <c r="J1" t="s">
        <v>2829</v>
      </c>
      <c r="K1" t="s">
        <v>2830</v>
      </c>
      <c r="L1" t="s">
        <v>2831</v>
      </c>
      <c r="M1" t="s">
        <v>2832</v>
      </c>
      <c r="N1" t="s">
        <v>2833</v>
      </c>
      <c r="O1" t="s">
        <v>2835</v>
      </c>
      <c r="P1" t="s">
        <v>2836</v>
      </c>
      <c r="Q1" t="s">
        <v>2837</v>
      </c>
      <c r="R1" t="s">
        <v>2838</v>
      </c>
      <c r="S1" t="s">
        <v>2839</v>
      </c>
      <c r="T1" s="2" t="s">
        <v>2840</v>
      </c>
      <c r="U1" t="s">
        <v>2841</v>
      </c>
      <c r="V1" t="s">
        <v>2842</v>
      </c>
      <c r="W1" t="s">
        <v>2843</v>
      </c>
      <c r="X1" t="s">
        <v>2844</v>
      </c>
      <c r="Y1" t="s">
        <v>2845</v>
      </c>
      <c r="Z1" t="s">
        <v>2846</v>
      </c>
      <c r="AA1" t="s">
        <v>2847</v>
      </c>
      <c r="AB1" t="s">
        <v>2848</v>
      </c>
      <c r="AC1" t="s">
        <v>2849</v>
      </c>
      <c r="AD1" t="s">
        <v>2850</v>
      </c>
      <c r="AE1" t="s">
        <v>2851</v>
      </c>
      <c r="AF1" t="s">
        <v>2852</v>
      </c>
      <c r="AG1" t="s">
        <v>2853</v>
      </c>
      <c r="AH1" t="s">
        <v>2854</v>
      </c>
      <c r="AI1" t="s">
        <v>2855</v>
      </c>
      <c r="AJ1" t="s">
        <v>2856</v>
      </c>
      <c r="AK1" t="s">
        <v>2857</v>
      </c>
    </row>
    <row r="2" spans="1:37">
      <c r="A2">
        <v>40242</v>
      </c>
      <c r="B2" s="1">
        <v>45366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>
        <v>57118</v>
      </c>
      <c r="I2" t="s">
        <v>0</v>
      </c>
      <c r="J2" t="s">
        <v>1</v>
      </c>
      <c r="K2" t="s">
        <v>2</v>
      </c>
      <c r="L2" t="s">
        <v>3</v>
      </c>
      <c r="M2" t="s">
        <v>4</v>
      </c>
      <c r="N2">
        <v>57118</v>
      </c>
      <c r="O2" t="s">
        <v>5</v>
      </c>
      <c r="P2">
        <v>95052</v>
      </c>
      <c r="Q2" t="s">
        <v>6</v>
      </c>
      <c r="R2">
        <v>204196</v>
      </c>
      <c r="S2" t="s">
        <v>7</v>
      </c>
      <c r="T2" s="2">
        <v>1</v>
      </c>
      <c r="U2">
        <v>0</v>
      </c>
      <c r="V2" t="s">
        <v>8</v>
      </c>
      <c r="W2">
        <v>0</v>
      </c>
      <c r="X2">
        <v>0</v>
      </c>
      <c r="Y2">
        <v>0</v>
      </c>
      <c r="Z2" t="s">
        <v>9</v>
      </c>
      <c r="AA2" t="s">
        <v>2</v>
      </c>
      <c r="AB2" t="s">
        <v>10</v>
      </c>
      <c r="AC2">
        <v>0</v>
      </c>
      <c r="AD2">
        <v>0</v>
      </c>
      <c r="AE2" t="s">
        <v>2</v>
      </c>
      <c r="AF2">
        <v>-52.47</v>
      </c>
      <c r="AG2">
        <v>0</v>
      </c>
      <c r="AH2">
        <v>-5.48</v>
      </c>
      <c r="AI2">
        <v>-57.95</v>
      </c>
      <c r="AJ2" t="s">
        <v>2</v>
      </c>
      <c r="AK2" t="s">
        <v>11</v>
      </c>
    </row>
    <row r="3" spans="1:37">
      <c r="A3">
        <v>40242</v>
      </c>
      <c r="B3" s="1">
        <v>45366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>
        <v>57118</v>
      </c>
      <c r="I3" t="s">
        <v>0</v>
      </c>
      <c r="J3" t="s">
        <v>1</v>
      </c>
      <c r="K3" t="s">
        <v>2</v>
      </c>
      <c r="L3" t="s">
        <v>3</v>
      </c>
      <c r="M3" t="s">
        <v>4</v>
      </c>
      <c r="N3">
        <v>57118</v>
      </c>
      <c r="O3" t="s">
        <v>5</v>
      </c>
      <c r="P3">
        <v>95052</v>
      </c>
      <c r="Q3" t="s">
        <v>6</v>
      </c>
      <c r="R3">
        <v>204196</v>
      </c>
      <c r="S3" t="s">
        <v>7</v>
      </c>
      <c r="T3" s="2">
        <v>1</v>
      </c>
      <c r="U3">
        <v>0</v>
      </c>
      <c r="V3" t="s">
        <v>8</v>
      </c>
      <c r="W3">
        <v>-1</v>
      </c>
      <c r="X3">
        <v>-1</v>
      </c>
      <c r="Y3">
        <v>0</v>
      </c>
      <c r="Z3" t="s">
        <v>12</v>
      </c>
      <c r="AA3" t="s">
        <v>13</v>
      </c>
      <c r="AB3" t="s">
        <v>14</v>
      </c>
      <c r="AC3">
        <v>52.47</v>
      </c>
      <c r="AD3">
        <v>-52.47</v>
      </c>
      <c r="AE3" t="s">
        <v>2</v>
      </c>
      <c r="AF3">
        <v>-52.47</v>
      </c>
      <c r="AG3">
        <v>0</v>
      </c>
      <c r="AH3">
        <v>-5.48</v>
      </c>
      <c r="AI3">
        <v>-57.95</v>
      </c>
      <c r="AJ3" t="s">
        <v>2</v>
      </c>
      <c r="AK3" t="s">
        <v>11</v>
      </c>
    </row>
    <row r="4" spans="1:37">
      <c r="A4">
        <v>40255</v>
      </c>
      <c r="B4" s="1">
        <v>45366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>
        <v>8854</v>
      </c>
      <c r="I4" t="s">
        <v>15</v>
      </c>
      <c r="J4" t="s">
        <v>16</v>
      </c>
      <c r="K4" t="s">
        <v>17</v>
      </c>
      <c r="L4" t="s">
        <v>18</v>
      </c>
      <c r="M4" t="s">
        <v>19</v>
      </c>
      <c r="N4">
        <v>8854</v>
      </c>
      <c r="O4" t="s">
        <v>20</v>
      </c>
      <c r="P4">
        <v>957758</v>
      </c>
      <c r="Q4" t="s">
        <v>21</v>
      </c>
      <c r="R4">
        <v>253697</v>
      </c>
      <c r="S4" t="s">
        <v>22</v>
      </c>
      <c r="T4" s="2">
        <v>1</v>
      </c>
      <c r="U4">
        <v>0</v>
      </c>
      <c r="V4" t="s">
        <v>8</v>
      </c>
      <c r="W4">
        <v>0</v>
      </c>
      <c r="X4">
        <v>0</v>
      </c>
      <c r="Y4">
        <v>0</v>
      </c>
      <c r="Z4" t="s">
        <v>9</v>
      </c>
      <c r="AA4" t="s">
        <v>2</v>
      </c>
      <c r="AB4" t="s">
        <v>10</v>
      </c>
      <c r="AC4">
        <v>0</v>
      </c>
      <c r="AD4">
        <v>0</v>
      </c>
      <c r="AE4" t="s">
        <v>2</v>
      </c>
      <c r="AF4">
        <v>-106.5</v>
      </c>
      <c r="AG4">
        <v>0</v>
      </c>
      <c r="AH4">
        <v>-26.86</v>
      </c>
      <c r="AI4">
        <v>-133.36000000000001</v>
      </c>
      <c r="AJ4" t="s">
        <v>2</v>
      </c>
      <c r="AK4" t="s">
        <v>11</v>
      </c>
    </row>
    <row r="5" spans="1:37">
      <c r="A5">
        <v>40255</v>
      </c>
      <c r="B5" s="1">
        <v>45366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8854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>
        <v>8854</v>
      </c>
      <c r="O5" t="s">
        <v>20</v>
      </c>
      <c r="P5">
        <v>957758</v>
      </c>
      <c r="Q5" t="s">
        <v>21</v>
      </c>
      <c r="R5">
        <v>253697</v>
      </c>
      <c r="S5" t="s">
        <v>22</v>
      </c>
      <c r="T5" s="2">
        <v>1</v>
      </c>
      <c r="U5">
        <v>0</v>
      </c>
      <c r="V5" t="s">
        <v>8</v>
      </c>
      <c r="W5">
        <v>-1</v>
      </c>
      <c r="X5">
        <v>-1</v>
      </c>
      <c r="Y5">
        <v>0</v>
      </c>
      <c r="Z5" t="s">
        <v>23</v>
      </c>
      <c r="AA5" t="s">
        <v>24</v>
      </c>
      <c r="AB5" t="s">
        <v>14</v>
      </c>
      <c r="AC5">
        <v>106.4953</v>
      </c>
      <c r="AD5">
        <v>-106.5</v>
      </c>
      <c r="AE5" t="s">
        <v>2</v>
      </c>
      <c r="AF5">
        <v>-106.5</v>
      </c>
      <c r="AG5">
        <v>0</v>
      </c>
      <c r="AH5">
        <v>-26.86</v>
      </c>
      <c r="AI5">
        <v>-133.36000000000001</v>
      </c>
      <c r="AJ5" t="s">
        <v>2</v>
      </c>
      <c r="AK5" t="s">
        <v>11</v>
      </c>
    </row>
    <row r="6" spans="1:37">
      <c r="A6">
        <v>40336</v>
      </c>
      <c r="B6" s="1">
        <v>45366</v>
      </c>
      <c r="C6" t="s">
        <v>25</v>
      </c>
      <c r="D6" t="s">
        <v>26</v>
      </c>
      <c r="E6" t="s">
        <v>2</v>
      </c>
      <c r="F6" t="s">
        <v>27</v>
      </c>
      <c r="G6" t="s">
        <v>28</v>
      </c>
      <c r="H6">
        <v>33624</v>
      </c>
      <c r="I6" t="s">
        <v>25</v>
      </c>
      <c r="J6" t="s">
        <v>26</v>
      </c>
      <c r="K6" t="s">
        <v>2</v>
      </c>
      <c r="L6" t="s">
        <v>27</v>
      </c>
      <c r="M6" t="s">
        <v>28</v>
      </c>
      <c r="N6">
        <v>33624</v>
      </c>
      <c r="O6" t="s">
        <v>29</v>
      </c>
      <c r="P6">
        <v>14098</v>
      </c>
      <c r="Q6" t="s">
        <v>21</v>
      </c>
      <c r="R6">
        <v>254191</v>
      </c>
      <c r="S6" t="s">
        <v>7</v>
      </c>
      <c r="T6" s="2">
        <v>1</v>
      </c>
      <c r="U6">
        <v>0</v>
      </c>
      <c r="V6" t="s">
        <v>8</v>
      </c>
      <c r="W6">
        <v>0</v>
      </c>
      <c r="X6">
        <v>0</v>
      </c>
      <c r="Y6">
        <v>0</v>
      </c>
      <c r="Z6" t="s">
        <v>9</v>
      </c>
      <c r="AA6" t="s">
        <v>2</v>
      </c>
      <c r="AB6" t="s">
        <v>10</v>
      </c>
      <c r="AC6">
        <v>0</v>
      </c>
      <c r="AD6">
        <v>0</v>
      </c>
      <c r="AE6" t="s">
        <v>2</v>
      </c>
      <c r="AF6">
        <v>-34.74</v>
      </c>
      <c r="AG6">
        <v>0</v>
      </c>
      <c r="AH6">
        <v>-36.130000000000003</v>
      </c>
      <c r="AI6">
        <v>-70.87</v>
      </c>
      <c r="AJ6" t="s">
        <v>2</v>
      </c>
      <c r="AK6" t="s">
        <v>11</v>
      </c>
    </row>
    <row r="7" spans="1:37">
      <c r="A7">
        <v>40336</v>
      </c>
      <c r="B7" s="1">
        <v>45366</v>
      </c>
      <c r="C7" t="s">
        <v>25</v>
      </c>
      <c r="D7" t="s">
        <v>26</v>
      </c>
      <c r="E7" t="s">
        <v>2</v>
      </c>
      <c r="F7" t="s">
        <v>27</v>
      </c>
      <c r="G7" t="s">
        <v>28</v>
      </c>
      <c r="H7">
        <v>33624</v>
      </c>
      <c r="I7" t="s">
        <v>25</v>
      </c>
      <c r="J7" t="s">
        <v>26</v>
      </c>
      <c r="K7" t="s">
        <v>2</v>
      </c>
      <c r="L7" t="s">
        <v>27</v>
      </c>
      <c r="M7" t="s">
        <v>28</v>
      </c>
      <c r="N7">
        <v>33624</v>
      </c>
      <c r="O7" t="s">
        <v>29</v>
      </c>
      <c r="P7">
        <v>14098</v>
      </c>
      <c r="Q7" t="s">
        <v>21</v>
      </c>
      <c r="R7">
        <v>254191</v>
      </c>
      <c r="S7" t="s">
        <v>7</v>
      </c>
      <c r="T7" s="2">
        <v>1</v>
      </c>
      <c r="U7">
        <v>0</v>
      </c>
      <c r="V7" t="s">
        <v>8</v>
      </c>
      <c r="W7">
        <v>-1</v>
      </c>
      <c r="X7">
        <v>-1</v>
      </c>
      <c r="Y7">
        <v>0</v>
      </c>
      <c r="Z7" t="s">
        <v>30</v>
      </c>
      <c r="AA7" t="s">
        <v>31</v>
      </c>
      <c r="AB7" t="s">
        <v>14</v>
      </c>
      <c r="AC7">
        <v>34.74</v>
      </c>
      <c r="AD7">
        <v>-34.74</v>
      </c>
      <c r="AE7" t="s">
        <v>2</v>
      </c>
      <c r="AF7">
        <v>-34.74</v>
      </c>
      <c r="AG7">
        <v>0</v>
      </c>
      <c r="AH7">
        <v>-36.130000000000003</v>
      </c>
      <c r="AI7">
        <v>-70.87</v>
      </c>
      <c r="AJ7" t="s">
        <v>2</v>
      </c>
      <c r="AK7" t="s">
        <v>11</v>
      </c>
    </row>
    <row r="8" spans="1:37">
      <c r="A8">
        <v>40284</v>
      </c>
      <c r="B8" s="1">
        <v>45370</v>
      </c>
      <c r="C8" t="s">
        <v>32</v>
      </c>
      <c r="D8" t="s">
        <v>33</v>
      </c>
      <c r="E8" t="s">
        <v>2</v>
      </c>
      <c r="F8" t="s">
        <v>34</v>
      </c>
      <c r="G8" t="s">
        <v>35</v>
      </c>
      <c r="H8">
        <v>63144</v>
      </c>
      <c r="I8" t="s">
        <v>32</v>
      </c>
      <c r="J8" t="s">
        <v>33</v>
      </c>
      <c r="K8" t="s">
        <v>2</v>
      </c>
      <c r="L8" t="s">
        <v>34</v>
      </c>
      <c r="M8" t="s">
        <v>35</v>
      </c>
      <c r="N8">
        <v>63144</v>
      </c>
      <c r="O8" t="s">
        <v>36</v>
      </c>
      <c r="P8" t="s">
        <v>37</v>
      </c>
      <c r="Q8" t="s">
        <v>38</v>
      </c>
      <c r="R8">
        <v>254282</v>
      </c>
      <c r="S8" t="s">
        <v>22</v>
      </c>
      <c r="T8" s="2">
        <v>1</v>
      </c>
      <c r="U8">
        <v>0</v>
      </c>
      <c r="V8" t="s">
        <v>8</v>
      </c>
      <c r="W8">
        <v>0</v>
      </c>
      <c r="X8">
        <v>0</v>
      </c>
      <c r="Y8">
        <v>0</v>
      </c>
      <c r="Z8" t="s">
        <v>9</v>
      </c>
      <c r="AA8" t="s">
        <v>2</v>
      </c>
      <c r="AB8" t="s">
        <v>10</v>
      </c>
      <c r="AC8">
        <v>0</v>
      </c>
      <c r="AD8">
        <v>0</v>
      </c>
      <c r="AE8" t="s">
        <v>2</v>
      </c>
      <c r="AF8">
        <v>-41.06</v>
      </c>
      <c r="AG8">
        <v>0</v>
      </c>
      <c r="AH8">
        <v>0</v>
      </c>
      <c r="AI8">
        <v>-41.06</v>
      </c>
      <c r="AJ8" t="s">
        <v>2</v>
      </c>
      <c r="AK8" t="s">
        <v>11</v>
      </c>
    </row>
    <row r="9" spans="1:37">
      <c r="A9">
        <v>40284</v>
      </c>
      <c r="B9" s="1">
        <v>45370</v>
      </c>
      <c r="C9" t="s">
        <v>32</v>
      </c>
      <c r="D9" t="s">
        <v>33</v>
      </c>
      <c r="E9" t="s">
        <v>2</v>
      </c>
      <c r="F9" t="s">
        <v>34</v>
      </c>
      <c r="G9" t="s">
        <v>35</v>
      </c>
      <c r="H9">
        <v>63144</v>
      </c>
      <c r="I9" t="s">
        <v>32</v>
      </c>
      <c r="J9" t="s">
        <v>33</v>
      </c>
      <c r="K9" t="s">
        <v>2</v>
      </c>
      <c r="L9" t="s">
        <v>34</v>
      </c>
      <c r="M9" t="s">
        <v>35</v>
      </c>
      <c r="N9">
        <v>63144</v>
      </c>
      <c r="O9" t="s">
        <v>36</v>
      </c>
      <c r="P9" t="s">
        <v>37</v>
      </c>
      <c r="Q9" t="s">
        <v>38</v>
      </c>
      <c r="R9">
        <v>254282</v>
      </c>
      <c r="S9" t="s">
        <v>22</v>
      </c>
      <c r="T9" s="2">
        <v>1</v>
      </c>
      <c r="U9">
        <v>0</v>
      </c>
      <c r="V9" t="s">
        <v>8</v>
      </c>
      <c r="W9">
        <v>-1</v>
      </c>
      <c r="X9">
        <v>-1</v>
      </c>
      <c r="Y9">
        <v>0</v>
      </c>
      <c r="Z9" t="s">
        <v>39</v>
      </c>
      <c r="AA9" t="s">
        <v>40</v>
      </c>
      <c r="AB9" t="s">
        <v>14</v>
      </c>
      <c r="AC9">
        <v>41.063000000000002</v>
      </c>
      <c r="AD9">
        <v>-41.06</v>
      </c>
      <c r="AE9" t="s">
        <v>2</v>
      </c>
      <c r="AF9">
        <v>-41.06</v>
      </c>
      <c r="AG9">
        <v>0</v>
      </c>
      <c r="AH9">
        <v>0</v>
      </c>
      <c r="AI9">
        <v>-41.06</v>
      </c>
      <c r="AJ9" t="s">
        <v>2</v>
      </c>
      <c r="AK9" t="s">
        <v>11</v>
      </c>
    </row>
    <row r="10" spans="1:37">
      <c r="A10">
        <v>40227</v>
      </c>
      <c r="B10" s="1">
        <v>45366</v>
      </c>
      <c r="C10" t="s">
        <v>41</v>
      </c>
      <c r="D10" t="s">
        <v>42</v>
      </c>
      <c r="E10" t="s">
        <v>2</v>
      </c>
      <c r="F10" t="s">
        <v>43</v>
      </c>
      <c r="G10" t="s">
        <v>44</v>
      </c>
      <c r="H10">
        <v>97201</v>
      </c>
      <c r="I10" t="s">
        <v>41</v>
      </c>
      <c r="J10" t="s">
        <v>42</v>
      </c>
      <c r="K10" t="s">
        <v>2</v>
      </c>
      <c r="L10" t="s">
        <v>43</v>
      </c>
      <c r="M10" t="s">
        <v>44</v>
      </c>
      <c r="N10">
        <v>97201</v>
      </c>
      <c r="O10" t="s">
        <v>45</v>
      </c>
      <c r="P10">
        <v>145640</v>
      </c>
      <c r="Q10" t="s">
        <v>46</v>
      </c>
      <c r="R10">
        <v>252245</v>
      </c>
      <c r="S10" t="s">
        <v>22</v>
      </c>
      <c r="T10" s="2">
        <v>1</v>
      </c>
      <c r="U10">
        <v>0</v>
      </c>
      <c r="V10" t="s">
        <v>8</v>
      </c>
      <c r="W10">
        <v>0</v>
      </c>
      <c r="X10">
        <v>0</v>
      </c>
      <c r="Y10">
        <v>0</v>
      </c>
      <c r="Z10" t="s">
        <v>9</v>
      </c>
      <c r="AA10" t="s">
        <v>2</v>
      </c>
      <c r="AB10" t="s">
        <v>10</v>
      </c>
      <c r="AC10">
        <v>0</v>
      </c>
      <c r="AD10">
        <v>0</v>
      </c>
      <c r="AE10" t="s">
        <v>2</v>
      </c>
      <c r="AF10">
        <v>-1600.53</v>
      </c>
      <c r="AG10">
        <v>0</v>
      </c>
      <c r="AH10">
        <v>0</v>
      </c>
      <c r="AI10">
        <v>-1600.53</v>
      </c>
      <c r="AJ10" t="s">
        <v>2</v>
      </c>
      <c r="AK10" t="s">
        <v>11</v>
      </c>
    </row>
    <row r="11" spans="1:37">
      <c r="A11">
        <v>40227</v>
      </c>
      <c r="B11" s="1">
        <v>45366</v>
      </c>
      <c r="C11" t="s">
        <v>41</v>
      </c>
      <c r="D11" t="s">
        <v>42</v>
      </c>
      <c r="E11" t="s">
        <v>2</v>
      </c>
      <c r="F11" t="s">
        <v>43</v>
      </c>
      <c r="G11" t="s">
        <v>44</v>
      </c>
      <c r="H11">
        <v>97201</v>
      </c>
      <c r="I11" t="s">
        <v>41</v>
      </c>
      <c r="J11" t="s">
        <v>42</v>
      </c>
      <c r="K11" t="s">
        <v>2</v>
      </c>
      <c r="L11" t="s">
        <v>43</v>
      </c>
      <c r="M11" t="s">
        <v>44</v>
      </c>
      <c r="N11">
        <v>97201</v>
      </c>
      <c r="O11" t="s">
        <v>45</v>
      </c>
      <c r="P11">
        <v>145640</v>
      </c>
      <c r="Q11" t="s">
        <v>46</v>
      </c>
      <c r="R11">
        <v>252245</v>
      </c>
      <c r="S11" t="s">
        <v>22</v>
      </c>
      <c r="T11" s="2">
        <v>1</v>
      </c>
      <c r="U11">
        <v>0</v>
      </c>
      <c r="V11" t="s">
        <v>8</v>
      </c>
      <c r="W11">
        <v>-1</v>
      </c>
      <c r="X11">
        <v>-1</v>
      </c>
      <c r="Y11">
        <v>0</v>
      </c>
      <c r="Z11" t="s">
        <v>47</v>
      </c>
      <c r="AA11" t="s">
        <v>48</v>
      </c>
      <c r="AB11" t="s">
        <v>14</v>
      </c>
      <c r="AC11">
        <v>1600.53</v>
      </c>
      <c r="AD11">
        <v>-1600.53</v>
      </c>
      <c r="AE11" t="s">
        <v>2</v>
      </c>
      <c r="AF11">
        <v>-1600.53</v>
      </c>
      <c r="AG11">
        <v>0</v>
      </c>
      <c r="AH11">
        <v>0</v>
      </c>
      <c r="AI11">
        <v>-1600.53</v>
      </c>
      <c r="AJ11" t="s">
        <v>2</v>
      </c>
      <c r="AK11" t="s">
        <v>11</v>
      </c>
    </row>
    <row r="12" spans="1:37">
      <c r="A12">
        <v>40167</v>
      </c>
      <c r="B12" s="1">
        <v>45366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>
        <v>85281</v>
      </c>
      <c r="I12" t="s">
        <v>49</v>
      </c>
      <c r="J12" t="s">
        <v>50</v>
      </c>
      <c r="K12" t="s">
        <v>51</v>
      </c>
      <c r="L12" t="s">
        <v>52</v>
      </c>
      <c r="M12" t="s">
        <v>53</v>
      </c>
      <c r="N12">
        <v>85281</v>
      </c>
      <c r="O12" t="s">
        <v>54</v>
      </c>
      <c r="P12">
        <v>2234080</v>
      </c>
      <c r="Q12" t="s">
        <v>46</v>
      </c>
      <c r="R12">
        <v>244499</v>
      </c>
      <c r="S12" t="s">
        <v>22</v>
      </c>
      <c r="T12" s="2">
        <v>1</v>
      </c>
      <c r="U12">
        <v>0</v>
      </c>
      <c r="V12" t="s">
        <v>8</v>
      </c>
      <c r="W12">
        <v>0</v>
      </c>
      <c r="X12">
        <v>0</v>
      </c>
      <c r="Y12">
        <v>0</v>
      </c>
      <c r="Z12" t="s">
        <v>9</v>
      </c>
      <c r="AA12" t="s">
        <v>2</v>
      </c>
      <c r="AB12" t="s">
        <v>10</v>
      </c>
      <c r="AC12">
        <v>0</v>
      </c>
      <c r="AD12">
        <v>0</v>
      </c>
      <c r="AE12" t="s">
        <v>2</v>
      </c>
      <c r="AF12">
        <v>-1951.89</v>
      </c>
      <c r="AG12">
        <v>0</v>
      </c>
      <c r="AH12">
        <v>0</v>
      </c>
      <c r="AI12">
        <v>-1951.89</v>
      </c>
      <c r="AJ12" t="s">
        <v>2</v>
      </c>
      <c r="AK12" t="s">
        <v>11</v>
      </c>
    </row>
    <row r="13" spans="1:37">
      <c r="A13">
        <v>40167</v>
      </c>
      <c r="B13" s="1">
        <v>45366</v>
      </c>
      <c r="C13" t="s">
        <v>49</v>
      </c>
      <c r="D13" t="s">
        <v>50</v>
      </c>
      <c r="E13" t="s">
        <v>51</v>
      </c>
      <c r="F13" t="s">
        <v>52</v>
      </c>
      <c r="G13" t="s">
        <v>53</v>
      </c>
      <c r="H13">
        <v>85281</v>
      </c>
      <c r="I13" t="s">
        <v>49</v>
      </c>
      <c r="J13" t="s">
        <v>50</v>
      </c>
      <c r="K13" t="s">
        <v>51</v>
      </c>
      <c r="L13" t="s">
        <v>52</v>
      </c>
      <c r="M13" t="s">
        <v>53</v>
      </c>
      <c r="N13">
        <v>85281</v>
      </c>
      <c r="O13" t="s">
        <v>54</v>
      </c>
      <c r="P13">
        <v>2234080</v>
      </c>
      <c r="Q13" t="s">
        <v>46</v>
      </c>
      <c r="R13">
        <v>244499</v>
      </c>
      <c r="S13" t="s">
        <v>22</v>
      </c>
      <c r="T13" s="2">
        <v>1</v>
      </c>
      <c r="U13">
        <v>0</v>
      </c>
      <c r="V13" t="s">
        <v>8</v>
      </c>
      <c r="W13">
        <v>-1</v>
      </c>
      <c r="X13">
        <v>-1</v>
      </c>
      <c r="Y13">
        <v>0</v>
      </c>
      <c r="Z13" t="s">
        <v>55</v>
      </c>
      <c r="AA13" t="s">
        <v>56</v>
      </c>
      <c r="AB13" t="s">
        <v>14</v>
      </c>
      <c r="AC13">
        <v>1951.89</v>
      </c>
      <c r="AD13">
        <v>-1951.89</v>
      </c>
      <c r="AE13" t="s">
        <v>2</v>
      </c>
      <c r="AF13">
        <v>-1951.89</v>
      </c>
      <c r="AG13">
        <v>0</v>
      </c>
      <c r="AH13">
        <v>0</v>
      </c>
      <c r="AI13">
        <v>-1951.89</v>
      </c>
      <c r="AJ13" t="s">
        <v>2</v>
      </c>
      <c r="AK13" t="s">
        <v>11</v>
      </c>
    </row>
    <row r="14" spans="1:37">
      <c r="A14">
        <v>40005</v>
      </c>
      <c r="B14" s="1">
        <v>45366</v>
      </c>
      <c r="C14" t="s">
        <v>57</v>
      </c>
      <c r="D14" t="s">
        <v>58</v>
      </c>
      <c r="E14" t="s">
        <v>2</v>
      </c>
      <c r="F14" t="s">
        <v>59</v>
      </c>
      <c r="G14" t="s">
        <v>60</v>
      </c>
      <c r="H14">
        <v>1880</v>
      </c>
      <c r="I14" t="s">
        <v>57</v>
      </c>
      <c r="J14" t="s">
        <v>58</v>
      </c>
      <c r="K14" t="s">
        <v>2</v>
      </c>
      <c r="L14" t="s">
        <v>59</v>
      </c>
      <c r="M14" t="s">
        <v>60</v>
      </c>
      <c r="N14">
        <v>1880</v>
      </c>
      <c r="O14" t="s">
        <v>61</v>
      </c>
      <c r="P14">
        <v>35455</v>
      </c>
      <c r="Q14" t="s">
        <v>21</v>
      </c>
      <c r="R14">
        <v>240255</v>
      </c>
      <c r="S14" t="s">
        <v>22</v>
      </c>
      <c r="T14" s="2">
        <v>1</v>
      </c>
      <c r="U14">
        <v>0</v>
      </c>
      <c r="V14" t="s">
        <v>8</v>
      </c>
      <c r="W14">
        <v>0</v>
      </c>
      <c r="X14">
        <v>0</v>
      </c>
      <c r="Y14">
        <v>0</v>
      </c>
      <c r="Z14" t="s">
        <v>9</v>
      </c>
      <c r="AA14" t="s">
        <v>2</v>
      </c>
      <c r="AB14" t="s">
        <v>10</v>
      </c>
      <c r="AC14">
        <v>0</v>
      </c>
      <c r="AD14">
        <v>0</v>
      </c>
      <c r="AE14" t="s">
        <v>2</v>
      </c>
      <c r="AF14">
        <v>-681.37</v>
      </c>
      <c r="AG14">
        <v>0</v>
      </c>
      <c r="AH14">
        <v>0</v>
      </c>
      <c r="AI14">
        <v>-681.37</v>
      </c>
      <c r="AJ14" t="s">
        <v>2</v>
      </c>
      <c r="AK14" t="s">
        <v>11</v>
      </c>
    </row>
    <row r="15" spans="1:37">
      <c r="A15">
        <v>40005</v>
      </c>
      <c r="B15" s="1">
        <v>45366</v>
      </c>
      <c r="C15" t="s">
        <v>57</v>
      </c>
      <c r="D15" t="s">
        <v>58</v>
      </c>
      <c r="E15" t="s">
        <v>2</v>
      </c>
      <c r="F15" t="s">
        <v>59</v>
      </c>
      <c r="G15" t="s">
        <v>60</v>
      </c>
      <c r="H15">
        <v>1880</v>
      </c>
      <c r="I15" t="s">
        <v>57</v>
      </c>
      <c r="J15" t="s">
        <v>58</v>
      </c>
      <c r="K15" t="s">
        <v>2</v>
      </c>
      <c r="L15" t="s">
        <v>59</v>
      </c>
      <c r="M15" t="s">
        <v>60</v>
      </c>
      <c r="N15">
        <v>1880</v>
      </c>
      <c r="O15" t="s">
        <v>61</v>
      </c>
      <c r="P15">
        <v>35455</v>
      </c>
      <c r="Q15" t="s">
        <v>21</v>
      </c>
      <c r="R15">
        <v>240255</v>
      </c>
      <c r="S15" t="s">
        <v>22</v>
      </c>
      <c r="T15" s="2">
        <v>1</v>
      </c>
      <c r="U15">
        <v>0</v>
      </c>
      <c r="V15" t="s">
        <v>8</v>
      </c>
      <c r="W15">
        <v>-1</v>
      </c>
      <c r="X15">
        <v>-1</v>
      </c>
      <c r="Y15">
        <v>0</v>
      </c>
      <c r="Z15" t="s">
        <v>62</v>
      </c>
      <c r="AA15" t="s">
        <v>63</v>
      </c>
      <c r="AB15" t="s">
        <v>14</v>
      </c>
      <c r="AC15">
        <v>681.36670000000004</v>
      </c>
      <c r="AD15">
        <v>-681.37</v>
      </c>
      <c r="AE15" t="s">
        <v>2</v>
      </c>
      <c r="AF15">
        <v>-681.37</v>
      </c>
      <c r="AG15">
        <v>0</v>
      </c>
      <c r="AH15">
        <v>0</v>
      </c>
      <c r="AI15">
        <v>-681.37</v>
      </c>
      <c r="AJ15" t="s">
        <v>2</v>
      </c>
      <c r="AK15" t="s">
        <v>11</v>
      </c>
    </row>
    <row r="16" spans="1:37">
      <c r="A16">
        <v>40249</v>
      </c>
      <c r="B16" s="1">
        <v>45366</v>
      </c>
      <c r="C16" t="s">
        <v>64</v>
      </c>
      <c r="D16" t="s">
        <v>65</v>
      </c>
      <c r="E16" t="s">
        <v>2</v>
      </c>
      <c r="F16" t="s">
        <v>66</v>
      </c>
      <c r="G16" t="s">
        <v>67</v>
      </c>
      <c r="H16">
        <v>75224</v>
      </c>
      <c r="I16" t="s">
        <v>64</v>
      </c>
      <c r="J16" t="s">
        <v>65</v>
      </c>
      <c r="K16" t="s">
        <v>2</v>
      </c>
      <c r="L16" t="s">
        <v>66</v>
      </c>
      <c r="M16" t="s">
        <v>67</v>
      </c>
      <c r="N16">
        <v>75224</v>
      </c>
      <c r="O16" t="s">
        <v>68</v>
      </c>
      <c r="P16" t="s">
        <v>69</v>
      </c>
      <c r="Q16" t="s">
        <v>6</v>
      </c>
      <c r="R16">
        <v>253141</v>
      </c>
      <c r="S16" t="s">
        <v>22</v>
      </c>
      <c r="T16" s="2">
        <v>1</v>
      </c>
      <c r="U16">
        <v>0</v>
      </c>
      <c r="V16" t="s">
        <v>8</v>
      </c>
      <c r="W16">
        <v>0</v>
      </c>
      <c r="X16">
        <v>0</v>
      </c>
      <c r="Y16">
        <v>0</v>
      </c>
      <c r="Z16" t="s">
        <v>9</v>
      </c>
      <c r="AA16" t="s">
        <v>2</v>
      </c>
      <c r="AB16" t="s">
        <v>10</v>
      </c>
      <c r="AC16">
        <v>0</v>
      </c>
      <c r="AD16">
        <v>0</v>
      </c>
      <c r="AE16" t="s">
        <v>2</v>
      </c>
      <c r="AF16">
        <v>-723.9</v>
      </c>
      <c r="AG16">
        <v>144.78</v>
      </c>
      <c r="AH16">
        <v>0</v>
      </c>
      <c r="AI16">
        <v>-579.12</v>
      </c>
      <c r="AJ16" t="s">
        <v>2</v>
      </c>
      <c r="AK16" t="s">
        <v>11</v>
      </c>
    </row>
    <row r="17" spans="1:37">
      <c r="A17">
        <v>40249</v>
      </c>
      <c r="B17" s="1">
        <v>45366</v>
      </c>
      <c r="C17" t="s">
        <v>64</v>
      </c>
      <c r="D17" t="s">
        <v>65</v>
      </c>
      <c r="E17" t="s">
        <v>2</v>
      </c>
      <c r="F17" t="s">
        <v>66</v>
      </c>
      <c r="G17" t="s">
        <v>67</v>
      </c>
      <c r="H17">
        <v>75224</v>
      </c>
      <c r="I17" t="s">
        <v>64</v>
      </c>
      <c r="J17" t="s">
        <v>65</v>
      </c>
      <c r="K17" t="s">
        <v>2</v>
      </c>
      <c r="L17" t="s">
        <v>66</v>
      </c>
      <c r="M17" t="s">
        <v>67</v>
      </c>
      <c r="N17">
        <v>75224</v>
      </c>
      <c r="O17" t="s">
        <v>68</v>
      </c>
      <c r="P17" t="s">
        <v>69</v>
      </c>
      <c r="Q17" t="s">
        <v>6</v>
      </c>
      <c r="R17">
        <v>253141</v>
      </c>
      <c r="S17" t="s">
        <v>22</v>
      </c>
      <c r="T17" s="2">
        <v>1</v>
      </c>
      <c r="U17">
        <v>0</v>
      </c>
      <c r="V17" t="s">
        <v>8</v>
      </c>
      <c r="W17">
        <v>-1</v>
      </c>
      <c r="X17">
        <v>-1</v>
      </c>
      <c r="Y17">
        <v>0</v>
      </c>
      <c r="Z17" t="s">
        <v>70</v>
      </c>
      <c r="AA17" t="s">
        <v>71</v>
      </c>
      <c r="AB17" t="s">
        <v>14</v>
      </c>
      <c r="AC17">
        <v>723.89620000000002</v>
      </c>
      <c r="AD17">
        <v>-723.9</v>
      </c>
      <c r="AE17" t="s">
        <v>2</v>
      </c>
      <c r="AF17">
        <v>-723.9</v>
      </c>
      <c r="AG17">
        <v>144.78</v>
      </c>
      <c r="AH17">
        <v>0</v>
      </c>
      <c r="AI17">
        <v>-579.12</v>
      </c>
      <c r="AJ17" t="s">
        <v>2</v>
      </c>
      <c r="AK17" t="s">
        <v>11</v>
      </c>
    </row>
    <row r="18" spans="1:37">
      <c r="A18">
        <v>40287</v>
      </c>
      <c r="B18" s="1">
        <v>45366</v>
      </c>
      <c r="C18" t="s">
        <v>72</v>
      </c>
      <c r="D18" t="s">
        <v>73</v>
      </c>
      <c r="E18" t="s">
        <v>2</v>
      </c>
      <c r="F18" t="s">
        <v>74</v>
      </c>
      <c r="G18" t="s">
        <v>75</v>
      </c>
      <c r="H18">
        <v>55033</v>
      </c>
      <c r="I18" t="s">
        <v>72</v>
      </c>
      <c r="J18" t="s">
        <v>73</v>
      </c>
      <c r="K18" t="s">
        <v>2</v>
      </c>
      <c r="L18" t="s">
        <v>74</v>
      </c>
      <c r="M18" t="s">
        <v>75</v>
      </c>
      <c r="N18">
        <v>55033</v>
      </c>
      <c r="O18" t="s">
        <v>76</v>
      </c>
      <c r="P18">
        <v>9115</v>
      </c>
      <c r="Q18" t="s">
        <v>6</v>
      </c>
      <c r="R18">
        <v>255773</v>
      </c>
      <c r="S18" t="s">
        <v>7</v>
      </c>
      <c r="T18" s="2">
        <v>5</v>
      </c>
      <c r="U18">
        <v>0</v>
      </c>
      <c r="V18" t="s">
        <v>8</v>
      </c>
      <c r="W18">
        <v>0</v>
      </c>
      <c r="X18">
        <v>0</v>
      </c>
      <c r="Y18">
        <v>0</v>
      </c>
      <c r="Z18" t="s">
        <v>9</v>
      </c>
      <c r="AA18" t="s">
        <v>2</v>
      </c>
      <c r="AB18" t="s">
        <v>10</v>
      </c>
      <c r="AC18">
        <v>0</v>
      </c>
      <c r="AD18">
        <v>0</v>
      </c>
      <c r="AE18" t="s">
        <v>2</v>
      </c>
      <c r="AF18">
        <v>-71.83</v>
      </c>
      <c r="AG18">
        <v>0</v>
      </c>
      <c r="AH18">
        <v>0</v>
      </c>
      <c r="AI18">
        <v>-71.83</v>
      </c>
      <c r="AJ18" t="s">
        <v>2</v>
      </c>
      <c r="AK18" t="s">
        <v>11</v>
      </c>
    </row>
    <row r="19" spans="1:37">
      <c r="A19">
        <v>40287</v>
      </c>
      <c r="B19" s="1">
        <v>45366</v>
      </c>
      <c r="C19" t="s">
        <v>72</v>
      </c>
      <c r="D19" t="s">
        <v>73</v>
      </c>
      <c r="E19" t="s">
        <v>2</v>
      </c>
      <c r="F19" t="s">
        <v>74</v>
      </c>
      <c r="G19" t="s">
        <v>75</v>
      </c>
      <c r="H19">
        <v>55033</v>
      </c>
      <c r="I19" t="s">
        <v>72</v>
      </c>
      <c r="J19" t="s">
        <v>73</v>
      </c>
      <c r="K19" t="s">
        <v>2</v>
      </c>
      <c r="L19" t="s">
        <v>74</v>
      </c>
      <c r="M19" t="s">
        <v>75</v>
      </c>
      <c r="N19">
        <v>55033</v>
      </c>
      <c r="O19" t="s">
        <v>76</v>
      </c>
      <c r="P19">
        <v>9115</v>
      </c>
      <c r="Q19" t="s">
        <v>6</v>
      </c>
      <c r="R19">
        <v>255773</v>
      </c>
      <c r="S19" t="s">
        <v>7</v>
      </c>
      <c r="T19" s="2">
        <v>5</v>
      </c>
      <c r="U19">
        <v>0</v>
      </c>
      <c r="V19" t="s">
        <v>8</v>
      </c>
      <c r="W19">
        <v>-5</v>
      </c>
      <c r="X19">
        <v>-5</v>
      </c>
      <c r="Y19">
        <v>0</v>
      </c>
      <c r="Z19" t="s">
        <v>77</v>
      </c>
      <c r="AA19" t="s">
        <v>78</v>
      </c>
      <c r="AB19" t="s">
        <v>14</v>
      </c>
      <c r="AC19">
        <v>14.366400000000001</v>
      </c>
      <c r="AD19">
        <v>-71.83</v>
      </c>
      <c r="AE19" t="s">
        <v>2</v>
      </c>
      <c r="AF19">
        <v>-71.83</v>
      </c>
      <c r="AG19">
        <v>0</v>
      </c>
      <c r="AH19">
        <v>0</v>
      </c>
      <c r="AI19">
        <v>-71.83</v>
      </c>
      <c r="AJ19" t="s">
        <v>2</v>
      </c>
      <c r="AK19" t="s">
        <v>11</v>
      </c>
    </row>
    <row r="20" spans="1:37">
      <c r="A20">
        <v>257653</v>
      </c>
      <c r="B20" s="1">
        <v>45366</v>
      </c>
      <c r="C20" t="s">
        <v>32</v>
      </c>
      <c r="D20" t="s">
        <v>33</v>
      </c>
      <c r="E20" t="s">
        <v>2</v>
      </c>
      <c r="F20" t="s">
        <v>34</v>
      </c>
      <c r="G20" t="s">
        <v>35</v>
      </c>
      <c r="H20">
        <v>63144</v>
      </c>
      <c r="I20" t="s">
        <v>79</v>
      </c>
      <c r="J20" t="s">
        <v>80</v>
      </c>
      <c r="K20" t="s">
        <v>81</v>
      </c>
      <c r="L20" t="s">
        <v>82</v>
      </c>
      <c r="M20" t="s">
        <v>35</v>
      </c>
      <c r="N20">
        <v>63965</v>
      </c>
      <c r="O20" t="s">
        <v>36</v>
      </c>
      <c r="P20" t="s">
        <v>83</v>
      </c>
      <c r="Q20" t="s">
        <v>38</v>
      </c>
      <c r="R20">
        <v>415630</v>
      </c>
      <c r="S20" t="s">
        <v>84</v>
      </c>
      <c r="T20" s="2">
        <v>2</v>
      </c>
      <c r="U20">
        <v>0</v>
      </c>
      <c r="V20" t="s">
        <v>85</v>
      </c>
      <c r="W20">
        <v>0</v>
      </c>
      <c r="X20">
        <v>0</v>
      </c>
      <c r="Y20">
        <v>0</v>
      </c>
      <c r="Z20" t="s">
        <v>9</v>
      </c>
      <c r="AA20" t="s">
        <v>2</v>
      </c>
      <c r="AB20" t="s">
        <v>10</v>
      </c>
      <c r="AC20">
        <v>0</v>
      </c>
      <c r="AD20">
        <v>0</v>
      </c>
      <c r="AE20">
        <v>726182084380</v>
      </c>
      <c r="AF20">
        <v>129.07</v>
      </c>
      <c r="AG20">
        <v>0</v>
      </c>
      <c r="AH20">
        <v>25.7</v>
      </c>
      <c r="AI20">
        <v>154.77000000000001</v>
      </c>
      <c r="AJ20" t="s">
        <v>2</v>
      </c>
      <c r="AK20" t="s">
        <v>11</v>
      </c>
    </row>
    <row r="21" spans="1:37">
      <c r="A21">
        <v>257653</v>
      </c>
      <c r="B21" s="1">
        <v>45366</v>
      </c>
      <c r="C21" t="s">
        <v>32</v>
      </c>
      <c r="D21" t="s">
        <v>33</v>
      </c>
      <c r="E21" t="s">
        <v>2</v>
      </c>
      <c r="F21" t="s">
        <v>34</v>
      </c>
      <c r="G21" t="s">
        <v>35</v>
      </c>
      <c r="H21">
        <v>63144</v>
      </c>
      <c r="I21" t="s">
        <v>79</v>
      </c>
      <c r="J21" t="s">
        <v>80</v>
      </c>
      <c r="K21" t="s">
        <v>81</v>
      </c>
      <c r="L21" t="s">
        <v>82</v>
      </c>
      <c r="M21" t="s">
        <v>35</v>
      </c>
      <c r="N21">
        <v>63965</v>
      </c>
      <c r="O21" t="s">
        <v>36</v>
      </c>
      <c r="P21" t="s">
        <v>83</v>
      </c>
      <c r="Q21" t="s">
        <v>38</v>
      </c>
      <c r="R21">
        <v>415630</v>
      </c>
      <c r="S21" t="s">
        <v>84</v>
      </c>
      <c r="T21" s="2">
        <v>2</v>
      </c>
      <c r="U21">
        <v>0</v>
      </c>
      <c r="V21" t="s">
        <v>85</v>
      </c>
      <c r="W21">
        <v>1</v>
      </c>
      <c r="X21">
        <v>1</v>
      </c>
      <c r="Y21">
        <v>0</v>
      </c>
      <c r="Z21" t="s">
        <v>86</v>
      </c>
      <c r="AA21" t="s">
        <v>87</v>
      </c>
      <c r="AB21" t="s">
        <v>14</v>
      </c>
      <c r="AC21">
        <v>124.5578</v>
      </c>
      <c r="AD21">
        <v>124.56</v>
      </c>
      <c r="AE21">
        <v>726182084380</v>
      </c>
      <c r="AF21">
        <v>129.07</v>
      </c>
      <c r="AG21">
        <v>0</v>
      </c>
      <c r="AH21">
        <v>25.7</v>
      </c>
      <c r="AI21">
        <v>154.77000000000001</v>
      </c>
      <c r="AJ21" t="s">
        <v>2</v>
      </c>
      <c r="AK21" t="s">
        <v>11</v>
      </c>
    </row>
    <row r="22" spans="1:37">
      <c r="A22">
        <v>257653</v>
      </c>
      <c r="B22" s="1">
        <v>45366</v>
      </c>
      <c r="C22" t="s">
        <v>32</v>
      </c>
      <c r="D22" t="s">
        <v>33</v>
      </c>
      <c r="E22" t="s">
        <v>2</v>
      </c>
      <c r="F22" t="s">
        <v>34</v>
      </c>
      <c r="G22" t="s">
        <v>35</v>
      </c>
      <c r="H22">
        <v>63144</v>
      </c>
      <c r="I22" t="s">
        <v>79</v>
      </c>
      <c r="J22" t="s">
        <v>80</v>
      </c>
      <c r="K22" t="s">
        <v>81</v>
      </c>
      <c r="L22" t="s">
        <v>82</v>
      </c>
      <c r="M22" t="s">
        <v>35</v>
      </c>
      <c r="N22">
        <v>63965</v>
      </c>
      <c r="O22" t="s">
        <v>36</v>
      </c>
      <c r="P22" t="s">
        <v>83</v>
      </c>
      <c r="Q22" t="s">
        <v>38</v>
      </c>
      <c r="R22">
        <v>415630</v>
      </c>
      <c r="S22" t="s">
        <v>84</v>
      </c>
      <c r="T22" s="2">
        <v>2</v>
      </c>
      <c r="U22">
        <v>0</v>
      </c>
      <c r="V22" t="s">
        <v>85</v>
      </c>
      <c r="W22">
        <v>0</v>
      </c>
      <c r="X22">
        <v>0</v>
      </c>
      <c r="Y22">
        <v>0</v>
      </c>
      <c r="Z22" t="s">
        <v>88</v>
      </c>
      <c r="AA22" t="s">
        <v>89</v>
      </c>
      <c r="AB22" t="s">
        <v>10</v>
      </c>
      <c r="AC22">
        <v>0</v>
      </c>
      <c r="AD22">
        <v>0</v>
      </c>
      <c r="AE22">
        <v>726182084380</v>
      </c>
      <c r="AF22">
        <v>129.07</v>
      </c>
      <c r="AG22">
        <v>0</v>
      </c>
      <c r="AH22">
        <v>25.7</v>
      </c>
      <c r="AI22">
        <v>154.77000000000001</v>
      </c>
      <c r="AJ22" t="s">
        <v>2</v>
      </c>
      <c r="AK22" t="s">
        <v>11</v>
      </c>
    </row>
    <row r="23" spans="1:37">
      <c r="A23">
        <v>257653</v>
      </c>
      <c r="B23" s="1">
        <v>45366</v>
      </c>
      <c r="C23" t="s">
        <v>32</v>
      </c>
      <c r="D23" t="s">
        <v>33</v>
      </c>
      <c r="E23" t="s">
        <v>2</v>
      </c>
      <c r="F23" t="s">
        <v>34</v>
      </c>
      <c r="G23" t="s">
        <v>35</v>
      </c>
      <c r="H23">
        <v>63144</v>
      </c>
      <c r="I23" t="s">
        <v>79</v>
      </c>
      <c r="J23" t="s">
        <v>80</v>
      </c>
      <c r="K23" t="s">
        <v>81</v>
      </c>
      <c r="L23" t="s">
        <v>82</v>
      </c>
      <c r="M23" t="s">
        <v>35</v>
      </c>
      <c r="N23">
        <v>63965</v>
      </c>
      <c r="O23" t="s">
        <v>36</v>
      </c>
      <c r="P23" t="s">
        <v>83</v>
      </c>
      <c r="Q23" t="s">
        <v>38</v>
      </c>
      <c r="R23">
        <v>415630</v>
      </c>
      <c r="S23" t="s">
        <v>84</v>
      </c>
      <c r="T23" s="2">
        <v>2</v>
      </c>
      <c r="U23">
        <v>0</v>
      </c>
      <c r="V23" t="s">
        <v>85</v>
      </c>
      <c r="W23">
        <v>0</v>
      </c>
      <c r="X23">
        <v>0</v>
      </c>
      <c r="Y23">
        <v>0</v>
      </c>
      <c r="Z23" t="s">
        <v>88</v>
      </c>
      <c r="AA23" t="s">
        <v>90</v>
      </c>
      <c r="AB23" t="s">
        <v>10</v>
      </c>
      <c r="AC23">
        <v>0</v>
      </c>
      <c r="AD23">
        <v>0</v>
      </c>
      <c r="AE23">
        <v>726182084380</v>
      </c>
      <c r="AF23">
        <v>129.07</v>
      </c>
      <c r="AG23">
        <v>0</v>
      </c>
      <c r="AH23">
        <v>25.7</v>
      </c>
      <c r="AI23">
        <v>154.77000000000001</v>
      </c>
      <c r="AJ23" t="s">
        <v>2</v>
      </c>
      <c r="AK23" t="s">
        <v>11</v>
      </c>
    </row>
    <row r="24" spans="1:37">
      <c r="A24">
        <v>257653</v>
      </c>
      <c r="B24" s="1">
        <v>45366</v>
      </c>
      <c r="C24" t="s">
        <v>32</v>
      </c>
      <c r="D24" t="s">
        <v>33</v>
      </c>
      <c r="E24" t="s">
        <v>2</v>
      </c>
      <c r="F24" t="s">
        <v>34</v>
      </c>
      <c r="G24" t="s">
        <v>35</v>
      </c>
      <c r="H24">
        <v>63144</v>
      </c>
      <c r="I24" t="s">
        <v>79</v>
      </c>
      <c r="J24" t="s">
        <v>80</v>
      </c>
      <c r="K24" t="s">
        <v>81</v>
      </c>
      <c r="L24" t="s">
        <v>82</v>
      </c>
      <c r="M24" t="s">
        <v>35</v>
      </c>
      <c r="N24">
        <v>63965</v>
      </c>
      <c r="O24" t="s">
        <v>36</v>
      </c>
      <c r="P24" t="s">
        <v>83</v>
      </c>
      <c r="Q24" t="s">
        <v>38</v>
      </c>
      <c r="R24">
        <v>415630</v>
      </c>
      <c r="S24" t="s">
        <v>84</v>
      </c>
      <c r="T24" s="2">
        <v>2</v>
      </c>
      <c r="U24">
        <v>0</v>
      </c>
      <c r="V24" t="s">
        <v>85</v>
      </c>
      <c r="W24">
        <v>0</v>
      </c>
      <c r="X24">
        <v>0</v>
      </c>
      <c r="Y24">
        <v>0</v>
      </c>
      <c r="Z24" t="s">
        <v>88</v>
      </c>
      <c r="AA24" t="s">
        <v>91</v>
      </c>
      <c r="AB24" t="s">
        <v>10</v>
      </c>
      <c r="AC24">
        <v>0</v>
      </c>
      <c r="AD24">
        <v>0</v>
      </c>
      <c r="AE24">
        <v>726182084380</v>
      </c>
      <c r="AF24">
        <v>129.07</v>
      </c>
      <c r="AG24">
        <v>0</v>
      </c>
      <c r="AH24">
        <v>25.7</v>
      </c>
      <c r="AI24">
        <v>154.77000000000001</v>
      </c>
      <c r="AJ24" t="s">
        <v>2</v>
      </c>
      <c r="AK24" t="s">
        <v>11</v>
      </c>
    </row>
    <row r="25" spans="1:37">
      <c r="A25">
        <v>257653</v>
      </c>
      <c r="B25" s="1">
        <v>45366</v>
      </c>
      <c r="C25" t="s">
        <v>32</v>
      </c>
      <c r="D25" t="s">
        <v>33</v>
      </c>
      <c r="E25" t="s">
        <v>2</v>
      </c>
      <c r="F25" t="s">
        <v>34</v>
      </c>
      <c r="G25" t="s">
        <v>35</v>
      </c>
      <c r="H25">
        <v>63144</v>
      </c>
      <c r="I25" t="s">
        <v>79</v>
      </c>
      <c r="J25" t="s">
        <v>80</v>
      </c>
      <c r="K25" t="s">
        <v>81</v>
      </c>
      <c r="L25" t="s">
        <v>82</v>
      </c>
      <c r="M25" t="s">
        <v>35</v>
      </c>
      <c r="N25">
        <v>63965</v>
      </c>
      <c r="O25" t="s">
        <v>36</v>
      </c>
      <c r="P25" t="s">
        <v>83</v>
      </c>
      <c r="Q25" t="s">
        <v>38</v>
      </c>
      <c r="R25">
        <v>415630</v>
      </c>
      <c r="S25" t="s">
        <v>84</v>
      </c>
      <c r="T25" s="2">
        <v>2</v>
      </c>
      <c r="U25">
        <v>0</v>
      </c>
      <c r="V25" t="s">
        <v>85</v>
      </c>
      <c r="W25">
        <v>0</v>
      </c>
      <c r="X25">
        <v>0</v>
      </c>
      <c r="Y25">
        <v>0</v>
      </c>
      <c r="Z25" t="s">
        <v>88</v>
      </c>
      <c r="AA25" t="s">
        <v>92</v>
      </c>
      <c r="AB25" t="s">
        <v>10</v>
      </c>
      <c r="AC25">
        <v>0</v>
      </c>
      <c r="AD25">
        <v>0</v>
      </c>
      <c r="AE25">
        <v>726182084380</v>
      </c>
      <c r="AF25">
        <v>129.07</v>
      </c>
      <c r="AG25">
        <v>0</v>
      </c>
      <c r="AH25">
        <v>25.7</v>
      </c>
      <c r="AI25">
        <v>154.77000000000001</v>
      </c>
      <c r="AJ25" t="s">
        <v>2</v>
      </c>
      <c r="AK25" t="s">
        <v>11</v>
      </c>
    </row>
    <row r="26" spans="1:37">
      <c r="A26">
        <v>257653</v>
      </c>
      <c r="B26" s="1">
        <v>45366</v>
      </c>
      <c r="C26" t="s">
        <v>32</v>
      </c>
      <c r="D26" t="s">
        <v>33</v>
      </c>
      <c r="E26" t="s">
        <v>2</v>
      </c>
      <c r="F26" t="s">
        <v>34</v>
      </c>
      <c r="G26" t="s">
        <v>35</v>
      </c>
      <c r="H26">
        <v>63144</v>
      </c>
      <c r="I26" t="s">
        <v>79</v>
      </c>
      <c r="J26" t="s">
        <v>80</v>
      </c>
      <c r="K26" t="s">
        <v>81</v>
      </c>
      <c r="L26" t="s">
        <v>82</v>
      </c>
      <c r="M26" t="s">
        <v>35</v>
      </c>
      <c r="N26">
        <v>63965</v>
      </c>
      <c r="O26" t="s">
        <v>36</v>
      </c>
      <c r="P26" t="s">
        <v>83</v>
      </c>
      <c r="Q26" t="s">
        <v>38</v>
      </c>
      <c r="R26">
        <v>415630</v>
      </c>
      <c r="S26" t="s">
        <v>84</v>
      </c>
      <c r="T26" s="2">
        <v>2</v>
      </c>
      <c r="U26">
        <v>0</v>
      </c>
      <c r="V26" t="s">
        <v>85</v>
      </c>
      <c r="W26">
        <v>0</v>
      </c>
      <c r="X26">
        <v>0</v>
      </c>
      <c r="Y26">
        <v>0</v>
      </c>
      <c r="Z26" t="s">
        <v>88</v>
      </c>
      <c r="AA26" t="s">
        <v>90</v>
      </c>
      <c r="AB26" t="s">
        <v>10</v>
      </c>
      <c r="AC26">
        <v>0</v>
      </c>
      <c r="AD26">
        <v>0</v>
      </c>
      <c r="AE26">
        <v>726182084380</v>
      </c>
      <c r="AF26">
        <v>129.07</v>
      </c>
      <c r="AG26">
        <v>0</v>
      </c>
      <c r="AH26">
        <v>25.7</v>
      </c>
      <c r="AI26">
        <v>154.77000000000001</v>
      </c>
      <c r="AJ26" t="s">
        <v>2</v>
      </c>
      <c r="AK26" t="s">
        <v>11</v>
      </c>
    </row>
    <row r="27" spans="1:37">
      <c r="A27">
        <v>257653</v>
      </c>
      <c r="B27" s="1">
        <v>45366</v>
      </c>
      <c r="C27" t="s">
        <v>32</v>
      </c>
      <c r="D27" t="s">
        <v>33</v>
      </c>
      <c r="E27" t="s">
        <v>2</v>
      </c>
      <c r="F27" t="s">
        <v>34</v>
      </c>
      <c r="G27" t="s">
        <v>35</v>
      </c>
      <c r="H27">
        <v>63144</v>
      </c>
      <c r="I27" t="s">
        <v>79</v>
      </c>
      <c r="J27" t="s">
        <v>80</v>
      </c>
      <c r="K27" t="s">
        <v>81</v>
      </c>
      <c r="L27" t="s">
        <v>82</v>
      </c>
      <c r="M27" t="s">
        <v>35</v>
      </c>
      <c r="N27">
        <v>63965</v>
      </c>
      <c r="O27" t="s">
        <v>36</v>
      </c>
      <c r="P27" t="s">
        <v>83</v>
      </c>
      <c r="Q27" t="s">
        <v>38</v>
      </c>
      <c r="R27">
        <v>415630</v>
      </c>
      <c r="S27" t="s">
        <v>84</v>
      </c>
      <c r="T27" s="2">
        <v>2</v>
      </c>
      <c r="U27">
        <v>0</v>
      </c>
      <c r="V27" t="s">
        <v>85</v>
      </c>
      <c r="W27">
        <v>1</v>
      </c>
      <c r="X27">
        <v>1</v>
      </c>
      <c r="Y27">
        <v>0</v>
      </c>
      <c r="Z27" t="s">
        <v>93</v>
      </c>
      <c r="AA27" t="s">
        <v>94</v>
      </c>
      <c r="AB27" t="s">
        <v>14</v>
      </c>
      <c r="AC27">
        <v>4.51</v>
      </c>
      <c r="AD27">
        <v>4.51</v>
      </c>
      <c r="AE27">
        <v>726182084380</v>
      </c>
      <c r="AF27">
        <v>129.07</v>
      </c>
      <c r="AG27">
        <v>0</v>
      </c>
      <c r="AH27">
        <v>25.7</v>
      </c>
      <c r="AI27">
        <v>154.77000000000001</v>
      </c>
      <c r="AJ27" t="s">
        <v>2</v>
      </c>
      <c r="AK27" t="s">
        <v>11</v>
      </c>
    </row>
    <row r="28" spans="1:37">
      <c r="A28">
        <v>257654</v>
      </c>
      <c r="B28" s="1">
        <v>45366</v>
      </c>
      <c r="C28" t="s">
        <v>95</v>
      </c>
      <c r="D28" t="s">
        <v>96</v>
      </c>
      <c r="E28" t="s">
        <v>2</v>
      </c>
      <c r="F28" t="s">
        <v>97</v>
      </c>
      <c r="G28" t="s">
        <v>98</v>
      </c>
      <c r="H28">
        <v>39232</v>
      </c>
      <c r="I28" t="s">
        <v>99</v>
      </c>
      <c r="J28" t="s">
        <v>100</v>
      </c>
      <c r="K28" t="s">
        <v>101</v>
      </c>
      <c r="L28" t="s">
        <v>102</v>
      </c>
      <c r="M28" t="s">
        <v>103</v>
      </c>
      <c r="N28">
        <v>13045</v>
      </c>
      <c r="O28" t="s">
        <v>104</v>
      </c>
      <c r="P28">
        <v>150339</v>
      </c>
      <c r="Q28" t="s">
        <v>38</v>
      </c>
      <c r="R28">
        <v>415609</v>
      </c>
      <c r="S28" t="s">
        <v>84</v>
      </c>
      <c r="T28" s="2">
        <v>2</v>
      </c>
      <c r="U28">
        <v>0</v>
      </c>
      <c r="V28" t="s">
        <v>85</v>
      </c>
      <c r="W28">
        <v>0</v>
      </c>
      <c r="X28">
        <v>0</v>
      </c>
      <c r="Y28">
        <v>0</v>
      </c>
      <c r="Z28" t="s">
        <v>9</v>
      </c>
      <c r="AA28" t="s">
        <v>2</v>
      </c>
      <c r="AB28" t="s">
        <v>10</v>
      </c>
      <c r="AC28">
        <v>0</v>
      </c>
      <c r="AD28">
        <v>0</v>
      </c>
      <c r="AE28">
        <v>726182084369</v>
      </c>
      <c r="AF28">
        <v>395.83</v>
      </c>
      <c r="AG28">
        <v>0</v>
      </c>
      <c r="AH28">
        <v>28.78</v>
      </c>
      <c r="AI28">
        <v>424.61</v>
      </c>
      <c r="AJ28" t="s">
        <v>2</v>
      </c>
      <c r="AK28" t="s">
        <v>11</v>
      </c>
    </row>
    <row r="29" spans="1:37">
      <c r="A29">
        <v>257654</v>
      </c>
      <c r="B29" s="1">
        <v>45366</v>
      </c>
      <c r="C29" t="s">
        <v>95</v>
      </c>
      <c r="D29" t="s">
        <v>96</v>
      </c>
      <c r="E29" t="s">
        <v>2</v>
      </c>
      <c r="F29" t="s">
        <v>97</v>
      </c>
      <c r="G29" t="s">
        <v>98</v>
      </c>
      <c r="H29">
        <v>39232</v>
      </c>
      <c r="I29" t="s">
        <v>99</v>
      </c>
      <c r="J29" t="s">
        <v>100</v>
      </c>
      <c r="K29" t="s">
        <v>101</v>
      </c>
      <c r="L29" t="s">
        <v>102</v>
      </c>
      <c r="M29" t="s">
        <v>103</v>
      </c>
      <c r="N29">
        <v>13045</v>
      </c>
      <c r="O29" t="s">
        <v>104</v>
      </c>
      <c r="P29">
        <v>150339</v>
      </c>
      <c r="Q29" t="s">
        <v>38</v>
      </c>
      <c r="R29">
        <v>415609</v>
      </c>
      <c r="S29" t="s">
        <v>84</v>
      </c>
      <c r="T29" s="2">
        <v>2</v>
      </c>
      <c r="U29">
        <v>0</v>
      </c>
      <c r="V29" t="s">
        <v>85</v>
      </c>
      <c r="W29">
        <v>1</v>
      </c>
      <c r="X29">
        <v>1</v>
      </c>
      <c r="Y29">
        <v>0</v>
      </c>
      <c r="Z29" t="s">
        <v>105</v>
      </c>
      <c r="AA29" t="s">
        <v>106</v>
      </c>
      <c r="AB29" t="s">
        <v>14</v>
      </c>
      <c r="AC29">
        <v>394.9692</v>
      </c>
      <c r="AD29">
        <v>394.97</v>
      </c>
      <c r="AE29">
        <v>726182084369</v>
      </c>
      <c r="AF29">
        <v>395.83</v>
      </c>
      <c r="AG29">
        <v>0</v>
      </c>
      <c r="AH29">
        <v>28.78</v>
      </c>
      <c r="AI29">
        <v>424.61</v>
      </c>
      <c r="AJ29" t="s">
        <v>2</v>
      </c>
      <c r="AK29" t="s">
        <v>11</v>
      </c>
    </row>
    <row r="30" spans="1:37">
      <c r="A30">
        <v>257654</v>
      </c>
      <c r="B30" s="1">
        <v>45366</v>
      </c>
      <c r="C30" t="s">
        <v>95</v>
      </c>
      <c r="D30" t="s">
        <v>96</v>
      </c>
      <c r="E30" t="s">
        <v>2</v>
      </c>
      <c r="F30" t="s">
        <v>97</v>
      </c>
      <c r="G30" t="s">
        <v>98</v>
      </c>
      <c r="H30">
        <v>39232</v>
      </c>
      <c r="I30" t="s">
        <v>99</v>
      </c>
      <c r="J30" t="s">
        <v>100</v>
      </c>
      <c r="K30" t="s">
        <v>101</v>
      </c>
      <c r="L30" t="s">
        <v>102</v>
      </c>
      <c r="M30" t="s">
        <v>103</v>
      </c>
      <c r="N30">
        <v>13045</v>
      </c>
      <c r="O30" t="s">
        <v>104</v>
      </c>
      <c r="P30">
        <v>150339</v>
      </c>
      <c r="Q30" t="s">
        <v>38</v>
      </c>
      <c r="R30">
        <v>415609</v>
      </c>
      <c r="S30" t="s">
        <v>84</v>
      </c>
      <c r="T30" s="2">
        <v>2</v>
      </c>
      <c r="U30">
        <v>0</v>
      </c>
      <c r="V30" t="s">
        <v>85</v>
      </c>
      <c r="W30">
        <v>0</v>
      </c>
      <c r="X30">
        <v>0</v>
      </c>
      <c r="Y30">
        <v>0</v>
      </c>
      <c r="Z30" t="s">
        <v>88</v>
      </c>
      <c r="AA30" t="s">
        <v>107</v>
      </c>
      <c r="AB30" t="s">
        <v>10</v>
      </c>
      <c r="AC30">
        <v>0</v>
      </c>
      <c r="AD30">
        <v>0</v>
      </c>
      <c r="AE30">
        <v>726182084369</v>
      </c>
      <c r="AF30">
        <v>395.83</v>
      </c>
      <c r="AG30">
        <v>0</v>
      </c>
      <c r="AH30">
        <v>28.78</v>
      </c>
      <c r="AI30">
        <v>424.61</v>
      </c>
      <c r="AJ30" t="s">
        <v>2</v>
      </c>
      <c r="AK30" t="s">
        <v>11</v>
      </c>
    </row>
    <row r="31" spans="1:37">
      <c r="A31">
        <v>257654</v>
      </c>
      <c r="B31" s="1">
        <v>45366</v>
      </c>
      <c r="C31" t="s">
        <v>95</v>
      </c>
      <c r="D31" t="s">
        <v>96</v>
      </c>
      <c r="E31" t="s">
        <v>2</v>
      </c>
      <c r="F31" t="s">
        <v>97</v>
      </c>
      <c r="G31" t="s">
        <v>98</v>
      </c>
      <c r="H31">
        <v>39232</v>
      </c>
      <c r="I31" t="s">
        <v>99</v>
      </c>
      <c r="J31" t="s">
        <v>100</v>
      </c>
      <c r="K31" t="s">
        <v>101</v>
      </c>
      <c r="L31" t="s">
        <v>102</v>
      </c>
      <c r="M31" t="s">
        <v>103</v>
      </c>
      <c r="N31">
        <v>13045</v>
      </c>
      <c r="O31" t="s">
        <v>104</v>
      </c>
      <c r="P31">
        <v>150339</v>
      </c>
      <c r="Q31" t="s">
        <v>38</v>
      </c>
      <c r="R31">
        <v>415609</v>
      </c>
      <c r="S31" t="s">
        <v>84</v>
      </c>
      <c r="T31" s="2">
        <v>2</v>
      </c>
      <c r="U31">
        <v>0</v>
      </c>
      <c r="V31" t="s">
        <v>85</v>
      </c>
      <c r="W31">
        <v>0</v>
      </c>
      <c r="X31">
        <v>0</v>
      </c>
      <c r="Y31">
        <v>0</v>
      </c>
      <c r="Z31" t="s">
        <v>88</v>
      </c>
      <c r="AA31" t="s">
        <v>90</v>
      </c>
      <c r="AB31" t="s">
        <v>10</v>
      </c>
      <c r="AC31">
        <v>0</v>
      </c>
      <c r="AD31">
        <v>0</v>
      </c>
      <c r="AE31">
        <v>726182084369</v>
      </c>
      <c r="AF31">
        <v>395.83</v>
      </c>
      <c r="AG31">
        <v>0</v>
      </c>
      <c r="AH31">
        <v>28.78</v>
      </c>
      <c r="AI31">
        <v>424.61</v>
      </c>
      <c r="AJ31" t="s">
        <v>2</v>
      </c>
      <c r="AK31" t="s">
        <v>11</v>
      </c>
    </row>
    <row r="32" spans="1:37">
      <c r="A32">
        <v>257654</v>
      </c>
      <c r="B32" s="1">
        <v>45366</v>
      </c>
      <c r="C32" t="s">
        <v>95</v>
      </c>
      <c r="D32" t="s">
        <v>96</v>
      </c>
      <c r="E32" t="s">
        <v>2</v>
      </c>
      <c r="F32" t="s">
        <v>97</v>
      </c>
      <c r="G32" t="s">
        <v>98</v>
      </c>
      <c r="H32">
        <v>39232</v>
      </c>
      <c r="I32" t="s">
        <v>99</v>
      </c>
      <c r="J32" t="s">
        <v>100</v>
      </c>
      <c r="K32" t="s">
        <v>101</v>
      </c>
      <c r="L32" t="s">
        <v>102</v>
      </c>
      <c r="M32" t="s">
        <v>103</v>
      </c>
      <c r="N32">
        <v>13045</v>
      </c>
      <c r="O32" t="s">
        <v>104</v>
      </c>
      <c r="P32">
        <v>150339</v>
      </c>
      <c r="Q32" t="s">
        <v>38</v>
      </c>
      <c r="R32">
        <v>415609</v>
      </c>
      <c r="S32" t="s">
        <v>84</v>
      </c>
      <c r="T32" s="2">
        <v>2</v>
      </c>
      <c r="U32">
        <v>0</v>
      </c>
      <c r="V32" t="s">
        <v>85</v>
      </c>
      <c r="W32">
        <v>0</v>
      </c>
      <c r="X32">
        <v>0</v>
      </c>
      <c r="Y32">
        <v>0</v>
      </c>
      <c r="Z32" t="s">
        <v>88</v>
      </c>
      <c r="AA32" t="s">
        <v>91</v>
      </c>
      <c r="AB32" t="s">
        <v>10</v>
      </c>
      <c r="AC32">
        <v>0</v>
      </c>
      <c r="AD32">
        <v>0</v>
      </c>
      <c r="AE32">
        <v>726182084369</v>
      </c>
      <c r="AF32">
        <v>395.83</v>
      </c>
      <c r="AG32">
        <v>0</v>
      </c>
      <c r="AH32">
        <v>28.78</v>
      </c>
      <c r="AI32">
        <v>424.61</v>
      </c>
      <c r="AJ32" t="s">
        <v>2</v>
      </c>
      <c r="AK32" t="s">
        <v>11</v>
      </c>
    </row>
    <row r="33" spans="1:37">
      <c r="A33">
        <v>257654</v>
      </c>
      <c r="B33" s="1">
        <v>45366</v>
      </c>
      <c r="C33" t="s">
        <v>95</v>
      </c>
      <c r="D33" t="s">
        <v>96</v>
      </c>
      <c r="E33" t="s">
        <v>2</v>
      </c>
      <c r="F33" t="s">
        <v>97</v>
      </c>
      <c r="G33" t="s">
        <v>98</v>
      </c>
      <c r="H33">
        <v>39232</v>
      </c>
      <c r="I33" t="s">
        <v>99</v>
      </c>
      <c r="J33" t="s">
        <v>100</v>
      </c>
      <c r="K33" t="s">
        <v>101</v>
      </c>
      <c r="L33" t="s">
        <v>102</v>
      </c>
      <c r="M33" t="s">
        <v>103</v>
      </c>
      <c r="N33">
        <v>13045</v>
      </c>
      <c r="O33" t="s">
        <v>104</v>
      </c>
      <c r="P33">
        <v>150339</v>
      </c>
      <c r="Q33" t="s">
        <v>38</v>
      </c>
      <c r="R33">
        <v>415609</v>
      </c>
      <c r="S33" t="s">
        <v>84</v>
      </c>
      <c r="T33" s="2">
        <v>2</v>
      </c>
      <c r="U33">
        <v>0</v>
      </c>
      <c r="V33" t="s">
        <v>85</v>
      </c>
      <c r="W33">
        <v>0</v>
      </c>
      <c r="X33">
        <v>0</v>
      </c>
      <c r="Y33">
        <v>0</v>
      </c>
      <c r="Z33" t="s">
        <v>88</v>
      </c>
      <c r="AA33" t="s">
        <v>92</v>
      </c>
      <c r="AB33" t="s">
        <v>10</v>
      </c>
      <c r="AC33">
        <v>0</v>
      </c>
      <c r="AD33">
        <v>0</v>
      </c>
      <c r="AE33">
        <v>726182084369</v>
      </c>
      <c r="AF33">
        <v>395.83</v>
      </c>
      <c r="AG33">
        <v>0</v>
      </c>
      <c r="AH33">
        <v>28.78</v>
      </c>
      <c r="AI33">
        <v>424.61</v>
      </c>
      <c r="AJ33" t="s">
        <v>2</v>
      </c>
      <c r="AK33" t="s">
        <v>11</v>
      </c>
    </row>
    <row r="34" spans="1:37">
      <c r="A34">
        <v>257654</v>
      </c>
      <c r="B34" s="1">
        <v>45366</v>
      </c>
      <c r="C34" t="s">
        <v>95</v>
      </c>
      <c r="D34" t="s">
        <v>96</v>
      </c>
      <c r="E34" t="s">
        <v>2</v>
      </c>
      <c r="F34" t="s">
        <v>97</v>
      </c>
      <c r="G34" t="s">
        <v>98</v>
      </c>
      <c r="H34">
        <v>39232</v>
      </c>
      <c r="I34" t="s">
        <v>99</v>
      </c>
      <c r="J34" t="s">
        <v>100</v>
      </c>
      <c r="K34" t="s">
        <v>101</v>
      </c>
      <c r="L34" t="s">
        <v>102</v>
      </c>
      <c r="M34" t="s">
        <v>103</v>
      </c>
      <c r="N34">
        <v>13045</v>
      </c>
      <c r="O34" t="s">
        <v>104</v>
      </c>
      <c r="P34">
        <v>150339</v>
      </c>
      <c r="Q34" t="s">
        <v>38</v>
      </c>
      <c r="R34">
        <v>415609</v>
      </c>
      <c r="S34" t="s">
        <v>84</v>
      </c>
      <c r="T34" s="2">
        <v>2</v>
      </c>
      <c r="U34">
        <v>0</v>
      </c>
      <c r="V34" t="s">
        <v>85</v>
      </c>
      <c r="W34">
        <v>0</v>
      </c>
      <c r="X34">
        <v>0</v>
      </c>
      <c r="Y34">
        <v>0</v>
      </c>
      <c r="Z34" t="s">
        <v>88</v>
      </c>
      <c r="AA34" t="s">
        <v>90</v>
      </c>
      <c r="AB34" t="s">
        <v>10</v>
      </c>
      <c r="AC34">
        <v>0</v>
      </c>
      <c r="AD34">
        <v>0</v>
      </c>
      <c r="AE34">
        <v>726182084369</v>
      </c>
      <c r="AF34">
        <v>395.83</v>
      </c>
      <c r="AG34">
        <v>0</v>
      </c>
      <c r="AH34">
        <v>28.78</v>
      </c>
      <c r="AI34">
        <v>424.61</v>
      </c>
      <c r="AJ34" t="s">
        <v>2</v>
      </c>
      <c r="AK34" t="s">
        <v>11</v>
      </c>
    </row>
    <row r="35" spans="1:37">
      <c r="A35">
        <v>257654</v>
      </c>
      <c r="B35" s="1">
        <v>45366</v>
      </c>
      <c r="C35" t="s">
        <v>95</v>
      </c>
      <c r="D35" t="s">
        <v>96</v>
      </c>
      <c r="E35" t="s">
        <v>2</v>
      </c>
      <c r="F35" t="s">
        <v>97</v>
      </c>
      <c r="G35" t="s">
        <v>98</v>
      </c>
      <c r="H35">
        <v>39232</v>
      </c>
      <c r="I35" t="s">
        <v>99</v>
      </c>
      <c r="J35" t="s">
        <v>100</v>
      </c>
      <c r="K35" t="s">
        <v>101</v>
      </c>
      <c r="L35" t="s">
        <v>102</v>
      </c>
      <c r="M35" t="s">
        <v>103</v>
      </c>
      <c r="N35">
        <v>13045</v>
      </c>
      <c r="O35" t="s">
        <v>104</v>
      </c>
      <c r="P35">
        <v>150339</v>
      </c>
      <c r="Q35" t="s">
        <v>38</v>
      </c>
      <c r="R35">
        <v>415609</v>
      </c>
      <c r="S35" t="s">
        <v>84</v>
      </c>
      <c r="T35" s="2">
        <v>2</v>
      </c>
      <c r="U35">
        <v>0</v>
      </c>
      <c r="V35" t="s">
        <v>85</v>
      </c>
      <c r="W35">
        <v>1</v>
      </c>
      <c r="X35">
        <v>1</v>
      </c>
      <c r="Y35">
        <v>0</v>
      </c>
      <c r="Z35" t="s">
        <v>93</v>
      </c>
      <c r="AA35" t="s">
        <v>94</v>
      </c>
      <c r="AB35" t="s">
        <v>14</v>
      </c>
      <c r="AC35">
        <v>0.86</v>
      </c>
      <c r="AD35">
        <v>0.86</v>
      </c>
      <c r="AE35">
        <v>726182084369</v>
      </c>
      <c r="AF35">
        <v>395.83</v>
      </c>
      <c r="AG35">
        <v>0</v>
      </c>
      <c r="AH35">
        <v>28.78</v>
      </c>
      <c r="AI35">
        <v>424.61</v>
      </c>
      <c r="AJ35" t="s">
        <v>2</v>
      </c>
      <c r="AK35" t="s">
        <v>11</v>
      </c>
    </row>
    <row r="36" spans="1:37">
      <c r="A36">
        <v>257655</v>
      </c>
      <c r="B36" s="1">
        <v>45366</v>
      </c>
      <c r="C36" t="s">
        <v>108</v>
      </c>
      <c r="D36" t="s">
        <v>109</v>
      </c>
      <c r="E36" t="s">
        <v>2</v>
      </c>
      <c r="F36" t="s">
        <v>110</v>
      </c>
      <c r="G36" t="s">
        <v>103</v>
      </c>
      <c r="H36">
        <v>13424</v>
      </c>
      <c r="I36" t="s">
        <v>111</v>
      </c>
      <c r="J36" t="s">
        <v>112</v>
      </c>
      <c r="K36" t="s">
        <v>2</v>
      </c>
      <c r="L36" t="s">
        <v>110</v>
      </c>
      <c r="M36" t="s">
        <v>103</v>
      </c>
      <c r="N36">
        <v>13424</v>
      </c>
      <c r="O36" t="s">
        <v>113</v>
      </c>
      <c r="P36">
        <v>752</v>
      </c>
      <c r="Q36" t="s">
        <v>21</v>
      </c>
      <c r="R36">
        <v>412553</v>
      </c>
      <c r="S36" t="s">
        <v>84</v>
      </c>
      <c r="T36" s="2">
        <v>3</v>
      </c>
      <c r="U36">
        <v>0</v>
      </c>
      <c r="V36" t="s">
        <v>85</v>
      </c>
      <c r="W36">
        <v>0</v>
      </c>
      <c r="X36">
        <v>0</v>
      </c>
      <c r="Y36">
        <v>0</v>
      </c>
      <c r="Z36" t="s">
        <v>9</v>
      </c>
      <c r="AA36" t="s">
        <v>2</v>
      </c>
      <c r="AB36" t="s">
        <v>10</v>
      </c>
      <c r="AC36">
        <v>0</v>
      </c>
      <c r="AD36">
        <v>0</v>
      </c>
      <c r="AE36">
        <v>726182083580</v>
      </c>
      <c r="AF36">
        <v>722.68</v>
      </c>
      <c r="AG36">
        <v>0</v>
      </c>
      <c r="AH36">
        <v>26.33</v>
      </c>
      <c r="AI36">
        <v>749.01</v>
      </c>
      <c r="AJ36" t="s">
        <v>2</v>
      </c>
      <c r="AK36" t="s">
        <v>11</v>
      </c>
    </row>
    <row r="37" spans="1:37">
      <c r="A37">
        <v>257655</v>
      </c>
      <c r="B37" s="1">
        <v>45366</v>
      </c>
      <c r="C37" t="s">
        <v>108</v>
      </c>
      <c r="D37" t="s">
        <v>109</v>
      </c>
      <c r="E37" t="s">
        <v>2</v>
      </c>
      <c r="F37" t="s">
        <v>110</v>
      </c>
      <c r="G37" t="s">
        <v>103</v>
      </c>
      <c r="H37">
        <v>13424</v>
      </c>
      <c r="I37" t="s">
        <v>111</v>
      </c>
      <c r="J37" t="s">
        <v>112</v>
      </c>
      <c r="K37" t="s">
        <v>2</v>
      </c>
      <c r="L37" t="s">
        <v>110</v>
      </c>
      <c r="M37" t="s">
        <v>103</v>
      </c>
      <c r="N37">
        <v>13424</v>
      </c>
      <c r="O37" t="s">
        <v>113</v>
      </c>
      <c r="P37">
        <v>752</v>
      </c>
      <c r="Q37" t="s">
        <v>21</v>
      </c>
      <c r="R37">
        <v>412553</v>
      </c>
      <c r="S37" t="s">
        <v>84</v>
      </c>
      <c r="T37" s="2">
        <v>3</v>
      </c>
      <c r="U37">
        <v>0</v>
      </c>
      <c r="V37" t="s">
        <v>85</v>
      </c>
      <c r="W37">
        <v>2</v>
      </c>
      <c r="X37">
        <v>2</v>
      </c>
      <c r="Y37">
        <v>0</v>
      </c>
      <c r="Z37" t="s">
        <v>114</v>
      </c>
      <c r="AA37" t="s">
        <v>115</v>
      </c>
      <c r="AB37" t="s">
        <v>14</v>
      </c>
      <c r="AC37">
        <v>350.43</v>
      </c>
      <c r="AD37">
        <v>700.86</v>
      </c>
      <c r="AE37">
        <v>726182083580</v>
      </c>
      <c r="AF37">
        <v>722.68</v>
      </c>
      <c r="AG37">
        <v>0</v>
      </c>
      <c r="AH37">
        <v>26.33</v>
      </c>
      <c r="AI37">
        <v>749.01</v>
      </c>
      <c r="AJ37" t="s">
        <v>2</v>
      </c>
      <c r="AK37" t="s">
        <v>11</v>
      </c>
    </row>
    <row r="38" spans="1:37">
      <c r="A38">
        <v>257655</v>
      </c>
      <c r="B38" s="1">
        <v>45366</v>
      </c>
      <c r="C38" t="s">
        <v>108</v>
      </c>
      <c r="D38" t="s">
        <v>109</v>
      </c>
      <c r="E38" t="s">
        <v>2</v>
      </c>
      <c r="F38" t="s">
        <v>110</v>
      </c>
      <c r="G38" t="s">
        <v>103</v>
      </c>
      <c r="H38">
        <v>13424</v>
      </c>
      <c r="I38" t="s">
        <v>111</v>
      </c>
      <c r="J38" t="s">
        <v>112</v>
      </c>
      <c r="K38" t="s">
        <v>2</v>
      </c>
      <c r="L38" t="s">
        <v>110</v>
      </c>
      <c r="M38" t="s">
        <v>103</v>
      </c>
      <c r="N38">
        <v>13424</v>
      </c>
      <c r="O38" t="s">
        <v>113</v>
      </c>
      <c r="P38">
        <v>752</v>
      </c>
      <c r="Q38" t="s">
        <v>21</v>
      </c>
      <c r="R38">
        <v>412553</v>
      </c>
      <c r="S38" t="s">
        <v>84</v>
      </c>
      <c r="T38" s="2">
        <v>3</v>
      </c>
      <c r="U38">
        <v>0</v>
      </c>
      <c r="V38" t="s">
        <v>85</v>
      </c>
      <c r="W38">
        <v>0</v>
      </c>
      <c r="X38">
        <v>0</v>
      </c>
      <c r="Y38">
        <v>0</v>
      </c>
      <c r="Z38" t="s">
        <v>88</v>
      </c>
      <c r="AA38" t="s">
        <v>116</v>
      </c>
      <c r="AB38" t="s">
        <v>10</v>
      </c>
      <c r="AC38">
        <v>0</v>
      </c>
      <c r="AD38">
        <v>0</v>
      </c>
      <c r="AE38">
        <v>726182083580</v>
      </c>
      <c r="AF38">
        <v>722.68</v>
      </c>
      <c r="AG38">
        <v>0</v>
      </c>
      <c r="AH38">
        <v>26.33</v>
      </c>
      <c r="AI38">
        <v>749.01</v>
      </c>
      <c r="AJ38" t="s">
        <v>2</v>
      </c>
      <c r="AK38" t="s">
        <v>11</v>
      </c>
    </row>
    <row r="39" spans="1:37">
      <c r="A39">
        <v>257655</v>
      </c>
      <c r="B39" s="1">
        <v>45366</v>
      </c>
      <c r="C39" t="s">
        <v>108</v>
      </c>
      <c r="D39" t="s">
        <v>109</v>
      </c>
      <c r="E39" t="s">
        <v>2</v>
      </c>
      <c r="F39" t="s">
        <v>110</v>
      </c>
      <c r="G39" t="s">
        <v>103</v>
      </c>
      <c r="H39">
        <v>13424</v>
      </c>
      <c r="I39" t="s">
        <v>111</v>
      </c>
      <c r="J39" t="s">
        <v>112</v>
      </c>
      <c r="K39" t="s">
        <v>2</v>
      </c>
      <c r="L39" t="s">
        <v>110</v>
      </c>
      <c r="M39" t="s">
        <v>103</v>
      </c>
      <c r="N39">
        <v>13424</v>
      </c>
      <c r="O39" t="s">
        <v>113</v>
      </c>
      <c r="P39">
        <v>752</v>
      </c>
      <c r="Q39" t="s">
        <v>21</v>
      </c>
      <c r="R39">
        <v>412553</v>
      </c>
      <c r="S39" t="s">
        <v>84</v>
      </c>
      <c r="T39" s="2">
        <v>3</v>
      </c>
      <c r="U39">
        <v>0</v>
      </c>
      <c r="V39" t="s">
        <v>85</v>
      </c>
      <c r="W39">
        <v>0</v>
      </c>
      <c r="X39">
        <v>0</v>
      </c>
      <c r="Y39">
        <v>0</v>
      </c>
      <c r="Z39" t="s">
        <v>88</v>
      </c>
      <c r="AA39" t="s">
        <v>2</v>
      </c>
      <c r="AB39" t="s">
        <v>10</v>
      </c>
      <c r="AC39">
        <v>0</v>
      </c>
      <c r="AD39">
        <v>0</v>
      </c>
      <c r="AE39">
        <v>726182083580</v>
      </c>
      <c r="AF39">
        <v>722.68</v>
      </c>
      <c r="AG39">
        <v>0</v>
      </c>
      <c r="AH39">
        <v>26.33</v>
      </c>
      <c r="AI39">
        <v>749.01</v>
      </c>
      <c r="AJ39" t="s">
        <v>2</v>
      </c>
      <c r="AK39" t="s">
        <v>11</v>
      </c>
    </row>
    <row r="40" spans="1:37">
      <c r="A40">
        <v>257655</v>
      </c>
      <c r="B40" s="1">
        <v>45366</v>
      </c>
      <c r="C40" t="s">
        <v>108</v>
      </c>
      <c r="D40" t="s">
        <v>109</v>
      </c>
      <c r="E40" t="s">
        <v>2</v>
      </c>
      <c r="F40" t="s">
        <v>110</v>
      </c>
      <c r="G40" t="s">
        <v>103</v>
      </c>
      <c r="H40">
        <v>13424</v>
      </c>
      <c r="I40" t="s">
        <v>111</v>
      </c>
      <c r="J40" t="s">
        <v>112</v>
      </c>
      <c r="K40" t="s">
        <v>2</v>
      </c>
      <c r="L40" t="s">
        <v>110</v>
      </c>
      <c r="M40" t="s">
        <v>103</v>
      </c>
      <c r="N40">
        <v>13424</v>
      </c>
      <c r="O40" t="s">
        <v>113</v>
      </c>
      <c r="P40">
        <v>752</v>
      </c>
      <c r="Q40" t="s">
        <v>21</v>
      </c>
      <c r="R40">
        <v>412553</v>
      </c>
      <c r="S40" t="s">
        <v>84</v>
      </c>
      <c r="T40" s="2">
        <v>3</v>
      </c>
      <c r="U40">
        <v>0</v>
      </c>
      <c r="V40" t="s">
        <v>85</v>
      </c>
      <c r="W40">
        <v>0</v>
      </c>
      <c r="X40">
        <v>0</v>
      </c>
      <c r="Y40">
        <v>0</v>
      </c>
      <c r="Z40" t="s">
        <v>88</v>
      </c>
      <c r="AA40" t="e">
        <f>-ALL STRIPING IS NON</f>
        <v>#NAME?</v>
      </c>
      <c r="AB40" t="s">
        <v>10</v>
      </c>
      <c r="AC40">
        <v>0</v>
      </c>
      <c r="AD40">
        <v>0</v>
      </c>
      <c r="AE40">
        <v>726182083580</v>
      </c>
      <c r="AF40">
        <v>722.68</v>
      </c>
      <c r="AG40">
        <v>0</v>
      </c>
      <c r="AH40">
        <v>26.33</v>
      </c>
      <c r="AI40">
        <v>749.01</v>
      </c>
      <c r="AJ40" t="s">
        <v>2</v>
      </c>
      <c r="AK40" t="s">
        <v>11</v>
      </c>
    </row>
    <row r="41" spans="1:37">
      <c r="A41">
        <v>257655</v>
      </c>
      <c r="B41" s="1">
        <v>45366</v>
      </c>
      <c r="C41" t="s">
        <v>108</v>
      </c>
      <c r="D41" t="s">
        <v>109</v>
      </c>
      <c r="E41" t="s">
        <v>2</v>
      </c>
      <c r="F41" t="s">
        <v>110</v>
      </c>
      <c r="G41" t="s">
        <v>103</v>
      </c>
      <c r="H41">
        <v>13424</v>
      </c>
      <c r="I41" t="s">
        <v>111</v>
      </c>
      <c r="J41" t="s">
        <v>112</v>
      </c>
      <c r="K41" t="s">
        <v>2</v>
      </c>
      <c r="L41" t="s">
        <v>110</v>
      </c>
      <c r="M41" t="s">
        <v>103</v>
      </c>
      <c r="N41">
        <v>13424</v>
      </c>
      <c r="O41" t="s">
        <v>113</v>
      </c>
      <c r="P41">
        <v>752</v>
      </c>
      <c r="Q41" t="s">
        <v>21</v>
      </c>
      <c r="R41">
        <v>412553</v>
      </c>
      <c r="S41" t="s">
        <v>84</v>
      </c>
      <c r="T41" s="2">
        <v>3</v>
      </c>
      <c r="U41">
        <v>0</v>
      </c>
      <c r="V41" t="s">
        <v>85</v>
      </c>
      <c r="W41">
        <v>0</v>
      </c>
      <c r="X41">
        <v>0</v>
      </c>
      <c r="Y41">
        <v>0</v>
      </c>
      <c r="Z41" t="s">
        <v>88</v>
      </c>
      <c r="AA41" t="e">
        <f>-CANCELABLE NON RETURNABLE</f>
        <v>#NAME?</v>
      </c>
      <c r="AB41" t="s">
        <v>10</v>
      </c>
      <c r="AC41">
        <v>0</v>
      </c>
      <c r="AD41">
        <v>0</v>
      </c>
      <c r="AE41">
        <v>726182083580</v>
      </c>
      <c r="AF41">
        <v>722.68</v>
      </c>
      <c r="AG41">
        <v>0</v>
      </c>
      <c r="AH41">
        <v>26.33</v>
      </c>
      <c r="AI41">
        <v>749.01</v>
      </c>
      <c r="AJ41" t="s">
        <v>2</v>
      </c>
      <c r="AK41" t="s">
        <v>11</v>
      </c>
    </row>
    <row r="42" spans="1:37">
      <c r="A42">
        <v>257655</v>
      </c>
      <c r="B42" s="1">
        <v>45366</v>
      </c>
      <c r="C42" t="s">
        <v>108</v>
      </c>
      <c r="D42" t="s">
        <v>109</v>
      </c>
      <c r="E42" t="s">
        <v>2</v>
      </c>
      <c r="F42" t="s">
        <v>110</v>
      </c>
      <c r="G42" t="s">
        <v>103</v>
      </c>
      <c r="H42">
        <v>13424</v>
      </c>
      <c r="I42" t="s">
        <v>111</v>
      </c>
      <c r="J42" t="s">
        <v>112</v>
      </c>
      <c r="K42" t="s">
        <v>2</v>
      </c>
      <c r="L42" t="s">
        <v>110</v>
      </c>
      <c r="M42" t="s">
        <v>103</v>
      </c>
      <c r="N42">
        <v>13424</v>
      </c>
      <c r="O42" t="s">
        <v>113</v>
      </c>
      <c r="P42">
        <v>752</v>
      </c>
      <c r="Q42" t="s">
        <v>21</v>
      </c>
      <c r="R42">
        <v>412553</v>
      </c>
      <c r="S42" t="s">
        <v>84</v>
      </c>
      <c r="T42" s="2">
        <v>3</v>
      </c>
      <c r="U42">
        <v>0</v>
      </c>
      <c r="V42" t="s">
        <v>85</v>
      </c>
      <c r="W42">
        <v>0</v>
      </c>
      <c r="X42">
        <v>0</v>
      </c>
      <c r="Y42">
        <v>0</v>
      </c>
      <c r="Z42" t="s">
        <v>88</v>
      </c>
      <c r="AA42" t="s">
        <v>90</v>
      </c>
      <c r="AB42" t="s">
        <v>10</v>
      </c>
      <c r="AC42">
        <v>0</v>
      </c>
      <c r="AD42">
        <v>0</v>
      </c>
      <c r="AE42">
        <v>726182083580</v>
      </c>
      <c r="AF42">
        <v>722.68</v>
      </c>
      <c r="AG42">
        <v>0</v>
      </c>
      <c r="AH42">
        <v>26.33</v>
      </c>
      <c r="AI42">
        <v>749.01</v>
      </c>
      <c r="AJ42" t="s">
        <v>2</v>
      </c>
      <c r="AK42" t="s">
        <v>11</v>
      </c>
    </row>
    <row r="43" spans="1:37">
      <c r="A43">
        <v>257655</v>
      </c>
      <c r="B43" s="1">
        <v>45366</v>
      </c>
      <c r="C43" t="s">
        <v>108</v>
      </c>
      <c r="D43" t="s">
        <v>109</v>
      </c>
      <c r="E43" t="s">
        <v>2</v>
      </c>
      <c r="F43" t="s">
        <v>110</v>
      </c>
      <c r="G43" t="s">
        <v>103</v>
      </c>
      <c r="H43">
        <v>13424</v>
      </c>
      <c r="I43" t="s">
        <v>111</v>
      </c>
      <c r="J43" t="s">
        <v>112</v>
      </c>
      <c r="K43" t="s">
        <v>2</v>
      </c>
      <c r="L43" t="s">
        <v>110</v>
      </c>
      <c r="M43" t="s">
        <v>103</v>
      </c>
      <c r="N43">
        <v>13424</v>
      </c>
      <c r="O43" t="s">
        <v>113</v>
      </c>
      <c r="P43">
        <v>752</v>
      </c>
      <c r="Q43" t="s">
        <v>21</v>
      </c>
      <c r="R43">
        <v>412553</v>
      </c>
      <c r="S43" t="s">
        <v>84</v>
      </c>
      <c r="T43" s="2">
        <v>3</v>
      </c>
      <c r="U43">
        <v>0</v>
      </c>
      <c r="V43" t="s">
        <v>85</v>
      </c>
      <c r="W43">
        <v>0</v>
      </c>
      <c r="X43">
        <v>0</v>
      </c>
      <c r="Y43">
        <v>0</v>
      </c>
      <c r="Z43" t="s">
        <v>88</v>
      </c>
      <c r="AA43" t="s">
        <v>117</v>
      </c>
      <c r="AB43" t="s">
        <v>10</v>
      </c>
      <c r="AC43">
        <v>0</v>
      </c>
      <c r="AD43">
        <v>0</v>
      </c>
      <c r="AE43">
        <v>726182083580</v>
      </c>
      <c r="AF43">
        <v>722.68</v>
      </c>
      <c r="AG43">
        <v>0</v>
      </c>
      <c r="AH43">
        <v>26.33</v>
      </c>
      <c r="AI43">
        <v>749.01</v>
      </c>
      <c r="AJ43" t="s">
        <v>2</v>
      </c>
      <c r="AK43" t="s">
        <v>11</v>
      </c>
    </row>
    <row r="44" spans="1:37">
      <c r="A44">
        <v>257655</v>
      </c>
      <c r="B44" s="1">
        <v>45366</v>
      </c>
      <c r="C44" t="s">
        <v>108</v>
      </c>
      <c r="D44" t="s">
        <v>109</v>
      </c>
      <c r="E44" t="s">
        <v>2</v>
      </c>
      <c r="F44" t="s">
        <v>110</v>
      </c>
      <c r="G44" t="s">
        <v>103</v>
      </c>
      <c r="H44">
        <v>13424</v>
      </c>
      <c r="I44" t="s">
        <v>111</v>
      </c>
      <c r="J44" t="s">
        <v>112</v>
      </c>
      <c r="K44" t="s">
        <v>2</v>
      </c>
      <c r="L44" t="s">
        <v>110</v>
      </c>
      <c r="M44" t="s">
        <v>103</v>
      </c>
      <c r="N44">
        <v>13424</v>
      </c>
      <c r="O44" t="s">
        <v>113</v>
      </c>
      <c r="P44">
        <v>752</v>
      </c>
      <c r="Q44" t="s">
        <v>21</v>
      </c>
      <c r="R44">
        <v>412553</v>
      </c>
      <c r="S44" t="s">
        <v>84</v>
      </c>
      <c r="T44" s="2">
        <v>3</v>
      </c>
      <c r="U44">
        <v>0</v>
      </c>
      <c r="V44" t="s">
        <v>85</v>
      </c>
      <c r="W44">
        <v>0</v>
      </c>
      <c r="X44">
        <v>0</v>
      </c>
      <c r="Y44">
        <v>0</v>
      </c>
      <c r="Z44" t="s">
        <v>88</v>
      </c>
      <c r="AA44" t="e">
        <f>-SPLICE FREE REQUIRED</f>
        <v>#NAME?</v>
      </c>
      <c r="AB44" t="s">
        <v>10</v>
      </c>
      <c r="AC44">
        <v>0</v>
      </c>
      <c r="AD44">
        <v>0</v>
      </c>
      <c r="AE44">
        <v>726182083580</v>
      </c>
      <c r="AF44">
        <v>722.68</v>
      </c>
      <c r="AG44">
        <v>0</v>
      </c>
      <c r="AH44">
        <v>26.33</v>
      </c>
      <c r="AI44">
        <v>749.01</v>
      </c>
      <c r="AJ44" t="s">
        <v>2</v>
      </c>
      <c r="AK44" t="s">
        <v>11</v>
      </c>
    </row>
    <row r="45" spans="1:37">
      <c r="A45">
        <v>257655</v>
      </c>
      <c r="B45" s="1">
        <v>45366</v>
      </c>
      <c r="C45" t="s">
        <v>108</v>
      </c>
      <c r="D45" t="s">
        <v>109</v>
      </c>
      <c r="E45" t="s">
        <v>2</v>
      </c>
      <c r="F45" t="s">
        <v>110</v>
      </c>
      <c r="G45" t="s">
        <v>103</v>
      </c>
      <c r="H45">
        <v>13424</v>
      </c>
      <c r="I45" t="s">
        <v>111</v>
      </c>
      <c r="J45" t="s">
        <v>112</v>
      </c>
      <c r="K45" t="s">
        <v>2</v>
      </c>
      <c r="L45" t="s">
        <v>110</v>
      </c>
      <c r="M45" t="s">
        <v>103</v>
      </c>
      <c r="N45">
        <v>13424</v>
      </c>
      <c r="O45" t="s">
        <v>113</v>
      </c>
      <c r="P45">
        <v>752</v>
      </c>
      <c r="Q45" t="s">
        <v>21</v>
      </c>
      <c r="R45">
        <v>412553</v>
      </c>
      <c r="S45" t="s">
        <v>84</v>
      </c>
      <c r="T45" s="2">
        <v>3</v>
      </c>
      <c r="U45">
        <v>0</v>
      </c>
      <c r="V45" t="s">
        <v>85</v>
      </c>
      <c r="W45">
        <v>0</v>
      </c>
      <c r="X45">
        <v>0</v>
      </c>
      <c r="Y45">
        <v>0</v>
      </c>
      <c r="Z45" t="s">
        <v>88</v>
      </c>
      <c r="AA45" t="s">
        <v>90</v>
      </c>
      <c r="AB45" t="s">
        <v>10</v>
      </c>
      <c r="AC45">
        <v>0</v>
      </c>
      <c r="AD45">
        <v>0</v>
      </c>
      <c r="AE45">
        <v>726182083580</v>
      </c>
      <c r="AF45">
        <v>722.68</v>
      </c>
      <c r="AG45">
        <v>0</v>
      </c>
      <c r="AH45">
        <v>26.33</v>
      </c>
      <c r="AI45">
        <v>749.01</v>
      </c>
      <c r="AJ45" t="s">
        <v>2</v>
      </c>
      <c r="AK45" t="s">
        <v>11</v>
      </c>
    </row>
    <row r="46" spans="1:37">
      <c r="A46">
        <v>257655</v>
      </c>
      <c r="B46" s="1">
        <v>45366</v>
      </c>
      <c r="C46" t="s">
        <v>108</v>
      </c>
      <c r="D46" t="s">
        <v>109</v>
      </c>
      <c r="E46" t="s">
        <v>2</v>
      </c>
      <c r="F46" t="s">
        <v>110</v>
      </c>
      <c r="G46" t="s">
        <v>103</v>
      </c>
      <c r="H46">
        <v>13424</v>
      </c>
      <c r="I46" t="s">
        <v>111</v>
      </c>
      <c r="J46" t="s">
        <v>112</v>
      </c>
      <c r="K46" t="s">
        <v>2</v>
      </c>
      <c r="L46" t="s">
        <v>110</v>
      </c>
      <c r="M46" t="s">
        <v>103</v>
      </c>
      <c r="N46">
        <v>13424</v>
      </c>
      <c r="O46" t="s">
        <v>113</v>
      </c>
      <c r="P46">
        <v>752</v>
      </c>
      <c r="Q46" t="s">
        <v>21</v>
      </c>
      <c r="R46">
        <v>412553</v>
      </c>
      <c r="S46" t="s">
        <v>84</v>
      </c>
      <c r="T46" s="2">
        <v>3</v>
      </c>
      <c r="U46">
        <v>0</v>
      </c>
      <c r="V46" t="s">
        <v>85</v>
      </c>
      <c r="W46">
        <v>0</v>
      </c>
      <c r="X46">
        <v>0</v>
      </c>
      <c r="Y46">
        <v>0</v>
      </c>
      <c r="Z46" t="s">
        <v>88</v>
      </c>
      <c r="AA46" t="s">
        <v>118</v>
      </c>
      <c r="AB46" t="s">
        <v>10</v>
      </c>
      <c r="AC46">
        <v>0</v>
      </c>
      <c r="AD46">
        <v>0</v>
      </c>
      <c r="AE46">
        <v>726182083580</v>
      </c>
      <c r="AF46">
        <v>722.68</v>
      </c>
      <c r="AG46">
        <v>0</v>
      </c>
      <c r="AH46">
        <v>26.33</v>
      </c>
      <c r="AI46">
        <v>749.01</v>
      </c>
      <c r="AJ46" t="s">
        <v>2</v>
      </c>
      <c r="AK46" t="s">
        <v>11</v>
      </c>
    </row>
    <row r="47" spans="1:37">
      <c r="A47">
        <v>257655</v>
      </c>
      <c r="B47" s="1">
        <v>45366</v>
      </c>
      <c r="C47" t="s">
        <v>108</v>
      </c>
      <c r="D47" t="s">
        <v>109</v>
      </c>
      <c r="E47" t="s">
        <v>2</v>
      </c>
      <c r="F47" t="s">
        <v>110</v>
      </c>
      <c r="G47" t="s">
        <v>103</v>
      </c>
      <c r="H47">
        <v>13424</v>
      </c>
      <c r="I47" t="s">
        <v>111</v>
      </c>
      <c r="J47" t="s">
        <v>112</v>
      </c>
      <c r="K47" t="s">
        <v>2</v>
      </c>
      <c r="L47" t="s">
        <v>110</v>
      </c>
      <c r="M47" t="s">
        <v>103</v>
      </c>
      <c r="N47">
        <v>13424</v>
      </c>
      <c r="O47" t="s">
        <v>113</v>
      </c>
      <c r="P47">
        <v>752</v>
      </c>
      <c r="Q47" t="s">
        <v>21</v>
      </c>
      <c r="R47">
        <v>412553</v>
      </c>
      <c r="S47" t="s">
        <v>84</v>
      </c>
      <c r="T47" s="2">
        <v>3</v>
      </c>
      <c r="U47">
        <v>0</v>
      </c>
      <c r="V47" t="s">
        <v>85</v>
      </c>
      <c r="W47">
        <v>0</v>
      </c>
      <c r="X47">
        <v>0</v>
      </c>
      <c r="Y47">
        <v>0</v>
      </c>
      <c r="Z47" t="s">
        <v>88</v>
      </c>
      <c r="AA47" t="s">
        <v>119</v>
      </c>
      <c r="AB47" t="s">
        <v>10</v>
      </c>
      <c r="AC47">
        <v>0</v>
      </c>
      <c r="AD47">
        <v>0</v>
      </c>
      <c r="AE47">
        <v>726182083580</v>
      </c>
      <c r="AF47">
        <v>722.68</v>
      </c>
      <c r="AG47">
        <v>0</v>
      </c>
      <c r="AH47">
        <v>26.33</v>
      </c>
      <c r="AI47">
        <v>749.01</v>
      </c>
      <c r="AJ47" t="s">
        <v>2</v>
      </c>
      <c r="AK47" t="s">
        <v>11</v>
      </c>
    </row>
    <row r="48" spans="1:37">
      <c r="A48">
        <v>257655</v>
      </c>
      <c r="B48" s="1">
        <v>45366</v>
      </c>
      <c r="C48" t="s">
        <v>108</v>
      </c>
      <c r="D48" t="s">
        <v>109</v>
      </c>
      <c r="E48" t="s">
        <v>2</v>
      </c>
      <c r="F48" t="s">
        <v>110</v>
      </c>
      <c r="G48" t="s">
        <v>103</v>
      </c>
      <c r="H48">
        <v>13424</v>
      </c>
      <c r="I48" t="s">
        <v>111</v>
      </c>
      <c r="J48" t="s">
        <v>112</v>
      </c>
      <c r="K48" t="s">
        <v>2</v>
      </c>
      <c r="L48" t="s">
        <v>110</v>
      </c>
      <c r="M48" t="s">
        <v>103</v>
      </c>
      <c r="N48">
        <v>13424</v>
      </c>
      <c r="O48" t="s">
        <v>113</v>
      </c>
      <c r="P48">
        <v>752</v>
      </c>
      <c r="Q48" t="s">
        <v>21</v>
      </c>
      <c r="R48">
        <v>412553</v>
      </c>
      <c r="S48" t="s">
        <v>84</v>
      </c>
      <c r="T48" s="2">
        <v>3</v>
      </c>
      <c r="U48">
        <v>0</v>
      </c>
      <c r="V48" t="s">
        <v>85</v>
      </c>
      <c r="W48">
        <v>0</v>
      </c>
      <c r="X48">
        <v>0</v>
      </c>
      <c r="Y48">
        <v>0</v>
      </c>
      <c r="Z48" t="s">
        <v>88</v>
      </c>
      <c r="AA48" t="s">
        <v>2</v>
      </c>
      <c r="AB48" t="s">
        <v>10</v>
      </c>
      <c r="AC48">
        <v>0</v>
      </c>
      <c r="AD48">
        <v>0</v>
      </c>
      <c r="AE48">
        <v>726182083580</v>
      </c>
      <c r="AF48">
        <v>722.68</v>
      </c>
      <c r="AG48">
        <v>0</v>
      </c>
      <c r="AH48">
        <v>26.33</v>
      </c>
      <c r="AI48">
        <v>749.01</v>
      </c>
      <c r="AJ48" t="s">
        <v>2</v>
      </c>
      <c r="AK48" t="s">
        <v>11</v>
      </c>
    </row>
    <row r="49" spans="1:37">
      <c r="A49">
        <v>257655</v>
      </c>
      <c r="B49" s="1">
        <v>45366</v>
      </c>
      <c r="C49" t="s">
        <v>108</v>
      </c>
      <c r="D49" t="s">
        <v>109</v>
      </c>
      <c r="E49" t="s">
        <v>2</v>
      </c>
      <c r="F49" t="s">
        <v>110</v>
      </c>
      <c r="G49" t="s">
        <v>103</v>
      </c>
      <c r="H49">
        <v>13424</v>
      </c>
      <c r="I49" t="s">
        <v>111</v>
      </c>
      <c r="J49" t="s">
        <v>112</v>
      </c>
      <c r="K49" t="s">
        <v>2</v>
      </c>
      <c r="L49" t="s">
        <v>110</v>
      </c>
      <c r="M49" t="s">
        <v>103</v>
      </c>
      <c r="N49">
        <v>13424</v>
      </c>
      <c r="O49" t="s">
        <v>113</v>
      </c>
      <c r="P49">
        <v>752</v>
      </c>
      <c r="Q49" t="s">
        <v>21</v>
      </c>
      <c r="R49">
        <v>412553</v>
      </c>
      <c r="S49" t="s">
        <v>84</v>
      </c>
      <c r="T49" s="2">
        <v>3</v>
      </c>
      <c r="U49">
        <v>0</v>
      </c>
      <c r="V49" t="s">
        <v>85</v>
      </c>
      <c r="W49">
        <v>0</v>
      </c>
      <c r="X49">
        <v>0</v>
      </c>
      <c r="Y49">
        <v>0</v>
      </c>
      <c r="Z49" t="s">
        <v>88</v>
      </c>
      <c r="AA49" t="s">
        <v>2</v>
      </c>
      <c r="AB49" t="s">
        <v>10</v>
      </c>
      <c r="AC49">
        <v>0</v>
      </c>
      <c r="AD49">
        <v>0</v>
      </c>
      <c r="AE49">
        <v>726182083580</v>
      </c>
      <c r="AF49">
        <v>722.68</v>
      </c>
      <c r="AG49">
        <v>0</v>
      </c>
      <c r="AH49">
        <v>26.33</v>
      </c>
      <c r="AI49">
        <v>749.01</v>
      </c>
      <c r="AJ49" t="s">
        <v>2</v>
      </c>
      <c r="AK49" t="s">
        <v>11</v>
      </c>
    </row>
    <row r="50" spans="1:37">
      <c r="A50">
        <v>257655</v>
      </c>
      <c r="B50" s="1">
        <v>45366</v>
      </c>
      <c r="C50" t="s">
        <v>108</v>
      </c>
      <c r="D50" t="s">
        <v>109</v>
      </c>
      <c r="E50" t="s">
        <v>2</v>
      </c>
      <c r="F50" t="s">
        <v>110</v>
      </c>
      <c r="G50" t="s">
        <v>103</v>
      </c>
      <c r="H50">
        <v>13424</v>
      </c>
      <c r="I50" t="s">
        <v>111</v>
      </c>
      <c r="J50" t="s">
        <v>112</v>
      </c>
      <c r="K50" t="s">
        <v>2</v>
      </c>
      <c r="L50" t="s">
        <v>110</v>
      </c>
      <c r="M50" t="s">
        <v>103</v>
      </c>
      <c r="N50">
        <v>13424</v>
      </c>
      <c r="O50" t="s">
        <v>113</v>
      </c>
      <c r="P50">
        <v>752</v>
      </c>
      <c r="Q50" t="s">
        <v>21</v>
      </c>
      <c r="R50">
        <v>412553</v>
      </c>
      <c r="S50" t="s">
        <v>84</v>
      </c>
      <c r="T50" s="2">
        <v>3</v>
      </c>
      <c r="U50">
        <v>0</v>
      </c>
      <c r="V50" t="s">
        <v>85</v>
      </c>
      <c r="W50">
        <v>0</v>
      </c>
      <c r="X50">
        <v>0</v>
      </c>
      <c r="Y50">
        <v>0</v>
      </c>
      <c r="Z50" t="s">
        <v>88</v>
      </c>
      <c r="AA50" t="s">
        <v>90</v>
      </c>
      <c r="AB50" t="s">
        <v>10</v>
      </c>
      <c r="AC50">
        <v>0</v>
      </c>
      <c r="AD50">
        <v>0</v>
      </c>
      <c r="AE50">
        <v>726182083580</v>
      </c>
      <c r="AF50">
        <v>722.68</v>
      </c>
      <c r="AG50">
        <v>0</v>
      </c>
      <c r="AH50">
        <v>26.33</v>
      </c>
      <c r="AI50">
        <v>749.01</v>
      </c>
      <c r="AJ50" t="s">
        <v>2</v>
      </c>
      <c r="AK50" t="s">
        <v>11</v>
      </c>
    </row>
    <row r="51" spans="1:37">
      <c r="A51">
        <v>257655</v>
      </c>
      <c r="B51" s="1">
        <v>45366</v>
      </c>
      <c r="C51" t="s">
        <v>108</v>
      </c>
      <c r="D51" t="s">
        <v>109</v>
      </c>
      <c r="E51" t="s">
        <v>2</v>
      </c>
      <c r="F51" t="s">
        <v>110</v>
      </c>
      <c r="G51" t="s">
        <v>103</v>
      </c>
      <c r="H51">
        <v>13424</v>
      </c>
      <c r="I51" t="s">
        <v>111</v>
      </c>
      <c r="J51" t="s">
        <v>112</v>
      </c>
      <c r="K51" t="s">
        <v>2</v>
      </c>
      <c r="L51" t="s">
        <v>110</v>
      </c>
      <c r="M51" t="s">
        <v>103</v>
      </c>
      <c r="N51">
        <v>13424</v>
      </c>
      <c r="O51" t="s">
        <v>113</v>
      </c>
      <c r="P51">
        <v>752</v>
      </c>
      <c r="Q51" t="s">
        <v>21</v>
      </c>
      <c r="R51">
        <v>412553</v>
      </c>
      <c r="S51" t="s">
        <v>84</v>
      </c>
      <c r="T51" s="2">
        <v>3</v>
      </c>
      <c r="U51">
        <v>0</v>
      </c>
      <c r="V51" t="s">
        <v>85</v>
      </c>
      <c r="W51">
        <v>0</v>
      </c>
      <c r="X51">
        <v>0</v>
      </c>
      <c r="Y51">
        <v>0</v>
      </c>
      <c r="Z51" t="s">
        <v>88</v>
      </c>
      <c r="AA51" t="s">
        <v>91</v>
      </c>
      <c r="AB51" t="s">
        <v>10</v>
      </c>
      <c r="AC51">
        <v>0</v>
      </c>
      <c r="AD51">
        <v>0</v>
      </c>
      <c r="AE51">
        <v>726182083580</v>
      </c>
      <c r="AF51">
        <v>722.68</v>
      </c>
      <c r="AG51">
        <v>0</v>
      </c>
      <c r="AH51">
        <v>26.33</v>
      </c>
      <c r="AI51">
        <v>749.01</v>
      </c>
      <c r="AJ51" t="s">
        <v>2</v>
      </c>
      <c r="AK51" t="s">
        <v>11</v>
      </c>
    </row>
    <row r="52" spans="1:37">
      <c r="A52">
        <v>257655</v>
      </c>
      <c r="B52" s="1">
        <v>45366</v>
      </c>
      <c r="C52" t="s">
        <v>108</v>
      </c>
      <c r="D52" t="s">
        <v>109</v>
      </c>
      <c r="E52" t="s">
        <v>2</v>
      </c>
      <c r="F52" t="s">
        <v>110</v>
      </c>
      <c r="G52" t="s">
        <v>103</v>
      </c>
      <c r="H52">
        <v>13424</v>
      </c>
      <c r="I52" t="s">
        <v>111</v>
      </c>
      <c r="J52" t="s">
        <v>112</v>
      </c>
      <c r="K52" t="s">
        <v>2</v>
      </c>
      <c r="L52" t="s">
        <v>110</v>
      </c>
      <c r="M52" t="s">
        <v>103</v>
      </c>
      <c r="N52">
        <v>13424</v>
      </c>
      <c r="O52" t="s">
        <v>113</v>
      </c>
      <c r="P52">
        <v>752</v>
      </c>
      <c r="Q52" t="s">
        <v>21</v>
      </c>
      <c r="R52">
        <v>412553</v>
      </c>
      <c r="S52" t="s">
        <v>84</v>
      </c>
      <c r="T52" s="2">
        <v>3</v>
      </c>
      <c r="U52">
        <v>0</v>
      </c>
      <c r="V52" t="s">
        <v>85</v>
      </c>
      <c r="W52">
        <v>0</v>
      </c>
      <c r="X52">
        <v>0</v>
      </c>
      <c r="Y52">
        <v>0</v>
      </c>
      <c r="Z52" t="s">
        <v>88</v>
      </c>
      <c r="AA52" t="s">
        <v>92</v>
      </c>
      <c r="AB52" t="s">
        <v>10</v>
      </c>
      <c r="AC52">
        <v>0</v>
      </c>
      <c r="AD52">
        <v>0</v>
      </c>
      <c r="AE52">
        <v>726182083580</v>
      </c>
      <c r="AF52">
        <v>722.68</v>
      </c>
      <c r="AG52">
        <v>0</v>
      </c>
      <c r="AH52">
        <v>26.33</v>
      </c>
      <c r="AI52">
        <v>749.01</v>
      </c>
      <c r="AJ52" t="s">
        <v>2</v>
      </c>
      <c r="AK52" t="s">
        <v>11</v>
      </c>
    </row>
    <row r="53" spans="1:37">
      <c r="A53">
        <v>257655</v>
      </c>
      <c r="B53" s="1">
        <v>45366</v>
      </c>
      <c r="C53" t="s">
        <v>108</v>
      </c>
      <c r="D53" t="s">
        <v>109</v>
      </c>
      <c r="E53" t="s">
        <v>2</v>
      </c>
      <c r="F53" t="s">
        <v>110</v>
      </c>
      <c r="G53" t="s">
        <v>103</v>
      </c>
      <c r="H53">
        <v>13424</v>
      </c>
      <c r="I53" t="s">
        <v>111</v>
      </c>
      <c r="J53" t="s">
        <v>112</v>
      </c>
      <c r="K53" t="s">
        <v>2</v>
      </c>
      <c r="L53" t="s">
        <v>110</v>
      </c>
      <c r="M53" t="s">
        <v>103</v>
      </c>
      <c r="N53">
        <v>13424</v>
      </c>
      <c r="O53" t="s">
        <v>113</v>
      </c>
      <c r="P53">
        <v>752</v>
      </c>
      <c r="Q53" t="s">
        <v>21</v>
      </c>
      <c r="R53">
        <v>412553</v>
      </c>
      <c r="S53" t="s">
        <v>84</v>
      </c>
      <c r="T53" s="2">
        <v>3</v>
      </c>
      <c r="U53">
        <v>0</v>
      </c>
      <c r="V53" t="s">
        <v>85</v>
      </c>
      <c r="W53">
        <v>0</v>
      </c>
      <c r="X53">
        <v>0</v>
      </c>
      <c r="Y53">
        <v>0</v>
      </c>
      <c r="Z53" t="s">
        <v>88</v>
      </c>
      <c r="AA53" t="s">
        <v>90</v>
      </c>
      <c r="AB53" t="s">
        <v>10</v>
      </c>
      <c r="AC53">
        <v>0</v>
      </c>
      <c r="AD53">
        <v>0</v>
      </c>
      <c r="AE53">
        <v>726182083580</v>
      </c>
      <c r="AF53">
        <v>722.68</v>
      </c>
      <c r="AG53">
        <v>0</v>
      </c>
      <c r="AH53">
        <v>26.33</v>
      </c>
      <c r="AI53">
        <v>749.01</v>
      </c>
      <c r="AJ53" t="s">
        <v>2</v>
      </c>
      <c r="AK53" t="s">
        <v>11</v>
      </c>
    </row>
    <row r="54" spans="1:37">
      <c r="A54">
        <v>257655</v>
      </c>
      <c r="B54" s="1">
        <v>45366</v>
      </c>
      <c r="C54" t="s">
        <v>108</v>
      </c>
      <c r="D54" t="s">
        <v>109</v>
      </c>
      <c r="E54" t="s">
        <v>2</v>
      </c>
      <c r="F54" t="s">
        <v>110</v>
      </c>
      <c r="G54" t="s">
        <v>103</v>
      </c>
      <c r="H54">
        <v>13424</v>
      </c>
      <c r="I54" t="s">
        <v>111</v>
      </c>
      <c r="J54" t="s">
        <v>112</v>
      </c>
      <c r="K54" t="s">
        <v>2</v>
      </c>
      <c r="L54" t="s">
        <v>110</v>
      </c>
      <c r="M54" t="s">
        <v>103</v>
      </c>
      <c r="N54">
        <v>13424</v>
      </c>
      <c r="O54" t="s">
        <v>113</v>
      </c>
      <c r="P54">
        <v>752</v>
      </c>
      <c r="Q54" t="s">
        <v>21</v>
      </c>
      <c r="R54">
        <v>412553</v>
      </c>
      <c r="S54" t="s">
        <v>84</v>
      </c>
      <c r="T54" s="2">
        <v>3</v>
      </c>
      <c r="U54">
        <v>0</v>
      </c>
      <c r="V54" t="s">
        <v>85</v>
      </c>
      <c r="W54">
        <v>0</v>
      </c>
      <c r="X54">
        <v>0</v>
      </c>
      <c r="Y54">
        <v>0</v>
      </c>
      <c r="Z54" t="s">
        <v>88</v>
      </c>
      <c r="AA54" t="s">
        <v>2</v>
      </c>
      <c r="AB54" t="s">
        <v>10</v>
      </c>
      <c r="AC54">
        <v>0</v>
      </c>
      <c r="AD54">
        <v>0</v>
      </c>
      <c r="AE54">
        <v>726182083580</v>
      </c>
      <c r="AF54">
        <v>722.68</v>
      </c>
      <c r="AG54">
        <v>0</v>
      </c>
      <c r="AH54">
        <v>26.33</v>
      </c>
      <c r="AI54">
        <v>749.01</v>
      </c>
      <c r="AJ54" t="s">
        <v>2</v>
      </c>
      <c r="AK54" t="s">
        <v>11</v>
      </c>
    </row>
    <row r="55" spans="1:37">
      <c r="A55">
        <v>257655</v>
      </c>
      <c r="B55" s="1">
        <v>45366</v>
      </c>
      <c r="C55" t="s">
        <v>108</v>
      </c>
      <c r="D55" t="s">
        <v>109</v>
      </c>
      <c r="E55" t="s">
        <v>2</v>
      </c>
      <c r="F55" t="s">
        <v>110</v>
      </c>
      <c r="G55" t="s">
        <v>103</v>
      </c>
      <c r="H55">
        <v>13424</v>
      </c>
      <c r="I55" t="s">
        <v>111</v>
      </c>
      <c r="J55" t="s">
        <v>112</v>
      </c>
      <c r="K55" t="s">
        <v>2</v>
      </c>
      <c r="L55" t="s">
        <v>110</v>
      </c>
      <c r="M55" t="s">
        <v>103</v>
      </c>
      <c r="N55">
        <v>13424</v>
      </c>
      <c r="O55" t="s">
        <v>113</v>
      </c>
      <c r="P55">
        <v>752</v>
      </c>
      <c r="Q55" t="s">
        <v>21</v>
      </c>
      <c r="R55">
        <v>412553</v>
      </c>
      <c r="S55" t="s">
        <v>84</v>
      </c>
      <c r="T55" s="2">
        <v>3</v>
      </c>
      <c r="U55">
        <v>0</v>
      </c>
      <c r="V55" t="s">
        <v>85</v>
      </c>
      <c r="W55">
        <v>0</v>
      </c>
      <c r="X55">
        <v>0</v>
      </c>
      <c r="Y55">
        <v>0</v>
      </c>
      <c r="Z55" t="s">
        <v>88</v>
      </c>
      <c r="AA55" t="s">
        <v>120</v>
      </c>
      <c r="AB55" t="s">
        <v>10</v>
      </c>
      <c r="AC55">
        <v>0</v>
      </c>
      <c r="AD55">
        <v>0</v>
      </c>
      <c r="AE55">
        <v>726182083580</v>
      </c>
      <c r="AF55">
        <v>722.68</v>
      </c>
      <c r="AG55">
        <v>0</v>
      </c>
      <c r="AH55">
        <v>26.33</v>
      </c>
      <c r="AI55">
        <v>749.01</v>
      </c>
      <c r="AJ55" t="s">
        <v>2</v>
      </c>
      <c r="AK55" t="s">
        <v>11</v>
      </c>
    </row>
    <row r="56" spans="1:37">
      <c r="A56">
        <v>257655</v>
      </c>
      <c r="B56" s="1">
        <v>45366</v>
      </c>
      <c r="C56" t="s">
        <v>108</v>
      </c>
      <c r="D56" t="s">
        <v>109</v>
      </c>
      <c r="E56" t="s">
        <v>2</v>
      </c>
      <c r="F56" t="s">
        <v>110</v>
      </c>
      <c r="G56" t="s">
        <v>103</v>
      </c>
      <c r="H56">
        <v>13424</v>
      </c>
      <c r="I56" t="s">
        <v>111</v>
      </c>
      <c r="J56" t="s">
        <v>112</v>
      </c>
      <c r="K56" t="s">
        <v>2</v>
      </c>
      <c r="L56" t="s">
        <v>110</v>
      </c>
      <c r="M56" t="s">
        <v>103</v>
      </c>
      <c r="N56">
        <v>13424</v>
      </c>
      <c r="O56" t="s">
        <v>113</v>
      </c>
      <c r="P56">
        <v>752</v>
      </c>
      <c r="Q56" t="s">
        <v>21</v>
      </c>
      <c r="R56">
        <v>412553</v>
      </c>
      <c r="S56" t="s">
        <v>84</v>
      </c>
      <c r="T56" s="2">
        <v>3</v>
      </c>
      <c r="U56">
        <v>0</v>
      </c>
      <c r="V56" t="s">
        <v>85</v>
      </c>
      <c r="W56">
        <v>1</v>
      </c>
      <c r="X56">
        <v>1</v>
      </c>
      <c r="Y56">
        <v>0</v>
      </c>
      <c r="Z56" t="s">
        <v>93</v>
      </c>
      <c r="AA56" t="s">
        <v>94</v>
      </c>
      <c r="AB56" t="s">
        <v>14</v>
      </c>
      <c r="AC56">
        <v>21.82</v>
      </c>
      <c r="AD56">
        <v>21.82</v>
      </c>
      <c r="AE56">
        <v>726182083580</v>
      </c>
      <c r="AF56">
        <v>722.68</v>
      </c>
      <c r="AG56">
        <v>0</v>
      </c>
      <c r="AH56">
        <v>26.33</v>
      </c>
      <c r="AI56">
        <v>749.01</v>
      </c>
      <c r="AJ56" t="s">
        <v>2</v>
      </c>
      <c r="AK56" t="s">
        <v>11</v>
      </c>
    </row>
    <row r="57" spans="1:37">
      <c r="A57">
        <v>257656</v>
      </c>
      <c r="B57" s="1">
        <v>45366</v>
      </c>
      <c r="C57" t="s">
        <v>121</v>
      </c>
      <c r="D57" t="s">
        <v>122</v>
      </c>
      <c r="E57" t="s">
        <v>123</v>
      </c>
      <c r="F57" t="s">
        <v>124</v>
      </c>
      <c r="G57" t="s">
        <v>53</v>
      </c>
      <c r="H57">
        <v>85040</v>
      </c>
      <c r="I57" t="s">
        <v>125</v>
      </c>
      <c r="J57" t="s">
        <v>126</v>
      </c>
      <c r="K57" t="s">
        <v>127</v>
      </c>
      <c r="L57" t="s">
        <v>124</v>
      </c>
      <c r="M57" t="s">
        <v>53</v>
      </c>
      <c r="N57">
        <v>85286</v>
      </c>
      <c r="O57" t="s">
        <v>128</v>
      </c>
      <c r="P57">
        <v>315242</v>
      </c>
      <c r="Q57" t="s">
        <v>46</v>
      </c>
      <c r="R57">
        <v>415627</v>
      </c>
      <c r="S57" t="s">
        <v>84</v>
      </c>
      <c r="T57" s="2">
        <v>3</v>
      </c>
      <c r="U57">
        <v>0</v>
      </c>
      <c r="V57" t="s">
        <v>85</v>
      </c>
      <c r="W57">
        <v>0</v>
      </c>
      <c r="X57">
        <v>0</v>
      </c>
      <c r="Y57">
        <v>0</v>
      </c>
      <c r="Z57" t="s">
        <v>9</v>
      </c>
      <c r="AA57" t="s">
        <v>2</v>
      </c>
      <c r="AB57" t="s">
        <v>10</v>
      </c>
      <c r="AC57">
        <v>0</v>
      </c>
      <c r="AD57">
        <v>0</v>
      </c>
      <c r="AE57">
        <v>726182084141</v>
      </c>
      <c r="AF57">
        <v>536.88</v>
      </c>
      <c r="AG57">
        <v>0</v>
      </c>
      <c r="AH57">
        <v>43.3</v>
      </c>
      <c r="AI57">
        <v>580.17999999999995</v>
      </c>
      <c r="AJ57" t="s">
        <v>2</v>
      </c>
      <c r="AK57" t="s">
        <v>11</v>
      </c>
    </row>
    <row r="58" spans="1:37">
      <c r="A58">
        <v>257656</v>
      </c>
      <c r="B58" s="1">
        <v>45366</v>
      </c>
      <c r="C58" t="s">
        <v>121</v>
      </c>
      <c r="D58" t="s">
        <v>122</v>
      </c>
      <c r="E58" t="s">
        <v>123</v>
      </c>
      <c r="F58" t="s">
        <v>124</v>
      </c>
      <c r="G58" t="s">
        <v>53</v>
      </c>
      <c r="H58">
        <v>85040</v>
      </c>
      <c r="I58" t="s">
        <v>125</v>
      </c>
      <c r="J58" t="s">
        <v>126</v>
      </c>
      <c r="K58" t="s">
        <v>127</v>
      </c>
      <c r="L58" t="s">
        <v>124</v>
      </c>
      <c r="M58" t="s">
        <v>53</v>
      </c>
      <c r="N58">
        <v>85286</v>
      </c>
      <c r="O58" t="s">
        <v>128</v>
      </c>
      <c r="P58">
        <v>315242</v>
      </c>
      <c r="Q58" t="s">
        <v>46</v>
      </c>
      <c r="R58">
        <v>415627</v>
      </c>
      <c r="S58" t="s">
        <v>84</v>
      </c>
      <c r="T58" s="2">
        <v>3</v>
      </c>
      <c r="U58">
        <v>0</v>
      </c>
      <c r="V58" t="s">
        <v>85</v>
      </c>
      <c r="W58">
        <v>1</v>
      </c>
      <c r="X58">
        <v>1</v>
      </c>
      <c r="Y58">
        <v>0</v>
      </c>
      <c r="Z58" t="s">
        <v>129</v>
      </c>
      <c r="AA58" t="s">
        <v>130</v>
      </c>
      <c r="AB58" t="s">
        <v>14</v>
      </c>
      <c r="AC58">
        <v>259.99200000000002</v>
      </c>
      <c r="AD58">
        <v>259.99</v>
      </c>
      <c r="AE58">
        <v>726182084141</v>
      </c>
      <c r="AF58">
        <v>536.88</v>
      </c>
      <c r="AG58">
        <v>0</v>
      </c>
      <c r="AH58">
        <v>43.3</v>
      </c>
      <c r="AI58">
        <v>580.17999999999995</v>
      </c>
      <c r="AJ58" t="s">
        <v>2</v>
      </c>
      <c r="AK58" t="s">
        <v>11</v>
      </c>
    </row>
    <row r="59" spans="1:37">
      <c r="A59">
        <v>257656</v>
      </c>
      <c r="B59" s="1">
        <v>45366</v>
      </c>
      <c r="C59" t="s">
        <v>121</v>
      </c>
      <c r="D59" t="s">
        <v>122</v>
      </c>
      <c r="E59" t="s">
        <v>123</v>
      </c>
      <c r="F59" t="s">
        <v>124</v>
      </c>
      <c r="G59" t="s">
        <v>53</v>
      </c>
      <c r="H59">
        <v>85040</v>
      </c>
      <c r="I59" t="s">
        <v>125</v>
      </c>
      <c r="J59" t="s">
        <v>126</v>
      </c>
      <c r="K59" t="s">
        <v>127</v>
      </c>
      <c r="L59" t="s">
        <v>124</v>
      </c>
      <c r="M59" t="s">
        <v>53</v>
      </c>
      <c r="N59">
        <v>85286</v>
      </c>
      <c r="O59" t="s">
        <v>128</v>
      </c>
      <c r="P59">
        <v>315242</v>
      </c>
      <c r="Q59" t="s">
        <v>46</v>
      </c>
      <c r="R59">
        <v>415627</v>
      </c>
      <c r="S59" t="s">
        <v>84</v>
      </c>
      <c r="T59" s="2">
        <v>3</v>
      </c>
      <c r="U59">
        <v>0</v>
      </c>
      <c r="V59" t="s">
        <v>85</v>
      </c>
      <c r="W59">
        <v>0</v>
      </c>
      <c r="X59">
        <v>0</v>
      </c>
      <c r="Y59">
        <v>0</v>
      </c>
      <c r="Z59" t="s">
        <v>88</v>
      </c>
      <c r="AA59" t="s">
        <v>131</v>
      </c>
      <c r="AB59" t="s">
        <v>10</v>
      </c>
      <c r="AC59">
        <v>0</v>
      </c>
      <c r="AD59">
        <v>0</v>
      </c>
      <c r="AE59">
        <v>726182084141</v>
      </c>
      <c r="AF59">
        <v>536.88</v>
      </c>
      <c r="AG59">
        <v>0</v>
      </c>
      <c r="AH59">
        <v>43.3</v>
      </c>
      <c r="AI59">
        <v>580.17999999999995</v>
      </c>
      <c r="AJ59" t="s">
        <v>2</v>
      </c>
      <c r="AK59" t="s">
        <v>11</v>
      </c>
    </row>
    <row r="60" spans="1:37">
      <c r="A60">
        <v>257656</v>
      </c>
      <c r="B60" s="1">
        <v>45366</v>
      </c>
      <c r="C60" t="s">
        <v>121</v>
      </c>
      <c r="D60" t="s">
        <v>122</v>
      </c>
      <c r="E60" t="s">
        <v>123</v>
      </c>
      <c r="F60" t="s">
        <v>124</v>
      </c>
      <c r="G60" t="s">
        <v>53</v>
      </c>
      <c r="H60">
        <v>85040</v>
      </c>
      <c r="I60" t="s">
        <v>125</v>
      </c>
      <c r="J60" t="s">
        <v>126</v>
      </c>
      <c r="K60" t="s">
        <v>127</v>
      </c>
      <c r="L60" t="s">
        <v>124</v>
      </c>
      <c r="M60" t="s">
        <v>53</v>
      </c>
      <c r="N60">
        <v>85286</v>
      </c>
      <c r="O60" t="s">
        <v>128</v>
      </c>
      <c r="P60">
        <v>315242</v>
      </c>
      <c r="Q60" t="s">
        <v>46</v>
      </c>
      <c r="R60">
        <v>415627</v>
      </c>
      <c r="S60" t="s">
        <v>84</v>
      </c>
      <c r="T60" s="2">
        <v>3</v>
      </c>
      <c r="U60">
        <v>0</v>
      </c>
      <c r="V60" t="s">
        <v>85</v>
      </c>
      <c r="W60">
        <v>1</v>
      </c>
      <c r="X60">
        <v>1</v>
      </c>
      <c r="Y60">
        <v>0</v>
      </c>
      <c r="Z60" t="s">
        <v>132</v>
      </c>
      <c r="AA60" t="s">
        <v>133</v>
      </c>
      <c r="AB60" t="s">
        <v>14</v>
      </c>
      <c r="AC60">
        <v>259.99200000000002</v>
      </c>
      <c r="AD60">
        <v>259.99</v>
      </c>
      <c r="AE60">
        <v>726182084141</v>
      </c>
      <c r="AF60">
        <v>536.88</v>
      </c>
      <c r="AG60">
        <v>0</v>
      </c>
      <c r="AH60">
        <v>43.3</v>
      </c>
      <c r="AI60">
        <v>580.17999999999995</v>
      </c>
      <c r="AJ60" t="s">
        <v>2</v>
      </c>
      <c r="AK60" t="s">
        <v>11</v>
      </c>
    </row>
    <row r="61" spans="1:37">
      <c r="A61">
        <v>257656</v>
      </c>
      <c r="B61" s="1">
        <v>45366</v>
      </c>
      <c r="C61" t="s">
        <v>121</v>
      </c>
      <c r="D61" t="s">
        <v>122</v>
      </c>
      <c r="E61" t="s">
        <v>123</v>
      </c>
      <c r="F61" t="s">
        <v>124</v>
      </c>
      <c r="G61" t="s">
        <v>53</v>
      </c>
      <c r="H61">
        <v>85040</v>
      </c>
      <c r="I61" t="s">
        <v>125</v>
      </c>
      <c r="J61" t="s">
        <v>126</v>
      </c>
      <c r="K61" t="s">
        <v>127</v>
      </c>
      <c r="L61" t="s">
        <v>124</v>
      </c>
      <c r="M61" t="s">
        <v>53</v>
      </c>
      <c r="N61">
        <v>85286</v>
      </c>
      <c r="O61" t="s">
        <v>128</v>
      </c>
      <c r="P61">
        <v>315242</v>
      </c>
      <c r="Q61" t="s">
        <v>46</v>
      </c>
      <c r="R61">
        <v>415627</v>
      </c>
      <c r="S61" t="s">
        <v>84</v>
      </c>
      <c r="T61" s="2">
        <v>3</v>
      </c>
      <c r="U61">
        <v>0</v>
      </c>
      <c r="V61" t="s">
        <v>85</v>
      </c>
      <c r="W61">
        <v>0</v>
      </c>
      <c r="X61">
        <v>0</v>
      </c>
      <c r="Y61">
        <v>0</v>
      </c>
      <c r="Z61" t="s">
        <v>88</v>
      </c>
      <c r="AA61" t="s">
        <v>131</v>
      </c>
      <c r="AB61" t="s">
        <v>10</v>
      </c>
      <c r="AC61">
        <v>0</v>
      </c>
      <c r="AD61">
        <v>0</v>
      </c>
      <c r="AE61">
        <v>726182084141</v>
      </c>
      <c r="AF61">
        <v>536.88</v>
      </c>
      <c r="AG61">
        <v>0</v>
      </c>
      <c r="AH61">
        <v>43.3</v>
      </c>
      <c r="AI61">
        <v>580.17999999999995</v>
      </c>
      <c r="AJ61" t="s">
        <v>2</v>
      </c>
      <c r="AK61" t="s">
        <v>11</v>
      </c>
    </row>
    <row r="62" spans="1:37">
      <c r="A62">
        <v>257656</v>
      </c>
      <c r="B62" s="1">
        <v>45366</v>
      </c>
      <c r="C62" t="s">
        <v>121</v>
      </c>
      <c r="D62" t="s">
        <v>122</v>
      </c>
      <c r="E62" t="s">
        <v>123</v>
      </c>
      <c r="F62" t="s">
        <v>124</v>
      </c>
      <c r="G62" t="s">
        <v>53</v>
      </c>
      <c r="H62">
        <v>85040</v>
      </c>
      <c r="I62" t="s">
        <v>125</v>
      </c>
      <c r="J62" t="s">
        <v>126</v>
      </c>
      <c r="K62" t="s">
        <v>127</v>
      </c>
      <c r="L62" t="s">
        <v>124</v>
      </c>
      <c r="M62" t="s">
        <v>53</v>
      </c>
      <c r="N62">
        <v>85286</v>
      </c>
      <c r="O62" t="s">
        <v>128</v>
      </c>
      <c r="P62">
        <v>315242</v>
      </c>
      <c r="Q62" t="s">
        <v>46</v>
      </c>
      <c r="R62">
        <v>415627</v>
      </c>
      <c r="S62" t="s">
        <v>84</v>
      </c>
      <c r="T62" s="2">
        <v>3</v>
      </c>
      <c r="U62">
        <v>0</v>
      </c>
      <c r="V62" t="s">
        <v>85</v>
      </c>
      <c r="W62">
        <v>0</v>
      </c>
      <c r="X62">
        <v>0</v>
      </c>
      <c r="Y62">
        <v>0</v>
      </c>
      <c r="Z62" t="s">
        <v>88</v>
      </c>
      <c r="AA62" t="s">
        <v>90</v>
      </c>
      <c r="AB62" t="s">
        <v>10</v>
      </c>
      <c r="AC62">
        <v>0</v>
      </c>
      <c r="AD62">
        <v>0</v>
      </c>
      <c r="AE62">
        <v>726182084141</v>
      </c>
      <c r="AF62">
        <v>536.88</v>
      </c>
      <c r="AG62">
        <v>0</v>
      </c>
      <c r="AH62">
        <v>43.3</v>
      </c>
      <c r="AI62">
        <v>580.17999999999995</v>
      </c>
      <c r="AJ62" t="s">
        <v>2</v>
      </c>
      <c r="AK62" t="s">
        <v>11</v>
      </c>
    </row>
    <row r="63" spans="1:37">
      <c r="A63">
        <v>257656</v>
      </c>
      <c r="B63" s="1">
        <v>45366</v>
      </c>
      <c r="C63" t="s">
        <v>121</v>
      </c>
      <c r="D63" t="s">
        <v>122</v>
      </c>
      <c r="E63" t="s">
        <v>123</v>
      </c>
      <c r="F63" t="s">
        <v>124</v>
      </c>
      <c r="G63" t="s">
        <v>53</v>
      </c>
      <c r="H63">
        <v>85040</v>
      </c>
      <c r="I63" t="s">
        <v>125</v>
      </c>
      <c r="J63" t="s">
        <v>126</v>
      </c>
      <c r="K63" t="s">
        <v>127</v>
      </c>
      <c r="L63" t="s">
        <v>124</v>
      </c>
      <c r="M63" t="s">
        <v>53</v>
      </c>
      <c r="N63">
        <v>85286</v>
      </c>
      <c r="O63" t="s">
        <v>128</v>
      </c>
      <c r="P63">
        <v>315242</v>
      </c>
      <c r="Q63" t="s">
        <v>46</v>
      </c>
      <c r="R63">
        <v>415627</v>
      </c>
      <c r="S63" t="s">
        <v>84</v>
      </c>
      <c r="T63" s="2">
        <v>3</v>
      </c>
      <c r="U63">
        <v>0</v>
      </c>
      <c r="V63" t="s">
        <v>85</v>
      </c>
      <c r="W63">
        <v>0</v>
      </c>
      <c r="X63">
        <v>0</v>
      </c>
      <c r="Y63">
        <v>0</v>
      </c>
      <c r="Z63" t="s">
        <v>88</v>
      </c>
      <c r="AA63" t="s">
        <v>91</v>
      </c>
      <c r="AB63" t="s">
        <v>10</v>
      </c>
      <c r="AC63">
        <v>0</v>
      </c>
      <c r="AD63">
        <v>0</v>
      </c>
      <c r="AE63">
        <v>726182084141</v>
      </c>
      <c r="AF63">
        <v>536.88</v>
      </c>
      <c r="AG63">
        <v>0</v>
      </c>
      <c r="AH63">
        <v>43.3</v>
      </c>
      <c r="AI63">
        <v>580.17999999999995</v>
      </c>
      <c r="AJ63" t="s">
        <v>2</v>
      </c>
      <c r="AK63" t="s">
        <v>11</v>
      </c>
    </row>
    <row r="64" spans="1:37">
      <c r="A64">
        <v>257656</v>
      </c>
      <c r="B64" s="1">
        <v>45366</v>
      </c>
      <c r="C64" t="s">
        <v>121</v>
      </c>
      <c r="D64" t="s">
        <v>122</v>
      </c>
      <c r="E64" t="s">
        <v>123</v>
      </c>
      <c r="F64" t="s">
        <v>124</v>
      </c>
      <c r="G64" t="s">
        <v>53</v>
      </c>
      <c r="H64">
        <v>85040</v>
      </c>
      <c r="I64" t="s">
        <v>125</v>
      </c>
      <c r="J64" t="s">
        <v>126</v>
      </c>
      <c r="K64" t="s">
        <v>127</v>
      </c>
      <c r="L64" t="s">
        <v>124</v>
      </c>
      <c r="M64" t="s">
        <v>53</v>
      </c>
      <c r="N64">
        <v>85286</v>
      </c>
      <c r="O64" t="s">
        <v>128</v>
      </c>
      <c r="P64">
        <v>315242</v>
      </c>
      <c r="Q64" t="s">
        <v>46</v>
      </c>
      <c r="R64">
        <v>415627</v>
      </c>
      <c r="S64" t="s">
        <v>84</v>
      </c>
      <c r="T64" s="2">
        <v>3</v>
      </c>
      <c r="U64">
        <v>0</v>
      </c>
      <c r="V64" t="s">
        <v>85</v>
      </c>
      <c r="W64">
        <v>0</v>
      </c>
      <c r="X64">
        <v>0</v>
      </c>
      <c r="Y64">
        <v>0</v>
      </c>
      <c r="Z64" t="s">
        <v>88</v>
      </c>
      <c r="AA64" t="s">
        <v>92</v>
      </c>
      <c r="AB64" t="s">
        <v>10</v>
      </c>
      <c r="AC64">
        <v>0</v>
      </c>
      <c r="AD64">
        <v>0</v>
      </c>
      <c r="AE64">
        <v>726182084141</v>
      </c>
      <c r="AF64">
        <v>536.88</v>
      </c>
      <c r="AG64">
        <v>0</v>
      </c>
      <c r="AH64">
        <v>43.3</v>
      </c>
      <c r="AI64">
        <v>580.17999999999995</v>
      </c>
      <c r="AJ64" t="s">
        <v>2</v>
      </c>
      <c r="AK64" t="s">
        <v>11</v>
      </c>
    </row>
    <row r="65" spans="1:37">
      <c r="A65">
        <v>257656</v>
      </c>
      <c r="B65" s="1">
        <v>45366</v>
      </c>
      <c r="C65" t="s">
        <v>121</v>
      </c>
      <c r="D65" t="s">
        <v>122</v>
      </c>
      <c r="E65" t="s">
        <v>123</v>
      </c>
      <c r="F65" t="s">
        <v>124</v>
      </c>
      <c r="G65" t="s">
        <v>53</v>
      </c>
      <c r="H65">
        <v>85040</v>
      </c>
      <c r="I65" t="s">
        <v>125</v>
      </c>
      <c r="J65" t="s">
        <v>126</v>
      </c>
      <c r="K65" t="s">
        <v>127</v>
      </c>
      <c r="L65" t="s">
        <v>124</v>
      </c>
      <c r="M65" t="s">
        <v>53</v>
      </c>
      <c r="N65">
        <v>85286</v>
      </c>
      <c r="O65" t="s">
        <v>128</v>
      </c>
      <c r="P65">
        <v>315242</v>
      </c>
      <c r="Q65" t="s">
        <v>46</v>
      </c>
      <c r="R65">
        <v>415627</v>
      </c>
      <c r="S65" t="s">
        <v>84</v>
      </c>
      <c r="T65" s="2">
        <v>3</v>
      </c>
      <c r="U65">
        <v>0</v>
      </c>
      <c r="V65" t="s">
        <v>85</v>
      </c>
      <c r="W65">
        <v>0</v>
      </c>
      <c r="X65">
        <v>0</v>
      </c>
      <c r="Y65">
        <v>0</v>
      </c>
      <c r="Z65" t="s">
        <v>88</v>
      </c>
      <c r="AA65" t="s">
        <v>90</v>
      </c>
      <c r="AB65" t="s">
        <v>10</v>
      </c>
      <c r="AC65">
        <v>0</v>
      </c>
      <c r="AD65">
        <v>0</v>
      </c>
      <c r="AE65">
        <v>726182084141</v>
      </c>
      <c r="AF65">
        <v>536.88</v>
      </c>
      <c r="AG65">
        <v>0</v>
      </c>
      <c r="AH65">
        <v>43.3</v>
      </c>
      <c r="AI65">
        <v>580.17999999999995</v>
      </c>
      <c r="AJ65" t="s">
        <v>2</v>
      </c>
      <c r="AK65" t="s">
        <v>11</v>
      </c>
    </row>
    <row r="66" spans="1:37">
      <c r="A66">
        <v>257656</v>
      </c>
      <c r="B66" s="1">
        <v>45366</v>
      </c>
      <c r="C66" t="s">
        <v>121</v>
      </c>
      <c r="D66" t="s">
        <v>122</v>
      </c>
      <c r="E66" t="s">
        <v>123</v>
      </c>
      <c r="F66" t="s">
        <v>124</v>
      </c>
      <c r="G66" t="s">
        <v>53</v>
      </c>
      <c r="H66">
        <v>85040</v>
      </c>
      <c r="I66" t="s">
        <v>125</v>
      </c>
      <c r="J66" t="s">
        <v>126</v>
      </c>
      <c r="K66" t="s">
        <v>127</v>
      </c>
      <c r="L66" t="s">
        <v>124</v>
      </c>
      <c r="M66" t="s">
        <v>53</v>
      </c>
      <c r="N66">
        <v>85286</v>
      </c>
      <c r="O66" t="s">
        <v>128</v>
      </c>
      <c r="P66">
        <v>315242</v>
      </c>
      <c r="Q66" t="s">
        <v>46</v>
      </c>
      <c r="R66">
        <v>415627</v>
      </c>
      <c r="S66" t="s">
        <v>84</v>
      </c>
      <c r="T66" s="2">
        <v>3</v>
      </c>
      <c r="U66">
        <v>0</v>
      </c>
      <c r="V66" t="s">
        <v>85</v>
      </c>
      <c r="W66">
        <v>1</v>
      </c>
      <c r="X66">
        <v>1</v>
      </c>
      <c r="Y66">
        <v>0</v>
      </c>
      <c r="Z66" t="s">
        <v>93</v>
      </c>
      <c r="AA66" t="s">
        <v>94</v>
      </c>
      <c r="AB66" t="s">
        <v>14</v>
      </c>
      <c r="AC66">
        <v>16.899999999999999</v>
      </c>
      <c r="AD66">
        <v>16.899999999999999</v>
      </c>
      <c r="AE66">
        <v>726182084141</v>
      </c>
      <c r="AF66">
        <v>536.88</v>
      </c>
      <c r="AG66">
        <v>0</v>
      </c>
      <c r="AH66">
        <v>43.3</v>
      </c>
      <c r="AI66">
        <v>580.17999999999995</v>
      </c>
      <c r="AJ66" t="s">
        <v>2</v>
      </c>
      <c r="AK66" t="s">
        <v>11</v>
      </c>
    </row>
    <row r="67" spans="1:37">
      <c r="A67">
        <v>257657</v>
      </c>
      <c r="B67" s="1">
        <v>45366</v>
      </c>
      <c r="C67" t="s">
        <v>134</v>
      </c>
      <c r="D67" t="s">
        <v>135</v>
      </c>
      <c r="E67" t="s">
        <v>2</v>
      </c>
      <c r="F67" t="s">
        <v>136</v>
      </c>
      <c r="G67" t="s">
        <v>137</v>
      </c>
      <c r="H67">
        <v>92647</v>
      </c>
      <c r="I67" t="s">
        <v>134</v>
      </c>
      <c r="J67" t="s">
        <v>135</v>
      </c>
      <c r="K67" t="s">
        <v>2</v>
      </c>
      <c r="L67" t="s">
        <v>138</v>
      </c>
      <c r="M67" t="s">
        <v>137</v>
      </c>
      <c r="N67">
        <v>92647</v>
      </c>
      <c r="O67" t="s">
        <v>139</v>
      </c>
      <c r="P67">
        <v>17802</v>
      </c>
      <c r="Q67" t="s">
        <v>46</v>
      </c>
      <c r="R67">
        <v>415537</v>
      </c>
      <c r="S67" t="s">
        <v>140</v>
      </c>
      <c r="T67" s="2">
        <v>2</v>
      </c>
      <c r="U67">
        <v>0</v>
      </c>
      <c r="V67" t="s">
        <v>85</v>
      </c>
      <c r="W67">
        <v>0</v>
      </c>
      <c r="X67">
        <v>0</v>
      </c>
      <c r="Y67">
        <v>0</v>
      </c>
      <c r="Z67" t="s">
        <v>9</v>
      </c>
      <c r="AA67" t="s">
        <v>2</v>
      </c>
      <c r="AB67" t="s">
        <v>10</v>
      </c>
      <c r="AC67">
        <v>0</v>
      </c>
      <c r="AD67">
        <v>0</v>
      </c>
      <c r="AE67" t="s">
        <v>141</v>
      </c>
      <c r="AF67">
        <v>216.57</v>
      </c>
      <c r="AG67">
        <v>0</v>
      </c>
      <c r="AH67">
        <v>18.399999999999999</v>
      </c>
      <c r="AI67">
        <v>234.97</v>
      </c>
      <c r="AJ67" t="s">
        <v>2</v>
      </c>
      <c r="AK67" t="s">
        <v>11</v>
      </c>
    </row>
    <row r="68" spans="1:37">
      <c r="A68">
        <v>257657</v>
      </c>
      <c r="B68" s="1">
        <v>45366</v>
      </c>
      <c r="C68" t="s">
        <v>134</v>
      </c>
      <c r="D68" t="s">
        <v>135</v>
      </c>
      <c r="E68" t="s">
        <v>2</v>
      </c>
      <c r="F68" t="s">
        <v>136</v>
      </c>
      <c r="G68" t="s">
        <v>137</v>
      </c>
      <c r="H68">
        <v>92647</v>
      </c>
      <c r="I68" t="s">
        <v>134</v>
      </c>
      <c r="J68" t="s">
        <v>135</v>
      </c>
      <c r="K68" t="s">
        <v>2</v>
      </c>
      <c r="L68" t="s">
        <v>138</v>
      </c>
      <c r="M68" t="s">
        <v>137</v>
      </c>
      <c r="N68">
        <v>92647</v>
      </c>
      <c r="O68" t="s">
        <v>139</v>
      </c>
      <c r="P68">
        <v>17802</v>
      </c>
      <c r="Q68" t="s">
        <v>46</v>
      </c>
      <c r="R68">
        <v>415537</v>
      </c>
      <c r="S68" t="s">
        <v>140</v>
      </c>
      <c r="T68" s="2">
        <v>2</v>
      </c>
      <c r="U68">
        <v>0</v>
      </c>
      <c r="V68" t="s">
        <v>85</v>
      </c>
      <c r="W68">
        <v>1</v>
      </c>
      <c r="X68">
        <v>1</v>
      </c>
      <c r="Y68">
        <v>0</v>
      </c>
      <c r="Z68" t="s">
        <v>142</v>
      </c>
      <c r="AA68" t="s">
        <v>143</v>
      </c>
      <c r="AB68" t="s">
        <v>14</v>
      </c>
      <c r="AC68">
        <v>209.73</v>
      </c>
      <c r="AD68">
        <v>209.73</v>
      </c>
      <c r="AE68" t="s">
        <v>141</v>
      </c>
      <c r="AF68">
        <v>216.57</v>
      </c>
      <c r="AG68">
        <v>0</v>
      </c>
      <c r="AH68">
        <v>18.399999999999999</v>
      </c>
      <c r="AI68">
        <v>234.97</v>
      </c>
      <c r="AJ68" t="s">
        <v>2</v>
      </c>
      <c r="AK68" t="s">
        <v>11</v>
      </c>
    </row>
    <row r="69" spans="1:37">
      <c r="A69">
        <v>257657</v>
      </c>
      <c r="B69" s="1">
        <v>45366</v>
      </c>
      <c r="C69" t="s">
        <v>134</v>
      </c>
      <c r="D69" t="s">
        <v>135</v>
      </c>
      <c r="E69" t="s">
        <v>2</v>
      </c>
      <c r="F69" t="s">
        <v>136</v>
      </c>
      <c r="G69" t="s">
        <v>137</v>
      </c>
      <c r="H69">
        <v>92647</v>
      </c>
      <c r="I69" t="s">
        <v>134</v>
      </c>
      <c r="J69" t="s">
        <v>135</v>
      </c>
      <c r="K69" t="s">
        <v>2</v>
      </c>
      <c r="L69" t="s">
        <v>138</v>
      </c>
      <c r="M69" t="s">
        <v>137</v>
      </c>
      <c r="N69">
        <v>92647</v>
      </c>
      <c r="O69" t="s">
        <v>139</v>
      </c>
      <c r="P69">
        <v>17802</v>
      </c>
      <c r="Q69" t="s">
        <v>46</v>
      </c>
      <c r="R69">
        <v>415537</v>
      </c>
      <c r="S69" t="s">
        <v>140</v>
      </c>
      <c r="T69" s="2">
        <v>2</v>
      </c>
      <c r="U69">
        <v>0</v>
      </c>
      <c r="V69" t="s">
        <v>85</v>
      </c>
      <c r="W69">
        <v>0</v>
      </c>
      <c r="X69">
        <v>0</v>
      </c>
      <c r="Y69">
        <v>0</v>
      </c>
      <c r="Z69" t="s">
        <v>88</v>
      </c>
      <c r="AA69" t="s">
        <v>144</v>
      </c>
      <c r="AB69" t="s">
        <v>10</v>
      </c>
      <c r="AC69">
        <v>0</v>
      </c>
      <c r="AD69">
        <v>0</v>
      </c>
      <c r="AE69" t="s">
        <v>141</v>
      </c>
      <c r="AF69">
        <v>216.57</v>
      </c>
      <c r="AG69">
        <v>0</v>
      </c>
      <c r="AH69">
        <v>18.399999999999999</v>
      </c>
      <c r="AI69">
        <v>234.97</v>
      </c>
      <c r="AJ69" t="s">
        <v>2</v>
      </c>
      <c r="AK69" t="s">
        <v>11</v>
      </c>
    </row>
    <row r="70" spans="1:37">
      <c r="A70">
        <v>257657</v>
      </c>
      <c r="B70" s="1">
        <v>45366</v>
      </c>
      <c r="C70" t="s">
        <v>134</v>
      </c>
      <c r="D70" t="s">
        <v>135</v>
      </c>
      <c r="E70" t="s">
        <v>2</v>
      </c>
      <c r="F70" t="s">
        <v>136</v>
      </c>
      <c r="G70" t="s">
        <v>137</v>
      </c>
      <c r="H70">
        <v>92647</v>
      </c>
      <c r="I70" t="s">
        <v>134</v>
      </c>
      <c r="J70" t="s">
        <v>135</v>
      </c>
      <c r="K70" t="s">
        <v>2</v>
      </c>
      <c r="L70" t="s">
        <v>138</v>
      </c>
      <c r="M70" t="s">
        <v>137</v>
      </c>
      <c r="N70">
        <v>92647</v>
      </c>
      <c r="O70" t="s">
        <v>139</v>
      </c>
      <c r="P70">
        <v>17802</v>
      </c>
      <c r="Q70" t="s">
        <v>46</v>
      </c>
      <c r="R70">
        <v>415537</v>
      </c>
      <c r="S70" t="s">
        <v>140</v>
      </c>
      <c r="T70" s="2">
        <v>2</v>
      </c>
      <c r="U70">
        <v>0</v>
      </c>
      <c r="V70" t="s">
        <v>85</v>
      </c>
      <c r="W70">
        <v>0</v>
      </c>
      <c r="X70">
        <v>0</v>
      </c>
      <c r="Y70">
        <v>0</v>
      </c>
      <c r="Z70" t="s">
        <v>88</v>
      </c>
      <c r="AA70" t="s">
        <v>90</v>
      </c>
      <c r="AB70" t="s">
        <v>10</v>
      </c>
      <c r="AC70">
        <v>0</v>
      </c>
      <c r="AD70">
        <v>0</v>
      </c>
      <c r="AE70" t="s">
        <v>141</v>
      </c>
      <c r="AF70">
        <v>216.57</v>
      </c>
      <c r="AG70">
        <v>0</v>
      </c>
      <c r="AH70">
        <v>18.399999999999999</v>
      </c>
      <c r="AI70">
        <v>234.97</v>
      </c>
      <c r="AJ70" t="s">
        <v>2</v>
      </c>
      <c r="AK70" t="s">
        <v>11</v>
      </c>
    </row>
    <row r="71" spans="1:37">
      <c r="A71">
        <v>257657</v>
      </c>
      <c r="B71" s="1">
        <v>45366</v>
      </c>
      <c r="C71" t="s">
        <v>134</v>
      </c>
      <c r="D71" t="s">
        <v>135</v>
      </c>
      <c r="E71" t="s">
        <v>2</v>
      </c>
      <c r="F71" t="s">
        <v>136</v>
      </c>
      <c r="G71" t="s">
        <v>137</v>
      </c>
      <c r="H71">
        <v>92647</v>
      </c>
      <c r="I71" t="s">
        <v>134</v>
      </c>
      <c r="J71" t="s">
        <v>135</v>
      </c>
      <c r="K71" t="s">
        <v>2</v>
      </c>
      <c r="L71" t="s">
        <v>138</v>
      </c>
      <c r="M71" t="s">
        <v>137</v>
      </c>
      <c r="N71">
        <v>92647</v>
      </c>
      <c r="O71" t="s">
        <v>139</v>
      </c>
      <c r="P71">
        <v>17802</v>
      </c>
      <c r="Q71" t="s">
        <v>46</v>
      </c>
      <c r="R71">
        <v>415537</v>
      </c>
      <c r="S71" t="s">
        <v>140</v>
      </c>
      <c r="T71" s="2">
        <v>2</v>
      </c>
      <c r="U71">
        <v>0</v>
      </c>
      <c r="V71" t="s">
        <v>85</v>
      </c>
      <c r="W71">
        <v>0</v>
      </c>
      <c r="X71">
        <v>0</v>
      </c>
      <c r="Y71">
        <v>0</v>
      </c>
      <c r="Z71" t="s">
        <v>88</v>
      </c>
      <c r="AA71" t="s">
        <v>91</v>
      </c>
      <c r="AB71" t="s">
        <v>10</v>
      </c>
      <c r="AC71">
        <v>0</v>
      </c>
      <c r="AD71">
        <v>0</v>
      </c>
      <c r="AE71" t="s">
        <v>141</v>
      </c>
      <c r="AF71">
        <v>216.57</v>
      </c>
      <c r="AG71">
        <v>0</v>
      </c>
      <c r="AH71">
        <v>18.399999999999999</v>
      </c>
      <c r="AI71">
        <v>234.97</v>
      </c>
      <c r="AJ71" t="s">
        <v>2</v>
      </c>
      <c r="AK71" t="s">
        <v>11</v>
      </c>
    </row>
    <row r="72" spans="1:37">
      <c r="A72">
        <v>257657</v>
      </c>
      <c r="B72" s="1">
        <v>45366</v>
      </c>
      <c r="C72" t="s">
        <v>134</v>
      </c>
      <c r="D72" t="s">
        <v>135</v>
      </c>
      <c r="E72" t="s">
        <v>2</v>
      </c>
      <c r="F72" t="s">
        <v>136</v>
      </c>
      <c r="G72" t="s">
        <v>137</v>
      </c>
      <c r="H72">
        <v>92647</v>
      </c>
      <c r="I72" t="s">
        <v>134</v>
      </c>
      <c r="J72" t="s">
        <v>135</v>
      </c>
      <c r="K72" t="s">
        <v>2</v>
      </c>
      <c r="L72" t="s">
        <v>138</v>
      </c>
      <c r="M72" t="s">
        <v>137</v>
      </c>
      <c r="N72">
        <v>92647</v>
      </c>
      <c r="O72" t="s">
        <v>139</v>
      </c>
      <c r="P72">
        <v>17802</v>
      </c>
      <c r="Q72" t="s">
        <v>46</v>
      </c>
      <c r="R72">
        <v>415537</v>
      </c>
      <c r="S72" t="s">
        <v>140</v>
      </c>
      <c r="T72" s="2">
        <v>2</v>
      </c>
      <c r="U72">
        <v>0</v>
      </c>
      <c r="V72" t="s">
        <v>85</v>
      </c>
      <c r="W72">
        <v>0</v>
      </c>
      <c r="X72">
        <v>0</v>
      </c>
      <c r="Y72">
        <v>0</v>
      </c>
      <c r="Z72" t="s">
        <v>88</v>
      </c>
      <c r="AA72" t="s">
        <v>92</v>
      </c>
      <c r="AB72" t="s">
        <v>10</v>
      </c>
      <c r="AC72">
        <v>0</v>
      </c>
      <c r="AD72">
        <v>0</v>
      </c>
      <c r="AE72" t="s">
        <v>141</v>
      </c>
      <c r="AF72">
        <v>216.57</v>
      </c>
      <c r="AG72">
        <v>0</v>
      </c>
      <c r="AH72">
        <v>18.399999999999999</v>
      </c>
      <c r="AI72">
        <v>234.97</v>
      </c>
      <c r="AJ72" t="s">
        <v>2</v>
      </c>
      <c r="AK72" t="s">
        <v>11</v>
      </c>
    </row>
    <row r="73" spans="1:37">
      <c r="A73">
        <v>257657</v>
      </c>
      <c r="B73" s="1">
        <v>45366</v>
      </c>
      <c r="C73" t="s">
        <v>134</v>
      </c>
      <c r="D73" t="s">
        <v>135</v>
      </c>
      <c r="E73" t="s">
        <v>2</v>
      </c>
      <c r="F73" t="s">
        <v>136</v>
      </c>
      <c r="G73" t="s">
        <v>137</v>
      </c>
      <c r="H73">
        <v>92647</v>
      </c>
      <c r="I73" t="s">
        <v>134</v>
      </c>
      <c r="J73" t="s">
        <v>135</v>
      </c>
      <c r="K73" t="s">
        <v>2</v>
      </c>
      <c r="L73" t="s">
        <v>138</v>
      </c>
      <c r="M73" t="s">
        <v>137</v>
      </c>
      <c r="N73">
        <v>92647</v>
      </c>
      <c r="O73" t="s">
        <v>139</v>
      </c>
      <c r="P73">
        <v>17802</v>
      </c>
      <c r="Q73" t="s">
        <v>46</v>
      </c>
      <c r="R73">
        <v>415537</v>
      </c>
      <c r="S73" t="s">
        <v>140</v>
      </c>
      <c r="T73" s="2">
        <v>2</v>
      </c>
      <c r="U73">
        <v>0</v>
      </c>
      <c r="V73" t="s">
        <v>85</v>
      </c>
      <c r="W73">
        <v>0</v>
      </c>
      <c r="X73">
        <v>0</v>
      </c>
      <c r="Y73">
        <v>0</v>
      </c>
      <c r="Z73" t="s">
        <v>88</v>
      </c>
      <c r="AA73" t="s">
        <v>90</v>
      </c>
      <c r="AB73" t="s">
        <v>10</v>
      </c>
      <c r="AC73">
        <v>0</v>
      </c>
      <c r="AD73">
        <v>0</v>
      </c>
      <c r="AE73" t="s">
        <v>141</v>
      </c>
      <c r="AF73">
        <v>216.57</v>
      </c>
      <c r="AG73">
        <v>0</v>
      </c>
      <c r="AH73">
        <v>18.399999999999999</v>
      </c>
      <c r="AI73">
        <v>234.97</v>
      </c>
      <c r="AJ73" t="s">
        <v>2</v>
      </c>
      <c r="AK73" t="s">
        <v>11</v>
      </c>
    </row>
    <row r="74" spans="1:37">
      <c r="A74">
        <v>257657</v>
      </c>
      <c r="B74" s="1">
        <v>45366</v>
      </c>
      <c r="C74" t="s">
        <v>134</v>
      </c>
      <c r="D74" t="s">
        <v>135</v>
      </c>
      <c r="E74" t="s">
        <v>2</v>
      </c>
      <c r="F74" t="s">
        <v>136</v>
      </c>
      <c r="G74" t="s">
        <v>137</v>
      </c>
      <c r="H74">
        <v>92647</v>
      </c>
      <c r="I74" t="s">
        <v>134</v>
      </c>
      <c r="J74" t="s">
        <v>135</v>
      </c>
      <c r="K74" t="s">
        <v>2</v>
      </c>
      <c r="L74" t="s">
        <v>138</v>
      </c>
      <c r="M74" t="s">
        <v>137</v>
      </c>
      <c r="N74">
        <v>92647</v>
      </c>
      <c r="O74" t="s">
        <v>139</v>
      </c>
      <c r="P74">
        <v>17802</v>
      </c>
      <c r="Q74" t="s">
        <v>46</v>
      </c>
      <c r="R74">
        <v>415537</v>
      </c>
      <c r="S74" t="s">
        <v>140</v>
      </c>
      <c r="T74" s="2">
        <v>2</v>
      </c>
      <c r="U74">
        <v>0</v>
      </c>
      <c r="V74" t="s">
        <v>85</v>
      </c>
      <c r="W74">
        <v>1</v>
      </c>
      <c r="X74">
        <v>1</v>
      </c>
      <c r="Y74">
        <v>0</v>
      </c>
      <c r="Z74" t="s">
        <v>93</v>
      </c>
      <c r="AA74" t="s">
        <v>94</v>
      </c>
      <c r="AB74" t="s">
        <v>14</v>
      </c>
      <c r="AC74">
        <v>6.84</v>
      </c>
      <c r="AD74">
        <v>6.84</v>
      </c>
      <c r="AE74" t="s">
        <v>141</v>
      </c>
      <c r="AF74">
        <v>216.57</v>
      </c>
      <c r="AG74">
        <v>0</v>
      </c>
      <c r="AH74">
        <v>18.399999999999999</v>
      </c>
      <c r="AI74">
        <v>234.97</v>
      </c>
      <c r="AJ74" t="s">
        <v>2</v>
      </c>
      <c r="AK74" t="s">
        <v>11</v>
      </c>
    </row>
    <row r="75" spans="1:37">
      <c r="A75">
        <v>257658</v>
      </c>
      <c r="B75" s="1">
        <v>45366</v>
      </c>
      <c r="C75" t="s">
        <v>145</v>
      </c>
      <c r="D75" t="s">
        <v>146</v>
      </c>
      <c r="E75" t="s">
        <v>2</v>
      </c>
      <c r="F75" t="s">
        <v>147</v>
      </c>
      <c r="G75" t="s">
        <v>148</v>
      </c>
      <c r="H75">
        <v>84104</v>
      </c>
      <c r="I75" t="s">
        <v>149</v>
      </c>
      <c r="J75" t="s">
        <v>150</v>
      </c>
      <c r="K75" t="s">
        <v>2</v>
      </c>
      <c r="L75" t="s">
        <v>147</v>
      </c>
      <c r="M75" t="s">
        <v>148</v>
      </c>
      <c r="N75" t="s">
        <v>151</v>
      </c>
      <c r="O75" t="s">
        <v>152</v>
      </c>
      <c r="P75">
        <v>2278749</v>
      </c>
      <c r="Q75" t="s">
        <v>46</v>
      </c>
      <c r="R75">
        <v>415696</v>
      </c>
      <c r="S75" t="s">
        <v>140</v>
      </c>
      <c r="T75" s="2">
        <v>1</v>
      </c>
      <c r="U75">
        <v>0</v>
      </c>
      <c r="V75" t="s">
        <v>153</v>
      </c>
      <c r="W75">
        <v>0</v>
      </c>
      <c r="X75">
        <v>0</v>
      </c>
      <c r="Y75">
        <v>0</v>
      </c>
      <c r="Z75" t="s">
        <v>9</v>
      </c>
      <c r="AA75" t="s">
        <v>2</v>
      </c>
      <c r="AB75" t="s">
        <v>10</v>
      </c>
      <c r="AC75">
        <v>0</v>
      </c>
      <c r="AD75">
        <v>0</v>
      </c>
      <c r="AE75" t="s">
        <v>154</v>
      </c>
      <c r="AF75">
        <v>362.4</v>
      </c>
      <c r="AG75">
        <v>0</v>
      </c>
      <c r="AH75">
        <v>19.84</v>
      </c>
      <c r="AI75">
        <v>382.24</v>
      </c>
      <c r="AJ75" t="s">
        <v>2</v>
      </c>
      <c r="AK75" t="s">
        <v>11</v>
      </c>
    </row>
    <row r="76" spans="1:37">
      <c r="A76">
        <v>257658</v>
      </c>
      <c r="B76" s="1">
        <v>45366</v>
      </c>
      <c r="C76" t="s">
        <v>145</v>
      </c>
      <c r="D76" t="s">
        <v>146</v>
      </c>
      <c r="E76" t="s">
        <v>2</v>
      </c>
      <c r="F76" t="s">
        <v>147</v>
      </c>
      <c r="G76" t="s">
        <v>148</v>
      </c>
      <c r="H76">
        <v>84104</v>
      </c>
      <c r="I76" t="s">
        <v>149</v>
      </c>
      <c r="J76" t="s">
        <v>150</v>
      </c>
      <c r="K76" t="s">
        <v>2</v>
      </c>
      <c r="L76" t="s">
        <v>147</v>
      </c>
      <c r="M76" t="s">
        <v>148</v>
      </c>
      <c r="N76" t="s">
        <v>151</v>
      </c>
      <c r="O76" t="s">
        <v>152</v>
      </c>
      <c r="P76">
        <v>2278749</v>
      </c>
      <c r="Q76" t="s">
        <v>46</v>
      </c>
      <c r="R76">
        <v>415696</v>
      </c>
      <c r="S76" t="s">
        <v>140</v>
      </c>
      <c r="T76" s="2">
        <v>1</v>
      </c>
      <c r="U76">
        <v>0</v>
      </c>
      <c r="V76" t="s">
        <v>153</v>
      </c>
      <c r="W76">
        <v>1</v>
      </c>
      <c r="X76">
        <v>1</v>
      </c>
      <c r="Y76">
        <v>0</v>
      </c>
      <c r="Z76" t="s">
        <v>155</v>
      </c>
      <c r="AA76" t="s">
        <v>156</v>
      </c>
      <c r="AB76" t="s">
        <v>14</v>
      </c>
      <c r="AC76">
        <v>362.4</v>
      </c>
      <c r="AD76">
        <v>362.4</v>
      </c>
      <c r="AE76" t="s">
        <v>154</v>
      </c>
      <c r="AF76">
        <v>362.4</v>
      </c>
      <c r="AG76">
        <v>0</v>
      </c>
      <c r="AH76">
        <v>19.84</v>
      </c>
      <c r="AI76">
        <v>382.24</v>
      </c>
      <c r="AJ76" t="s">
        <v>2</v>
      </c>
      <c r="AK76" t="s">
        <v>11</v>
      </c>
    </row>
    <row r="77" spans="1:37">
      <c r="A77">
        <v>257658</v>
      </c>
      <c r="B77" s="1">
        <v>45366</v>
      </c>
      <c r="C77" t="s">
        <v>145</v>
      </c>
      <c r="D77" t="s">
        <v>146</v>
      </c>
      <c r="E77" t="s">
        <v>2</v>
      </c>
      <c r="F77" t="s">
        <v>147</v>
      </c>
      <c r="G77" t="s">
        <v>148</v>
      </c>
      <c r="H77">
        <v>84104</v>
      </c>
      <c r="I77" t="s">
        <v>149</v>
      </c>
      <c r="J77" t="s">
        <v>150</v>
      </c>
      <c r="K77" t="s">
        <v>2</v>
      </c>
      <c r="L77" t="s">
        <v>147</v>
      </c>
      <c r="M77" t="s">
        <v>148</v>
      </c>
      <c r="N77" t="s">
        <v>151</v>
      </c>
      <c r="O77" t="s">
        <v>152</v>
      </c>
      <c r="P77">
        <v>2278749</v>
      </c>
      <c r="Q77" t="s">
        <v>46</v>
      </c>
      <c r="R77">
        <v>415696</v>
      </c>
      <c r="S77" t="s">
        <v>140</v>
      </c>
      <c r="T77" s="2">
        <v>1</v>
      </c>
      <c r="U77">
        <v>0</v>
      </c>
      <c r="V77" t="s">
        <v>153</v>
      </c>
      <c r="W77">
        <v>0</v>
      </c>
      <c r="X77">
        <v>0</v>
      </c>
      <c r="Y77">
        <v>0</v>
      </c>
      <c r="Z77" t="s">
        <v>88</v>
      </c>
      <c r="AA77" t="s">
        <v>144</v>
      </c>
      <c r="AB77" t="s">
        <v>10</v>
      </c>
      <c r="AC77">
        <v>0</v>
      </c>
      <c r="AD77">
        <v>0</v>
      </c>
      <c r="AE77" t="s">
        <v>154</v>
      </c>
      <c r="AF77">
        <v>362.4</v>
      </c>
      <c r="AG77">
        <v>0</v>
      </c>
      <c r="AH77">
        <v>19.84</v>
      </c>
      <c r="AI77">
        <v>382.24</v>
      </c>
      <c r="AJ77" t="s">
        <v>2</v>
      </c>
      <c r="AK77" t="s">
        <v>11</v>
      </c>
    </row>
    <row r="78" spans="1:37">
      <c r="A78">
        <v>257658</v>
      </c>
      <c r="B78" s="1">
        <v>45366</v>
      </c>
      <c r="C78" t="s">
        <v>145</v>
      </c>
      <c r="D78" t="s">
        <v>146</v>
      </c>
      <c r="E78" t="s">
        <v>2</v>
      </c>
      <c r="F78" t="s">
        <v>147</v>
      </c>
      <c r="G78" t="s">
        <v>148</v>
      </c>
      <c r="H78">
        <v>84104</v>
      </c>
      <c r="I78" t="s">
        <v>149</v>
      </c>
      <c r="J78" t="s">
        <v>150</v>
      </c>
      <c r="K78" t="s">
        <v>2</v>
      </c>
      <c r="L78" t="s">
        <v>147</v>
      </c>
      <c r="M78" t="s">
        <v>148</v>
      </c>
      <c r="N78" t="s">
        <v>151</v>
      </c>
      <c r="O78" t="s">
        <v>152</v>
      </c>
      <c r="P78">
        <v>2278749</v>
      </c>
      <c r="Q78" t="s">
        <v>46</v>
      </c>
      <c r="R78">
        <v>415696</v>
      </c>
      <c r="S78" t="s">
        <v>140</v>
      </c>
      <c r="T78" s="2">
        <v>1</v>
      </c>
      <c r="U78">
        <v>0</v>
      </c>
      <c r="V78" t="s">
        <v>153</v>
      </c>
      <c r="W78">
        <v>1</v>
      </c>
      <c r="X78">
        <v>0</v>
      </c>
      <c r="Y78">
        <v>1</v>
      </c>
      <c r="Z78" t="s">
        <v>157</v>
      </c>
      <c r="AA78" t="s">
        <v>158</v>
      </c>
      <c r="AB78" t="s">
        <v>14</v>
      </c>
      <c r="AC78">
        <v>579.84</v>
      </c>
      <c r="AD78">
        <v>0</v>
      </c>
      <c r="AE78" t="s">
        <v>154</v>
      </c>
      <c r="AF78">
        <v>362.4</v>
      </c>
      <c r="AG78">
        <v>0</v>
      </c>
      <c r="AH78">
        <v>19.84</v>
      </c>
      <c r="AI78">
        <v>382.24</v>
      </c>
      <c r="AJ78" t="s">
        <v>2</v>
      </c>
      <c r="AK78" t="s">
        <v>11</v>
      </c>
    </row>
    <row r="79" spans="1:37">
      <c r="A79">
        <v>257658</v>
      </c>
      <c r="B79" s="1">
        <v>45366</v>
      </c>
      <c r="C79" t="s">
        <v>145</v>
      </c>
      <c r="D79" t="s">
        <v>146</v>
      </c>
      <c r="E79" t="s">
        <v>2</v>
      </c>
      <c r="F79" t="s">
        <v>147</v>
      </c>
      <c r="G79" t="s">
        <v>148</v>
      </c>
      <c r="H79">
        <v>84104</v>
      </c>
      <c r="I79" t="s">
        <v>149</v>
      </c>
      <c r="J79" t="s">
        <v>150</v>
      </c>
      <c r="K79" t="s">
        <v>2</v>
      </c>
      <c r="L79" t="s">
        <v>147</v>
      </c>
      <c r="M79" t="s">
        <v>148</v>
      </c>
      <c r="N79" t="s">
        <v>151</v>
      </c>
      <c r="O79" t="s">
        <v>152</v>
      </c>
      <c r="P79">
        <v>2278749</v>
      </c>
      <c r="Q79" t="s">
        <v>46</v>
      </c>
      <c r="R79">
        <v>415696</v>
      </c>
      <c r="S79" t="s">
        <v>140</v>
      </c>
      <c r="T79" s="2">
        <v>1</v>
      </c>
      <c r="U79">
        <v>0</v>
      </c>
      <c r="V79" t="s">
        <v>153</v>
      </c>
      <c r="W79">
        <v>0</v>
      </c>
      <c r="X79">
        <v>0</v>
      </c>
      <c r="Y79">
        <v>0</v>
      </c>
      <c r="Z79" t="s">
        <v>88</v>
      </c>
      <c r="AA79" t="s">
        <v>144</v>
      </c>
      <c r="AB79" t="s">
        <v>10</v>
      </c>
      <c r="AC79">
        <v>0</v>
      </c>
      <c r="AD79">
        <v>0</v>
      </c>
      <c r="AE79" t="s">
        <v>154</v>
      </c>
      <c r="AF79">
        <v>362.4</v>
      </c>
      <c r="AG79">
        <v>0</v>
      </c>
      <c r="AH79">
        <v>19.84</v>
      </c>
      <c r="AI79">
        <v>382.24</v>
      </c>
      <c r="AJ79" t="s">
        <v>2</v>
      </c>
      <c r="AK79" t="s">
        <v>11</v>
      </c>
    </row>
    <row r="80" spans="1:37">
      <c r="A80">
        <v>257659</v>
      </c>
      <c r="B80" s="1">
        <v>45366</v>
      </c>
      <c r="C80" t="s">
        <v>159</v>
      </c>
      <c r="D80" t="s">
        <v>160</v>
      </c>
      <c r="E80" t="s">
        <v>161</v>
      </c>
      <c r="F80" t="s">
        <v>162</v>
      </c>
      <c r="G80" t="s">
        <v>163</v>
      </c>
      <c r="H80">
        <v>80239</v>
      </c>
      <c r="I80" t="s">
        <v>164</v>
      </c>
      <c r="J80" t="s">
        <v>165</v>
      </c>
      <c r="K80" t="s">
        <v>2</v>
      </c>
      <c r="L80" t="s">
        <v>166</v>
      </c>
      <c r="M80" t="s">
        <v>163</v>
      </c>
      <c r="N80" t="s">
        <v>167</v>
      </c>
      <c r="O80" t="s">
        <v>168</v>
      </c>
      <c r="P80">
        <v>2278456</v>
      </c>
      <c r="Q80" t="s">
        <v>38</v>
      </c>
      <c r="R80">
        <v>415575</v>
      </c>
      <c r="S80" t="s">
        <v>140</v>
      </c>
      <c r="T80" s="2">
        <v>1</v>
      </c>
      <c r="U80">
        <v>0</v>
      </c>
      <c r="V80" t="s">
        <v>153</v>
      </c>
      <c r="W80">
        <v>0</v>
      </c>
      <c r="X80">
        <v>0</v>
      </c>
      <c r="Y80">
        <v>0</v>
      </c>
      <c r="Z80" t="s">
        <v>9</v>
      </c>
      <c r="AA80" t="s">
        <v>2</v>
      </c>
      <c r="AB80" t="s">
        <v>10</v>
      </c>
      <c r="AC80">
        <v>0</v>
      </c>
      <c r="AD80">
        <v>0</v>
      </c>
      <c r="AE80" t="s">
        <v>169</v>
      </c>
      <c r="AF80">
        <v>362.57</v>
      </c>
      <c r="AG80">
        <v>0</v>
      </c>
      <c r="AH80">
        <v>20.29</v>
      </c>
      <c r="AI80">
        <v>382.86</v>
      </c>
      <c r="AJ80" t="s">
        <v>2</v>
      </c>
      <c r="AK80" t="s">
        <v>11</v>
      </c>
    </row>
    <row r="81" spans="1:37">
      <c r="A81">
        <v>257659</v>
      </c>
      <c r="B81" s="1">
        <v>45366</v>
      </c>
      <c r="C81" t="s">
        <v>159</v>
      </c>
      <c r="D81" t="s">
        <v>160</v>
      </c>
      <c r="E81" t="s">
        <v>161</v>
      </c>
      <c r="F81" t="s">
        <v>162</v>
      </c>
      <c r="G81" t="s">
        <v>163</v>
      </c>
      <c r="H81">
        <v>80239</v>
      </c>
      <c r="I81" t="s">
        <v>164</v>
      </c>
      <c r="J81" t="s">
        <v>165</v>
      </c>
      <c r="K81" t="s">
        <v>2</v>
      </c>
      <c r="L81" t="s">
        <v>166</v>
      </c>
      <c r="M81" t="s">
        <v>163</v>
      </c>
      <c r="N81" t="s">
        <v>167</v>
      </c>
      <c r="O81" t="s">
        <v>168</v>
      </c>
      <c r="P81">
        <v>2278456</v>
      </c>
      <c r="Q81" t="s">
        <v>38</v>
      </c>
      <c r="R81">
        <v>415575</v>
      </c>
      <c r="S81" t="s">
        <v>140</v>
      </c>
      <c r="T81" s="2">
        <v>1</v>
      </c>
      <c r="U81">
        <v>0</v>
      </c>
      <c r="V81" t="s">
        <v>153</v>
      </c>
      <c r="W81">
        <v>1</v>
      </c>
      <c r="X81">
        <v>1</v>
      </c>
      <c r="Y81">
        <v>0</v>
      </c>
      <c r="Z81" t="s">
        <v>105</v>
      </c>
      <c r="AA81" t="s">
        <v>106</v>
      </c>
      <c r="AB81" t="s">
        <v>14</v>
      </c>
      <c r="AC81">
        <v>362.57</v>
      </c>
      <c r="AD81">
        <v>362.57</v>
      </c>
      <c r="AE81" t="s">
        <v>169</v>
      </c>
      <c r="AF81">
        <v>362.57</v>
      </c>
      <c r="AG81">
        <v>0</v>
      </c>
      <c r="AH81">
        <v>20.29</v>
      </c>
      <c r="AI81">
        <v>382.86</v>
      </c>
      <c r="AJ81" t="s">
        <v>2</v>
      </c>
      <c r="AK81" t="s">
        <v>11</v>
      </c>
    </row>
    <row r="82" spans="1:37">
      <c r="A82">
        <v>257659</v>
      </c>
      <c r="B82" s="1">
        <v>45366</v>
      </c>
      <c r="C82" t="s">
        <v>159</v>
      </c>
      <c r="D82" t="s">
        <v>160</v>
      </c>
      <c r="E82" t="s">
        <v>161</v>
      </c>
      <c r="F82" t="s">
        <v>162</v>
      </c>
      <c r="G82" t="s">
        <v>163</v>
      </c>
      <c r="H82">
        <v>80239</v>
      </c>
      <c r="I82" t="s">
        <v>164</v>
      </c>
      <c r="J82" t="s">
        <v>165</v>
      </c>
      <c r="K82" t="s">
        <v>2</v>
      </c>
      <c r="L82" t="s">
        <v>166</v>
      </c>
      <c r="M82" t="s">
        <v>163</v>
      </c>
      <c r="N82" t="s">
        <v>167</v>
      </c>
      <c r="O82" t="s">
        <v>168</v>
      </c>
      <c r="P82">
        <v>2278456</v>
      </c>
      <c r="Q82" t="s">
        <v>38</v>
      </c>
      <c r="R82">
        <v>415575</v>
      </c>
      <c r="S82" t="s">
        <v>140</v>
      </c>
      <c r="T82" s="2">
        <v>1</v>
      </c>
      <c r="U82">
        <v>0</v>
      </c>
      <c r="V82" t="s">
        <v>153</v>
      </c>
      <c r="W82">
        <v>0</v>
      </c>
      <c r="X82">
        <v>0</v>
      </c>
      <c r="Y82">
        <v>0</v>
      </c>
      <c r="Z82" t="s">
        <v>88</v>
      </c>
      <c r="AA82" t="s">
        <v>107</v>
      </c>
      <c r="AB82" t="s">
        <v>10</v>
      </c>
      <c r="AC82">
        <v>0</v>
      </c>
      <c r="AD82">
        <v>0</v>
      </c>
      <c r="AE82" t="s">
        <v>169</v>
      </c>
      <c r="AF82">
        <v>362.57</v>
      </c>
      <c r="AG82">
        <v>0</v>
      </c>
      <c r="AH82">
        <v>20.29</v>
      </c>
      <c r="AI82">
        <v>382.86</v>
      </c>
      <c r="AJ82" t="s">
        <v>2</v>
      </c>
      <c r="AK82" t="s">
        <v>11</v>
      </c>
    </row>
    <row r="83" spans="1:37">
      <c r="A83">
        <v>257660</v>
      </c>
      <c r="B83" s="1">
        <v>45366</v>
      </c>
      <c r="C83" t="s">
        <v>170</v>
      </c>
      <c r="D83" t="s">
        <v>171</v>
      </c>
      <c r="E83" t="s">
        <v>2</v>
      </c>
      <c r="F83" t="s">
        <v>172</v>
      </c>
      <c r="G83" t="s">
        <v>173</v>
      </c>
      <c r="H83">
        <v>98032</v>
      </c>
      <c r="I83" t="s">
        <v>174</v>
      </c>
      <c r="J83" t="s">
        <v>175</v>
      </c>
      <c r="K83" t="s">
        <v>2</v>
      </c>
      <c r="L83" t="s">
        <v>176</v>
      </c>
      <c r="M83" t="s">
        <v>173</v>
      </c>
      <c r="N83" t="s">
        <v>177</v>
      </c>
      <c r="O83" t="s">
        <v>178</v>
      </c>
      <c r="P83">
        <v>2278474</v>
      </c>
      <c r="Q83" t="s">
        <v>38</v>
      </c>
      <c r="R83">
        <v>415595</v>
      </c>
      <c r="S83" t="s">
        <v>84</v>
      </c>
      <c r="T83" s="2">
        <v>3</v>
      </c>
      <c r="U83">
        <v>0</v>
      </c>
      <c r="V83" t="s">
        <v>153</v>
      </c>
      <c r="W83">
        <v>0</v>
      </c>
      <c r="X83">
        <v>0</v>
      </c>
      <c r="Y83">
        <v>0</v>
      </c>
      <c r="Z83" t="s">
        <v>9</v>
      </c>
      <c r="AA83" t="s">
        <v>2</v>
      </c>
      <c r="AB83" t="s">
        <v>10</v>
      </c>
      <c r="AC83">
        <v>0</v>
      </c>
      <c r="AD83">
        <v>0</v>
      </c>
      <c r="AE83">
        <v>582744796637</v>
      </c>
      <c r="AF83">
        <v>3559.88</v>
      </c>
      <c r="AG83">
        <v>0</v>
      </c>
      <c r="AH83">
        <v>0</v>
      </c>
      <c r="AI83">
        <v>3559.88</v>
      </c>
      <c r="AJ83" t="s">
        <v>2</v>
      </c>
      <c r="AK83" t="s">
        <v>11</v>
      </c>
    </row>
    <row r="84" spans="1:37">
      <c r="A84">
        <v>257660</v>
      </c>
      <c r="B84" s="1">
        <v>45366</v>
      </c>
      <c r="C84" t="s">
        <v>170</v>
      </c>
      <c r="D84" t="s">
        <v>171</v>
      </c>
      <c r="E84" t="s">
        <v>2</v>
      </c>
      <c r="F84" t="s">
        <v>172</v>
      </c>
      <c r="G84" t="s">
        <v>173</v>
      </c>
      <c r="H84">
        <v>98032</v>
      </c>
      <c r="I84" t="s">
        <v>174</v>
      </c>
      <c r="J84" t="s">
        <v>175</v>
      </c>
      <c r="K84" t="s">
        <v>2</v>
      </c>
      <c r="L84" t="s">
        <v>176</v>
      </c>
      <c r="M84" t="s">
        <v>173</v>
      </c>
      <c r="N84" t="s">
        <v>177</v>
      </c>
      <c r="O84" t="s">
        <v>178</v>
      </c>
      <c r="P84">
        <v>2278474</v>
      </c>
      <c r="Q84" t="s">
        <v>38</v>
      </c>
      <c r="R84">
        <v>415595</v>
      </c>
      <c r="S84" t="s">
        <v>84</v>
      </c>
      <c r="T84" s="2">
        <v>3</v>
      </c>
      <c r="U84">
        <v>0</v>
      </c>
      <c r="V84" t="s">
        <v>153</v>
      </c>
      <c r="W84">
        <v>1</v>
      </c>
      <c r="X84">
        <v>1</v>
      </c>
      <c r="Y84">
        <v>0</v>
      </c>
      <c r="Z84" t="s">
        <v>179</v>
      </c>
      <c r="AA84" t="s">
        <v>180</v>
      </c>
      <c r="AB84" t="s">
        <v>14</v>
      </c>
      <c r="AC84">
        <v>1767.44</v>
      </c>
      <c r="AD84">
        <v>1767.44</v>
      </c>
      <c r="AE84">
        <v>582744796637</v>
      </c>
      <c r="AF84">
        <v>3559.88</v>
      </c>
      <c r="AG84">
        <v>0</v>
      </c>
      <c r="AH84">
        <v>0</v>
      </c>
      <c r="AI84">
        <v>3559.88</v>
      </c>
      <c r="AJ84" t="s">
        <v>2</v>
      </c>
      <c r="AK84" t="s">
        <v>11</v>
      </c>
    </row>
    <row r="85" spans="1:37">
      <c r="A85">
        <v>257660</v>
      </c>
      <c r="B85" s="1">
        <v>45366</v>
      </c>
      <c r="C85" t="s">
        <v>170</v>
      </c>
      <c r="D85" t="s">
        <v>171</v>
      </c>
      <c r="E85" t="s">
        <v>2</v>
      </c>
      <c r="F85" t="s">
        <v>172</v>
      </c>
      <c r="G85" t="s">
        <v>173</v>
      </c>
      <c r="H85">
        <v>98032</v>
      </c>
      <c r="I85" t="s">
        <v>174</v>
      </c>
      <c r="J85" t="s">
        <v>175</v>
      </c>
      <c r="K85" t="s">
        <v>2</v>
      </c>
      <c r="L85" t="s">
        <v>176</v>
      </c>
      <c r="M85" t="s">
        <v>173</v>
      </c>
      <c r="N85" t="s">
        <v>177</v>
      </c>
      <c r="O85" t="s">
        <v>178</v>
      </c>
      <c r="P85">
        <v>2278474</v>
      </c>
      <c r="Q85" t="s">
        <v>38</v>
      </c>
      <c r="R85">
        <v>415595</v>
      </c>
      <c r="S85" t="s">
        <v>84</v>
      </c>
      <c r="T85" s="2">
        <v>3</v>
      </c>
      <c r="U85">
        <v>0</v>
      </c>
      <c r="V85" t="s">
        <v>153</v>
      </c>
      <c r="W85">
        <v>0</v>
      </c>
      <c r="X85">
        <v>0</v>
      </c>
      <c r="Y85">
        <v>0</v>
      </c>
      <c r="Z85" t="s">
        <v>88</v>
      </c>
      <c r="AA85" t="s">
        <v>116</v>
      </c>
      <c r="AB85" t="s">
        <v>10</v>
      </c>
      <c r="AC85">
        <v>0</v>
      </c>
      <c r="AD85">
        <v>0</v>
      </c>
      <c r="AE85">
        <v>582744796637</v>
      </c>
      <c r="AF85">
        <v>3559.88</v>
      </c>
      <c r="AG85">
        <v>0</v>
      </c>
      <c r="AH85">
        <v>0</v>
      </c>
      <c r="AI85">
        <v>3559.88</v>
      </c>
      <c r="AJ85" t="s">
        <v>2</v>
      </c>
      <c r="AK85" t="s">
        <v>11</v>
      </c>
    </row>
    <row r="86" spans="1:37">
      <c r="A86">
        <v>257660</v>
      </c>
      <c r="B86" s="1">
        <v>45366</v>
      </c>
      <c r="C86" t="s">
        <v>170</v>
      </c>
      <c r="D86" t="s">
        <v>171</v>
      </c>
      <c r="E86" t="s">
        <v>2</v>
      </c>
      <c r="F86" t="s">
        <v>172</v>
      </c>
      <c r="G86" t="s">
        <v>173</v>
      </c>
      <c r="H86">
        <v>98032</v>
      </c>
      <c r="I86" t="s">
        <v>174</v>
      </c>
      <c r="J86" t="s">
        <v>175</v>
      </c>
      <c r="K86" t="s">
        <v>2</v>
      </c>
      <c r="L86" t="s">
        <v>176</v>
      </c>
      <c r="M86" t="s">
        <v>173</v>
      </c>
      <c r="N86" t="s">
        <v>177</v>
      </c>
      <c r="O86" t="s">
        <v>178</v>
      </c>
      <c r="P86">
        <v>2278474</v>
      </c>
      <c r="Q86" t="s">
        <v>38</v>
      </c>
      <c r="R86">
        <v>415595</v>
      </c>
      <c r="S86" t="s">
        <v>84</v>
      </c>
      <c r="T86" s="2">
        <v>3</v>
      </c>
      <c r="U86">
        <v>0</v>
      </c>
      <c r="V86" t="s">
        <v>153</v>
      </c>
      <c r="W86">
        <v>1</v>
      </c>
      <c r="X86">
        <v>1</v>
      </c>
      <c r="Y86">
        <v>0</v>
      </c>
      <c r="Z86" t="s">
        <v>181</v>
      </c>
      <c r="AA86" t="s">
        <v>182</v>
      </c>
      <c r="AB86" t="s">
        <v>14</v>
      </c>
      <c r="AC86">
        <v>1767.44</v>
      </c>
      <c r="AD86">
        <v>1767.44</v>
      </c>
      <c r="AE86">
        <v>582744796637</v>
      </c>
      <c r="AF86">
        <v>3559.88</v>
      </c>
      <c r="AG86">
        <v>0</v>
      </c>
      <c r="AH86">
        <v>0</v>
      </c>
      <c r="AI86">
        <v>3559.88</v>
      </c>
      <c r="AJ86" t="s">
        <v>2</v>
      </c>
      <c r="AK86" t="s">
        <v>11</v>
      </c>
    </row>
    <row r="87" spans="1:37">
      <c r="A87">
        <v>257660</v>
      </c>
      <c r="B87" s="1">
        <v>45366</v>
      </c>
      <c r="C87" t="s">
        <v>170</v>
      </c>
      <c r="D87" t="s">
        <v>171</v>
      </c>
      <c r="E87" t="s">
        <v>2</v>
      </c>
      <c r="F87" t="s">
        <v>172</v>
      </c>
      <c r="G87" t="s">
        <v>173</v>
      </c>
      <c r="H87">
        <v>98032</v>
      </c>
      <c r="I87" t="s">
        <v>174</v>
      </c>
      <c r="J87" t="s">
        <v>175</v>
      </c>
      <c r="K87" t="s">
        <v>2</v>
      </c>
      <c r="L87" t="s">
        <v>176</v>
      </c>
      <c r="M87" t="s">
        <v>173</v>
      </c>
      <c r="N87" t="s">
        <v>177</v>
      </c>
      <c r="O87" t="s">
        <v>178</v>
      </c>
      <c r="P87">
        <v>2278474</v>
      </c>
      <c r="Q87" t="s">
        <v>38</v>
      </c>
      <c r="R87">
        <v>415595</v>
      </c>
      <c r="S87" t="s">
        <v>84</v>
      </c>
      <c r="T87" s="2">
        <v>3</v>
      </c>
      <c r="U87">
        <v>0</v>
      </c>
      <c r="V87" t="s">
        <v>153</v>
      </c>
      <c r="W87">
        <v>0</v>
      </c>
      <c r="X87">
        <v>0</v>
      </c>
      <c r="Y87">
        <v>0</v>
      </c>
      <c r="Z87" t="s">
        <v>88</v>
      </c>
      <c r="AA87" t="s">
        <v>116</v>
      </c>
      <c r="AB87" t="s">
        <v>10</v>
      </c>
      <c r="AC87">
        <v>0</v>
      </c>
      <c r="AD87">
        <v>0</v>
      </c>
      <c r="AE87">
        <v>582744796637</v>
      </c>
      <c r="AF87">
        <v>3559.88</v>
      </c>
      <c r="AG87">
        <v>0</v>
      </c>
      <c r="AH87">
        <v>0</v>
      </c>
      <c r="AI87">
        <v>3559.88</v>
      </c>
      <c r="AJ87" t="s">
        <v>2</v>
      </c>
      <c r="AK87" t="s">
        <v>11</v>
      </c>
    </row>
    <row r="88" spans="1:37">
      <c r="A88">
        <v>257660</v>
      </c>
      <c r="B88" s="1">
        <v>45366</v>
      </c>
      <c r="C88" t="s">
        <v>170</v>
      </c>
      <c r="D88" t="s">
        <v>171</v>
      </c>
      <c r="E88" t="s">
        <v>2</v>
      </c>
      <c r="F88" t="s">
        <v>172</v>
      </c>
      <c r="G88" t="s">
        <v>173</v>
      </c>
      <c r="H88">
        <v>98032</v>
      </c>
      <c r="I88" t="s">
        <v>174</v>
      </c>
      <c r="J88" t="s">
        <v>175</v>
      </c>
      <c r="K88" t="s">
        <v>2</v>
      </c>
      <c r="L88" t="s">
        <v>176</v>
      </c>
      <c r="M88" t="s">
        <v>173</v>
      </c>
      <c r="N88" t="s">
        <v>177</v>
      </c>
      <c r="O88" t="s">
        <v>178</v>
      </c>
      <c r="P88">
        <v>2278474</v>
      </c>
      <c r="Q88" t="s">
        <v>38</v>
      </c>
      <c r="R88">
        <v>415595</v>
      </c>
      <c r="S88" t="s">
        <v>84</v>
      </c>
      <c r="T88" s="2">
        <v>3</v>
      </c>
      <c r="U88">
        <v>0</v>
      </c>
      <c r="V88" t="s">
        <v>153</v>
      </c>
      <c r="W88">
        <v>1</v>
      </c>
      <c r="X88">
        <v>1</v>
      </c>
      <c r="Y88">
        <v>0</v>
      </c>
      <c r="Z88" t="s">
        <v>183</v>
      </c>
      <c r="AA88" t="s">
        <v>184</v>
      </c>
      <c r="AB88" t="s">
        <v>14</v>
      </c>
      <c r="AC88">
        <v>25</v>
      </c>
      <c r="AD88">
        <v>25</v>
      </c>
      <c r="AE88">
        <v>582744796637</v>
      </c>
      <c r="AF88">
        <v>3559.88</v>
      </c>
      <c r="AG88">
        <v>0</v>
      </c>
      <c r="AH88">
        <v>0</v>
      </c>
      <c r="AI88">
        <v>3559.88</v>
      </c>
      <c r="AJ88" t="s">
        <v>2</v>
      </c>
      <c r="AK88" t="s">
        <v>11</v>
      </c>
    </row>
    <row r="89" spans="1:37">
      <c r="A89">
        <v>257661</v>
      </c>
      <c r="B89" s="1">
        <v>45366</v>
      </c>
      <c r="C89" t="s">
        <v>185</v>
      </c>
      <c r="D89" t="s">
        <v>186</v>
      </c>
      <c r="E89" t="s">
        <v>2</v>
      </c>
      <c r="F89" t="s">
        <v>187</v>
      </c>
      <c r="G89" t="s">
        <v>137</v>
      </c>
      <c r="H89">
        <v>90703</v>
      </c>
      <c r="I89" t="s">
        <v>188</v>
      </c>
      <c r="J89" t="s">
        <v>189</v>
      </c>
      <c r="K89" t="s">
        <v>2</v>
      </c>
      <c r="L89" t="s">
        <v>190</v>
      </c>
      <c r="M89" t="s">
        <v>137</v>
      </c>
      <c r="N89" t="s">
        <v>191</v>
      </c>
      <c r="O89" t="s">
        <v>192</v>
      </c>
      <c r="P89">
        <v>2278531</v>
      </c>
      <c r="Q89" t="s">
        <v>38</v>
      </c>
      <c r="R89">
        <v>415599</v>
      </c>
      <c r="S89" t="s">
        <v>140</v>
      </c>
      <c r="T89" s="2">
        <v>3</v>
      </c>
      <c r="U89">
        <v>0</v>
      </c>
      <c r="V89" t="s">
        <v>153</v>
      </c>
      <c r="W89">
        <v>0</v>
      </c>
      <c r="X89">
        <v>0</v>
      </c>
      <c r="Y89">
        <v>0</v>
      </c>
      <c r="Z89" t="s">
        <v>9</v>
      </c>
      <c r="AA89" t="s">
        <v>2</v>
      </c>
      <c r="AB89" t="s">
        <v>10</v>
      </c>
      <c r="AC89">
        <v>0</v>
      </c>
      <c r="AD89">
        <v>0</v>
      </c>
      <c r="AE89" t="s">
        <v>193</v>
      </c>
      <c r="AF89">
        <v>4415.68</v>
      </c>
      <c r="AG89">
        <v>0</v>
      </c>
      <c r="AH89">
        <v>0</v>
      </c>
      <c r="AI89">
        <v>4415.68</v>
      </c>
      <c r="AJ89" t="s">
        <v>2</v>
      </c>
      <c r="AK89" t="s">
        <v>11</v>
      </c>
    </row>
    <row r="90" spans="1:37">
      <c r="A90">
        <v>257661</v>
      </c>
      <c r="B90" s="1">
        <v>45366</v>
      </c>
      <c r="C90" t="s">
        <v>185</v>
      </c>
      <c r="D90" t="s">
        <v>186</v>
      </c>
      <c r="E90" t="s">
        <v>2</v>
      </c>
      <c r="F90" t="s">
        <v>187</v>
      </c>
      <c r="G90" t="s">
        <v>137</v>
      </c>
      <c r="H90">
        <v>90703</v>
      </c>
      <c r="I90" t="s">
        <v>188</v>
      </c>
      <c r="J90" t="s">
        <v>189</v>
      </c>
      <c r="K90" t="s">
        <v>2</v>
      </c>
      <c r="L90" t="s">
        <v>190</v>
      </c>
      <c r="M90" t="s">
        <v>137</v>
      </c>
      <c r="N90" t="s">
        <v>191</v>
      </c>
      <c r="O90" t="s">
        <v>192</v>
      </c>
      <c r="P90">
        <v>2278531</v>
      </c>
      <c r="Q90" t="s">
        <v>38</v>
      </c>
      <c r="R90">
        <v>415599</v>
      </c>
      <c r="S90" t="s">
        <v>140</v>
      </c>
      <c r="T90" s="2">
        <v>3</v>
      </c>
      <c r="U90">
        <v>0</v>
      </c>
      <c r="V90" t="s">
        <v>153</v>
      </c>
      <c r="W90">
        <v>2</v>
      </c>
      <c r="X90">
        <v>2</v>
      </c>
      <c r="Y90">
        <v>0</v>
      </c>
      <c r="Z90" t="s">
        <v>194</v>
      </c>
      <c r="AA90" t="s">
        <v>195</v>
      </c>
      <c r="AB90" t="s">
        <v>14</v>
      </c>
      <c r="AC90">
        <v>2195.34</v>
      </c>
      <c r="AD90">
        <v>4390.68</v>
      </c>
      <c r="AE90" t="s">
        <v>193</v>
      </c>
      <c r="AF90">
        <v>4415.68</v>
      </c>
      <c r="AG90">
        <v>0</v>
      </c>
      <c r="AH90">
        <v>0</v>
      </c>
      <c r="AI90">
        <v>4415.68</v>
      </c>
      <c r="AJ90" t="s">
        <v>2</v>
      </c>
      <c r="AK90" t="s">
        <v>11</v>
      </c>
    </row>
    <row r="91" spans="1:37">
      <c r="A91">
        <v>257661</v>
      </c>
      <c r="B91" s="1">
        <v>45366</v>
      </c>
      <c r="C91" t="s">
        <v>185</v>
      </c>
      <c r="D91" t="s">
        <v>186</v>
      </c>
      <c r="E91" t="s">
        <v>2</v>
      </c>
      <c r="F91" t="s">
        <v>187</v>
      </c>
      <c r="G91" t="s">
        <v>137</v>
      </c>
      <c r="H91">
        <v>90703</v>
      </c>
      <c r="I91" t="s">
        <v>188</v>
      </c>
      <c r="J91" t="s">
        <v>189</v>
      </c>
      <c r="K91" t="s">
        <v>2</v>
      </c>
      <c r="L91" t="s">
        <v>190</v>
      </c>
      <c r="M91" t="s">
        <v>137</v>
      </c>
      <c r="N91" t="s">
        <v>191</v>
      </c>
      <c r="O91" t="s">
        <v>192</v>
      </c>
      <c r="P91">
        <v>2278531</v>
      </c>
      <c r="Q91" t="s">
        <v>38</v>
      </c>
      <c r="R91">
        <v>415599</v>
      </c>
      <c r="S91" t="s">
        <v>140</v>
      </c>
      <c r="T91" s="2">
        <v>3</v>
      </c>
      <c r="U91">
        <v>0</v>
      </c>
      <c r="V91" t="s">
        <v>153</v>
      </c>
      <c r="W91">
        <v>0</v>
      </c>
      <c r="X91">
        <v>0</v>
      </c>
      <c r="Y91">
        <v>0</v>
      </c>
      <c r="Z91" t="s">
        <v>88</v>
      </c>
      <c r="AA91" t="s">
        <v>196</v>
      </c>
      <c r="AB91" t="s">
        <v>10</v>
      </c>
      <c r="AC91">
        <v>0</v>
      </c>
      <c r="AD91">
        <v>0</v>
      </c>
      <c r="AE91" t="s">
        <v>193</v>
      </c>
      <c r="AF91">
        <v>4415.68</v>
      </c>
      <c r="AG91">
        <v>0</v>
      </c>
      <c r="AH91">
        <v>0</v>
      </c>
      <c r="AI91">
        <v>4415.68</v>
      </c>
      <c r="AJ91" t="s">
        <v>2</v>
      </c>
      <c r="AK91" t="s">
        <v>11</v>
      </c>
    </row>
    <row r="92" spans="1:37">
      <c r="A92">
        <v>257661</v>
      </c>
      <c r="B92" s="1">
        <v>45366</v>
      </c>
      <c r="C92" t="s">
        <v>185</v>
      </c>
      <c r="D92" t="s">
        <v>186</v>
      </c>
      <c r="E92" t="s">
        <v>2</v>
      </c>
      <c r="F92" t="s">
        <v>187</v>
      </c>
      <c r="G92" t="s">
        <v>137</v>
      </c>
      <c r="H92">
        <v>90703</v>
      </c>
      <c r="I92" t="s">
        <v>188</v>
      </c>
      <c r="J92" t="s">
        <v>189</v>
      </c>
      <c r="K92" t="s">
        <v>2</v>
      </c>
      <c r="L92" t="s">
        <v>190</v>
      </c>
      <c r="M92" t="s">
        <v>137</v>
      </c>
      <c r="N92" t="s">
        <v>191</v>
      </c>
      <c r="O92" t="s">
        <v>192</v>
      </c>
      <c r="P92">
        <v>2278531</v>
      </c>
      <c r="Q92" t="s">
        <v>38</v>
      </c>
      <c r="R92">
        <v>415599</v>
      </c>
      <c r="S92" t="s">
        <v>140</v>
      </c>
      <c r="T92" s="2">
        <v>3</v>
      </c>
      <c r="U92">
        <v>0</v>
      </c>
      <c r="V92" t="s">
        <v>153</v>
      </c>
      <c r="W92">
        <v>0</v>
      </c>
      <c r="X92">
        <v>0</v>
      </c>
      <c r="Y92">
        <v>0</v>
      </c>
      <c r="Z92" t="s">
        <v>88</v>
      </c>
      <c r="AA92" t="s">
        <v>2</v>
      </c>
      <c r="AB92" t="s">
        <v>10</v>
      </c>
      <c r="AC92">
        <v>0</v>
      </c>
      <c r="AD92">
        <v>0</v>
      </c>
      <c r="AE92" t="s">
        <v>193</v>
      </c>
      <c r="AF92">
        <v>4415.68</v>
      </c>
      <c r="AG92">
        <v>0</v>
      </c>
      <c r="AH92">
        <v>0</v>
      </c>
      <c r="AI92">
        <v>4415.68</v>
      </c>
      <c r="AJ92" t="s">
        <v>2</v>
      </c>
      <c r="AK92" t="s">
        <v>11</v>
      </c>
    </row>
    <row r="93" spans="1:37">
      <c r="A93">
        <v>257661</v>
      </c>
      <c r="B93" s="1">
        <v>45366</v>
      </c>
      <c r="C93" t="s">
        <v>185</v>
      </c>
      <c r="D93" t="s">
        <v>186</v>
      </c>
      <c r="E93" t="s">
        <v>2</v>
      </c>
      <c r="F93" t="s">
        <v>187</v>
      </c>
      <c r="G93" t="s">
        <v>137</v>
      </c>
      <c r="H93">
        <v>90703</v>
      </c>
      <c r="I93" t="s">
        <v>188</v>
      </c>
      <c r="J93" t="s">
        <v>189</v>
      </c>
      <c r="K93" t="s">
        <v>2</v>
      </c>
      <c r="L93" t="s">
        <v>190</v>
      </c>
      <c r="M93" t="s">
        <v>137</v>
      </c>
      <c r="N93" t="s">
        <v>191</v>
      </c>
      <c r="O93" t="s">
        <v>192</v>
      </c>
      <c r="P93">
        <v>2278531</v>
      </c>
      <c r="Q93" t="s">
        <v>38</v>
      </c>
      <c r="R93">
        <v>415599</v>
      </c>
      <c r="S93" t="s">
        <v>140</v>
      </c>
      <c r="T93" s="2">
        <v>3</v>
      </c>
      <c r="U93">
        <v>0</v>
      </c>
      <c r="V93" t="s">
        <v>153</v>
      </c>
      <c r="W93">
        <v>1</v>
      </c>
      <c r="X93">
        <v>1</v>
      </c>
      <c r="Y93">
        <v>0</v>
      </c>
      <c r="Z93" t="s">
        <v>183</v>
      </c>
      <c r="AA93" t="s">
        <v>184</v>
      </c>
      <c r="AB93" t="s">
        <v>14</v>
      </c>
      <c r="AC93">
        <v>25</v>
      </c>
      <c r="AD93">
        <v>25</v>
      </c>
      <c r="AE93" t="s">
        <v>193</v>
      </c>
      <c r="AF93">
        <v>4415.68</v>
      </c>
      <c r="AG93">
        <v>0</v>
      </c>
      <c r="AH93">
        <v>0</v>
      </c>
      <c r="AI93">
        <v>4415.68</v>
      </c>
      <c r="AJ93" t="s">
        <v>2</v>
      </c>
      <c r="AK93" t="s">
        <v>11</v>
      </c>
    </row>
    <row r="94" spans="1:37">
      <c r="A94">
        <v>257662</v>
      </c>
      <c r="B94" s="1">
        <v>45366</v>
      </c>
      <c r="C94" t="s">
        <v>197</v>
      </c>
      <c r="D94" t="s">
        <v>198</v>
      </c>
      <c r="E94" t="s">
        <v>2</v>
      </c>
      <c r="F94" t="s">
        <v>199</v>
      </c>
      <c r="G94" t="s">
        <v>44</v>
      </c>
      <c r="H94">
        <v>97070</v>
      </c>
      <c r="I94" t="s">
        <v>200</v>
      </c>
      <c r="J94" t="s">
        <v>201</v>
      </c>
      <c r="K94" t="s">
        <v>2</v>
      </c>
      <c r="L94" t="s">
        <v>202</v>
      </c>
      <c r="M94" t="s">
        <v>44</v>
      </c>
      <c r="N94" t="s">
        <v>203</v>
      </c>
      <c r="O94" t="s">
        <v>204</v>
      </c>
      <c r="P94">
        <v>2278532</v>
      </c>
      <c r="Q94" t="s">
        <v>38</v>
      </c>
      <c r="R94">
        <v>415600</v>
      </c>
      <c r="S94" t="s">
        <v>84</v>
      </c>
      <c r="T94" s="2">
        <v>2</v>
      </c>
      <c r="U94">
        <v>0</v>
      </c>
      <c r="V94" t="s">
        <v>153</v>
      </c>
      <c r="W94">
        <v>0</v>
      </c>
      <c r="X94">
        <v>0</v>
      </c>
      <c r="Y94">
        <v>0</v>
      </c>
      <c r="Z94" t="s">
        <v>9</v>
      </c>
      <c r="AA94" t="s">
        <v>2</v>
      </c>
      <c r="AB94" t="s">
        <v>10</v>
      </c>
      <c r="AC94">
        <v>0</v>
      </c>
      <c r="AD94">
        <v>0</v>
      </c>
      <c r="AE94">
        <v>582744796615</v>
      </c>
      <c r="AF94">
        <v>2356.58</v>
      </c>
      <c r="AG94">
        <v>0</v>
      </c>
      <c r="AH94">
        <v>63.12</v>
      </c>
      <c r="AI94">
        <v>2419.6999999999998</v>
      </c>
      <c r="AJ94" t="s">
        <v>2</v>
      </c>
      <c r="AK94" t="s">
        <v>11</v>
      </c>
    </row>
    <row r="95" spans="1:37">
      <c r="A95">
        <v>257662</v>
      </c>
      <c r="B95" s="1">
        <v>45366</v>
      </c>
      <c r="C95" t="s">
        <v>197</v>
      </c>
      <c r="D95" t="s">
        <v>198</v>
      </c>
      <c r="E95" t="s">
        <v>2</v>
      </c>
      <c r="F95" t="s">
        <v>199</v>
      </c>
      <c r="G95" t="s">
        <v>44</v>
      </c>
      <c r="H95">
        <v>97070</v>
      </c>
      <c r="I95" t="s">
        <v>200</v>
      </c>
      <c r="J95" t="s">
        <v>201</v>
      </c>
      <c r="K95" t="s">
        <v>2</v>
      </c>
      <c r="L95" t="s">
        <v>202</v>
      </c>
      <c r="M95" t="s">
        <v>44</v>
      </c>
      <c r="N95" t="s">
        <v>203</v>
      </c>
      <c r="O95" t="s">
        <v>204</v>
      </c>
      <c r="P95">
        <v>2278532</v>
      </c>
      <c r="Q95" t="s">
        <v>38</v>
      </c>
      <c r="R95">
        <v>415600</v>
      </c>
      <c r="S95" t="s">
        <v>84</v>
      </c>
      <c r="T95" s="2">
        <v>2</v>
      </c>
      <c r="U95">
        <v>0</v>
      </c>
      <c r="V95" t="s">
        <v>153</v>
      </c>
      <c r="W95">
        <v>2</v>
      </c>
      <c r="X95">
        <v>2</v>
      </c>
      <c r="Y95">
        <v>0</v>
      </c>
      <c r="Z95" t="s">
        <v>205</v>
      </c>
      <c r="AA95" t="s">
        <v>206</v>
      </c>
      <c r="AB95" t="s">
        <v>14</v>
      </c>
      <c r="AC95">
        <v>1178.29</v>
      </c>
      <c r="AD95">
        <v>2356.58</v>
      </c>
      <c r="AE95">
        <v>582744796615</v>
      </c>
      <c r="AF95">
        <v>2356.58</v>
      </c>
      <c r="AG95">
        <v>0</v>
      </c>
      <c r="AH95">
        <v>63.12</v>
      </c>
      <c r="AI95">
        <v>2419.6999999999998</v>
      </c>
      <c r="AJ95" t="s">
        <v>2</v>
      </c>
      <c r="AK95" t="s">
        <v>11</v>
      </c>
    </row>
    <row r="96" spans="1:37">
      <c r="A96">
        <v>257662</v>
      </c>
      <c r="B96" s="1">
        <v>45366</v>
      </c>
      <c r="C96" t="s">
        <v>197</v>
      </c>
      <c r="D96" t="s">
        <v>198</v>
      </c>
      <c r="E96" t="s">
        <v>2</v>
      </c>
      <c r="F96" t="s">
        <v>199</v>
      </c>
      <c r="G96" t="s">
        <v>44</v>
      </c>
      <c r="H96">
        <v>97070</v>
      </c>
      <c r="I96" t="s">
        <v>200</v>
      </c>
      <c r="J96" t="s">
        <v>201</v>
      </c>
      <c r="K96" t="s">
        <v>2</v>
      </c>
      <c r="L96" t="s">
        <v>202</v>
      </c>
      <c r="M96" t="s">
        <v>44</v>
      </c>
      <c r="N96" t="s">
        <v>203</v>
      </c>
      <c r="O96" t="s">
        <v>204</v>
      </c>
      <c r="P96">
        <v>2278532</v>
      </c>
      <c r="Q96" t="s">
        <v>38</v>
      </c>
      <c r="R96">
        <v>415600</v>
      </c>
      <c r="S96" t="s">
        <v>84</v>
      </c>
      <c r="T96" s="2">
        <v>2</v>
      </c>
      <c r="U96">
        <v>0</v>
      </c>
      <c r="V96" t="s">
        <v>153</v>
      </c>
      <c r="W96">
        <v>0</v>
      </c>
      <c r="X96">
        <v>0</v>
      </c>
      <c r="Y96">
        <v>0</v>
      </c>
      <c r="Z96" t="s">
        <v>88</v>
      </c>
      <c r="AA96" t="s">
        <v>116</v>
      </c>
      <c r="AB96" t="s">
        <v>10</v>
      </c>
      <c r="AC96">
        <v>0</v>
      </c>
      <c r="AD96">
        <v>0</v>
      </c>
      <c r="AE96">
        <v>582744796615</v>
      </c>
      <c r="AF96">
        <v>2356.58</v>
      </c>
      <c r="AG96">
        <v>0</v>
      </c>
      <c r="AH96">
        <v>63.12</v>
      </c>
      <c r="AI96">
        <v>2419.6999999999998</v>
      </c>
      <c r="AJ96" t="s">
        <v>2</v>
      </c>
      <c r="AK96" t="s">
        <v>11</v>
      </c>
    </row>
    <row r="97" spans="1:37">
      <c r="A97">
        <v>257663</v>
      </c>
      <c r="B97" s="1">
        <v>45366</v>
      </c>
      <c r="C97" t="s">
        <v>159</v>
      </c>
      <c r="D97" t="s">
        <v>160</v>
      </c>
      <c r="E97" t="s">
        <v>161</v>
      </c>
      <c r="F97" t="s">
        <v>162</v>
      </c>
      <c r="G97" t="s">
        <v>163</v>
      </c>
      <c r="H97">
        <v>80239</v>
      </c>
      <c r="I97" t="s">
        <v>207</v>
      </c>
      <c r="J97" t="s">
        <v>208</v>
      </c>
      <c r="K97" t="s">
        <v>2</v>
      </c>
      <c r="L97" t="s">
        <v>209</v>
      </c>
      <c r="M97" t="s">
        <v>163</v>
      </c>
      <c r="N97" t="s">
        <v>210</v>
      </c>
      <c r="O97" t="s">
        <v>168</v>
      </c>
      <c r="P97">
        <v>2278609</v>
      </c>
      <c r="Q97" t="s">
        <v>38</v>
      </c>
      <c r="R97">
        <v>415623</v>
      </c>
      <c r="S97" t="s">
        <v>84</v>
      </c>
      <c r="T97" s="2">
        <v>1</v>
      </c>
      <c r="U97">
        <v>0</v>
      </c>
      <c r="V97" t="s">
        <v>153</v>
      </c>
      <c r="W97">
        <v>0</v>
      </c>
      <c r="X97">
        <v>0</v>
      </c>
      <c r="Y97">
        <v>0</v>
      </c>
      <c r="Z97" t="s">
        <v>9</v>
      </c>
      <c r="AA97" t="s">
        <v>2</v>
      </c>
      <c r="AB97" t="s">
        <v>10</v>
      </c>
      <c r="AC97">
        <v>0</v>
      </c>
      <c r="AD97">
        <v>0</v>
      </c>
      <c r="AE97">
        <v>582744796659</v>
      </c>
      <c r="AF97">
        <v>433.85</v>
      </c>
      <c r="AG97">
        <v>0</v>
      </c>
      <c r="AH97">
        <v>45.37</v>
      </c>
      <c r="AI97">
        <v>479.22</v>
      </c>
      <c r="AJ97" t="s">
        <v>2</v>
      </c>
      <c r="AK97" t="s">
        <v>11</v>
      </c>
    </row>
    <row r="98" spans="1:37">
      <c r="A98">
        <v>257663</v>
      </c>
      <c r="B98" s="1">
        <v>45366</v>
      </c>
      <c r="C98" t="s">
        <v>159</v>
      </c>
      <c r="D98" t="s">
        <v>160</v>
      </c>
      <c r="E98" t="s">
        <v>161</v>
      </c>
      <c r="F98" t="s">
        <v>162</v>
      </c>
      <c r="G98" t="s">
        <v>163</v>
      </c>
      <c r="H98">
        <v>80239</v>
      </c>
      <c r="I98" t="s">
        <v>207</v>
      </c>
      <c r="J98" t="s">
        <v>208</v>
      </c>
      <c r="K98" t="s">
        <v>2</v>
      </c>
      <c r="L98" t="s">
        <v>209</v>
      </c>
      <c r="M98" t="s">
        <v>163</v>
      </c>
      <c r="N98" t="s">
        <v>210</v>
      </c>
      <c r="O98" t="s">
        <v>168</v>
      </c>
      <c r="P98">
        <v>2278609</v>
      </c>
      <c r="Q98" t="s">
        <v>38</v>
      </c>
      <c r="R98">
        <v>415623</v>
      </c>
      <c r="S98" t="s">
        <v>84</v>
      </c>
      <c r="T98" s="2">
        <v>1</v>
      </c>
      <c r="U98">
        <v>0</v>
      </c>
      <c r="V98" t="s">
        <v>153</v>
      </c>
      <c r="W98">
        <v>1</v>
      </c>
      <c r="X98">
        <v>1</v>
      </c>
      <c r="Y98">
        <v>0</v>
      </c>
      <c r="Z98" t="s">
        <v>211</v>
      </c>
      <c r="AA98" t="s">
        <v>212</v>
      </c>
      <c r="AB98" t="s">
        <v>14</v>
      </c>
      <c r="AC98">
        <v>433.85</v>
      </c>
      <c r="AD98">
        <v>433.85</v>
      </c>
      <c r="AE98">
        <v>582744796659</v>
      </c>
      <c r="AF98">
        <v>433.85</v>
      </c>
      <c r="AG98">
        <v>0</v>
      </c>
      <c r="AH98">
        <v>45.37</v>
      </c>
      <c r="AI98">
        <v>479.22</v>
      </c>
      <c r="AJ98" t="s">
        <v>2</v>
      </c>
      <c r="AK98" t="s">
        <v>11</v>
      </c>
    </row>
    <row r="99" spans="1:37">
      <c r="A99">
        <v>257663</v>
      </c>
      <c r="B99" s="1">
        <v>45366</v>
      </c>
      <c r="C99" t="s">
        <v>159</v>
      </c>
      <c r="D99" t="s">
        <v>160</v>
      </c>
      <c r="E99" t="s">
        <v>161</v>
      </c>
      <c r="F99" t="s">
        <v>162</v>
      </c>
      <c r="G99" t="s">
        <v>163</v>
      </c>
      <c r="H99">
        <v>80239</v>
      </c>
      <c r="I99" t="s">
        <v>207</v>
      </c>
      <c r="J99" t="s">
        <v>208</v>
      </c>
      <c r="K99" t="s">
        <v>2</v>
      </c>
      <c r="L99" t="s">
        <v>209</v>
      </c>
      <c r="M99" t="s">
        <v>163</v>
      </c>
      <c r="N99" t="s">
        <v>210</v>
      </c>
      <c r="O99" t="s">
        <v>168</v>
      </c>
      <c r="P99">
        <v>2278609</v>
      </c>
      <c r="Q99" t="s">
        <v>38</v>
      </c>
      <c r="R99">
        <v>415623</v>
      </c>
      <c r="S99" t="s">
        <v>84</v>
      </c>
      <c r="T99" s="2">
        <v>1</v>
      </c>
      <c r="U99">
        <v>0</v>
      </c>
      <c r="V99" t="s">
        <v>153</v>
      </c>
      <c r="W99">
        <v>0</v>
      </c>
      <c r="X99">
        <v>0</v>
      </c>
      <c r="Y99">
        <v>0</v>
      </c>
      <c r="Z99" t="s">
        <v>88</v>
      </c>
      <c r="AA99" t="s">
        <v>213</v>
      </c>
      <c r="AB99" t="s">
        <v>10</v>
      </c>
      <c r="AC99">
        <v>0</v>
      </c>
      <c r="AD99">
        <v>0</v>
      </c>
      <c r="AE99">
        <v>582744796659</v>
      </c>
      <c r="AF99">
        <v>433.85</v>
      </c>
      <c r="AG99">
        <v>0</v>
      </c>
      <c r="AH99">
        <v>45.37</v>
      </c>
      <c r="AI99">
        <v>479.22</v>
      </c>
      <c r="AJ99" t="s">
        <v>2</v>
      </c>
      <c r="AK99" t="s">
        <v>11</v>
      </c>
    </row>
    <row r="100" spans="1:37">
      <c r="A100">
        <v>257664</v>
      </c>
      <c r="B100" s="1">
        <v>45366</v>
      </c>
      <c r="C100" t="s">
        <v>214</v>
      </c>
      <c r="D100" t="s">
        <v>215</v>
      </c>
      <c r="E100" t="s">
        <v>2</v>
      </c>
      <c r="F100" t="s">
        <v>216</v>
      </c>
      <c r="G100" t="s">
        <v>137</v>
      </c>
      <c r="H100">
        <v>93703</v>
      </c>
      <c r="I100" t="s">
        <v>217</v>
      </c>
      <c r="J100" t="s">
        <v>218</v>
      </c>
      <c r="K100" t="s">
        <v>2</v>
      </c>
      <c r="L100" t="s">
        <v>219</v>
      </c>
      <c r="M100" t="s">
        <v>137</v>
      </c>
      <c r="N100" t="s">
        <v>220</v>
      </c>
      <c r="O100" t="s">
        <v>221</v>
      </c>
      <c r="P100">
        <v>2278612</v>
      </c>
      <c r="Q100" t="s">
        <v>38</v>
      </c>
      <c r="R100">
        <v>415624</v>
      </c>
      <c r="S100" t="s">
        <v>84</v>
      </c>
      <c r="T100" s="2">
        <v>2</v>
      </c>
      <c r="U100">
        <v>0</v>
      </c>
      <c r="V100" t="s">
        <v>222</v>
      </c>
      <c r="W100">
        <v>0</v>
      </c>
      <c r="X100">
        <v>0</v>
      </c>
      <c r="Y100">
        <v>0</v>
      </c>
      <c r="Z100" t="s">
        <v>9</v>
      </c>
      <c r="AA100" t="s">
        <v>2</v>
      </c>
      <c r="AB100" t="s">
        <v>10</v>
      </c>
      <c r="AC100">
        <v>0</v>
      </c>
      <c r="AD100">
        <v>0</v>
      </c>
      <c r="AE100">
        <v>582744796692</v>
      </c>
      <c r="AF100">
        <v>83.62</v>
      </c>
      <c r="AG100">
        <v>0</v>
      </c>
      <c r="AH100">
        <v>35.56</v>
      </c>
      <c r="AI100">
        <v>119.18</v>
      </c>
      <c r="AJ100" t="s">
        <v>2</v>
      </c>
      <c r="AK100" t="s">
        <v>11</v>
      </c>
    </row>
    <row r="101" spans="1:37">
      <c r="A101">
        <v>257664</v>
      </c>
      <c r="B101" s="1">
        <v>45366</v>
      </c>
      <c r="C101" t="s">
        <v>214</v>
      </c>
      <c r="D101" t="s">
        <v>215</v>
      </c>
      <c r="E101" t="s">
        <v>2</v>
      </c>
      <c r="F101" t="s">
        <v>216</v>
      </c>
      <c r="G101" t="s">
        <v>137</v>
      </c>
      <c r="H101">
        <v>93703</v>
      </c>
      <c r="I101" t="s">
        <v>217</v>
      </c>
      <c r="J101" t="s">
        <v>218</v>
      </c>
      <c r="K101" t="s">
        <v>2</v>
      </c>
      <c r="L101" t="s">
        <v>219</v>
      </c>
      <c r="M101" t="s">
        <v>137</v>
      </c>
      <c r="N101" t="s">
        <v>220</v>
      </c>
      <c r="O101" t="s">
        <v>221</v>
      </c>
      <c r="P101">
        <v>2278612</v>
      </c>
      <c r="Q101" t="s">
        <v>38</v>
      </c>
      <c r="R101">
        <v>415624</v>
      </c>
      <c r="S101" t="s">
        <v>84</v>
      </c>
      <c r="T101" s="2">
        <v>2</v>
      </c>
      <c r="U101">
        <v>0</v>
      </c>
      <c r="V101" t="s">
        <v>222</v>
      </c>
      <c r="W101">
        <v>1</v>
      </c>
      <c r="X101">
        <v>1</v>
      </c>
      <c r="Y101">
        <v>0</v>
      </c>
      <c r="Z101" t="s">
        <v>223</v>
      </c>
      <c r="AA101" t="s">
        <v>224</v>
      </c>
      <c r="AB101" t="s">
        <v>14</v>
      </c>
      <c r="AC101">
        <v>41.81</v>
      </c>
      <c r="AD101">
        <v>41.81</v>
      </c>
      <c r="AE101">
        <v>582744796692</v>
      </c>
      <c r="AF101">
        <v>83.62</v>
      </c>
      <c r="AG101">
        <v>0</v>
      </c>
      <c r="AH101">
        <v>35.56</v>
      </c>
      <c r="AI101">
        <v>119.18</v>
      </c>
      <c r="AJ101" t="s">
        <v>2</v>
      </c>
      <c r="AK101" t="s">
        <v>11</v>
      </c>
    </row>
    <row r="102" spans="1:37">
      <c r="A102">
        <v>257664</v>
      </c>
      <c r="B102" s="1">
        <v>45366</v>
      </c>
      <c r="C102" t="s">
        <v>214</v>
      </c>
      <c r="D102" t="s">
        <v>215</v>
      </c>
      <c r="E102" t="s">
        <v>2</v>
      </c>
      <c r="F102" t="s">
        <v>216</v>
      </c>
      <c r="G102" t="s">
        <v>137</v>
      </c>
      <c r="H102">
        <v>93703</v>
      </c>
      <c r="I102" t="s">
        <v>217</v>
      </c>
      <c r="J102" t="s">
        <v>218</v>
      </c>
      <c r="K102" t="s">
        <v>2</v>
      </c>
      <c r="L102" t="s">
        <v>219</v>
      </c>
      <c r="M102" t="s">
        <v>137</v>
      </c>
      <c r="N102" t="s">
        <v>220</v>
      </c>
      <c r="O102" t="s">
        <v>221</v>
      </c>
      <c r="P102">
        <v>2278612</v>
      </c>
      <c r="Q102" t="s">
        <v>38</v>
      </c>
      <c r="R102">
        <v>415624</v>
      </c>
      <c r="S102" t="s">
        <v>84</v>
      </c>
      <c r="T102" s="2">
        <v>2</v>
      </c>
      <c r="U102">
        <v>0</v>
      </c>
      <c r="V102" t="s">
        <v>222</v>
      </c>
      <c r="W102">
        <v>0</v>
      </c>
      <c r="X102">
        <v>0</v>
      </c>
      <c r="Y102">
        <v>0</v>
      </c>
      <c r="Z102" t="s">
        <v>88</v>
      </c>
      <c r="AA102" t="s">
        <v>107</v>
      </c>
      <c r="AB102" t="s">
        <v>10</v>
      </c>
      <c r="AC102">
        <v>0</v>
      </c>
      <c r="AD102">
        <v>0</v>
      </c>
      <c r="AE102">
        <v>582744796692</v>
      </c>
      <c r="AF102">
        <v>83.62</v>
      </c>
      <c r="AG102">
        <v>0</v>
      </c>
      <c r="AH102">
        <v>35.56</v>
      </c>
      <c r="AI102">
        <v>119.18</v>
      </c>
      <c r="AJ102" t="s">
        <v>2</v>
      </c>
      <c r="AK102" t="s">
        <v>11</v>
      </c>
    </row>
    <row r="103" spans="1:37">
      <c r="A103">
        <v>257664</v>
      </c>
      <c r="B103" s="1">
        <v>45366</v>
      </c>
      <c r="C103" t="s">
        <v>214</v>
      </c>
      <c r="D103" t="s">
        <v>215</v>
      </c>
      <c r="E103" t="s">
        <v>2</v>
      </c>
      <c r="F103" t="s">
        <v>216</v>
      </c>
      <c r="G103" t="s">
        <v>137</v>
      </c>
      <c r="H103">
        <v>93703</v>
      </c>
      <c r="I103" t="s">
        <v>217</v>
      </c>
      <c r="J103" t="s">
        <v>218</v>
      </c>
      <c r="K103" t="s">
        <v>2</v>
      </c>
      <c r="L103" t="s">
        <v>219</v>
      </c>
      <c r="M103" t="s">
        <v>137</v>
      </c>
      <c r="N103" t="s">
        <v>220</v>
      </c>
      <c r="O103" t="s">
        <v>221</v>
      </c>
      <c r="P103">
        <v>2278612</v>
      </c>
      <c r="Q103" t="s">
        <v>38</v>
      </c>
      <c r="R103">
        <v>415624</v>
      </c>
      <c r="S103" t="s">
        <v>84</v>
      </c>
      <c r="T103" s="2">
        <v>2</v>
      </c>
      <c r="U103">
        <v>0</v>
      </c>
      <c r="V103" t="s">
        <v>222</v>
      </c>
      <c r="W103">
        <v>1</v>
      </c>
      <c r="X103">
        <v>1</v>
      </c>
      <c r="Y103">
        <v>0</v>
      </c>
      <c r="Z103" t="s">
        <v>225</v>
      </c>
      <c r="AA103" t="s">
        <v>226</v>
      </c>
      <c r="AB103" t="s">
        <v>14</v>
      </c>
      <c r="AC103">
        <v>41.81</v>
      </c>
      <c r="AD103">
        <v>41.81</v>
      </c>
      <c r="AE103">
        <v>582744796692</v>
      </c>
      <c r="AF103">
        <v>83.62</v>
      </c>
      <c r="AG103">
        <v>0</v>
      </c>
      <c r="AH103">
        <v>35.56</v>
      </c>
      <c r="AI103">
        <v>119.18</v>
      </c>
      <c r="AJ103" t="s">
        <v>2</v>
      </c>
      <c r="AK103" t="s">
        <v>11</v>
      </c>
    </row>
    <row r="104" spans="1:37">
      <c r="A104">
        <v>257664</v>
      </c>
      <c r="B104" s="1">
        <v>45366</v>
      </c>
      <c r="C104" t="s">
        <v>214</v>
      </c>
      <c r="D104" t="s">
        <v>215</v>
      </c>
      <c r="E104" t="s">
        <v>2</v>
      </c>
      <c r="F104" t="s">
        <v>216</v>
      </c>
      <c r="G104" t="s">
        <v>137</v>
      </c>
      <c r="H104">
        <v>93703</v>
      </c>
      <c r="I104" t="s">
        <v>217</v>
      </c>
      <c r="J104" t="s">
        <v>218</v>
      </c>
      <c r="K104" t="s">
        <v>2</v>
      </c>
      <c r="L104" t="s">
        <v>219</v>
      </c>
      <c r="M104" t="s">
        <v>137</v>
      </c>
      <c r="N104" t="s">
        <v>220</v>
      </c>
      <c r="O104" t="s">
        <v>221</v>
      </c>
      <c r="P104">
        <v>2278612</v>
      </c>
      <c r="Q104" t="s">
        <v>38</v>
      </c>
      <c r="R104">
        <v>415624</v>
      </c>
      <c r="S104" t="s">
        <v>84</v>
      </c>
      <c r="T104" s="2">
        <v>2</v>
      </c>
      <c r="U104">
        <v>0</v>
      </c>
      <c r="V104" t="s">
        <v>222</v>
      </c>
      <c r="W104">
        <v>0</v>
      </c>
      <c r="X104">
        <v>0</v>
      </c>
      <c r="Y104">
        <v>0</v>
      </c>
      <c r="Z104" t="s">
        <v>88</v>
      </c>
      <c r="AA104" t="s">
        <v>107</v>
      </c>
      <c r="AB104" t="s">
        <v>10</v>
      </c>
      <c r="AC104">
        <v>0</v>
      </c>
      <c r="AD104">
        <v>0</v>
      </c>
      <c r="AE104">
        <v>582744796692</v>
      </c>
      <c r="AF104">
        <v>83.62</v>
      </c>
      <c r="AG104">
        <v>0</v>
      </c>
      <c r="AH104">
        <v>35.56</v>
      </c>
      <c r="AI104">
        <v>119.18</v>
      </c>
      <c r="AJ104" t="s">
        <v>2</v>
      </c>
      <c r="AK104" t="s">
        <v>11</v>
      </c>
    </row>
    <row r="105" spans="1:37">
      <c r="A105">
        <v>257665</v>
      </c>
      <c r="B105" s="1">
        <v>45366</v>
      </c>
      <c r="C105" t="s">
        <v>227</v>
      </c>
      <c r="D105" t="s">
        <v>228</v>
      </c>
      <c r="E105" t="s">
        <v>229</v>
      </c>
      <c r="F105" t="s">
        <v>230</v>
      </c>
      <c r="G105" t="s">
        <v>137</v>
      </c>
      <c r="H105">
        <v>95834</v>
      </c>
      <c r="I105" t="s">
        <v>231</v>
      </c>
      <c r="J105" t="s">
        <v>232</v>
      </c>
      <c r="K105" t="s">
        <v>233</v>
      </c>
      <c r="L105" t="s">
        <v>147</v>
      </c>
      <c r="M105" t="s">
        <v>148</v>
      </c>
      <c r="N105" t="s">
        <v>234</v>
      </c>
      <c r="O105" t="s">
        <v>235</v>
      </c>
      <c r="P105">
        <v>960549</v>
      </c>
      <c r="Q105" t="s">
        <v>21</v>
      </c>
      <c r="R105">
        <v>415662</v>
      </c>
      <c r="S105" t="s">
        <v>140</v>
      </c>
      <c r="T105" s="2">
        <v>1</v>
      </c>
      <c r="U105">
        <v>0</v>
      </c>
      <c r="V105" t="s">
        <v>236</v>
      </c>
      <c r="W105">
        <v>0</v>
      </c>
      <c r="X105">
        <v>0</v>
      </c>
      <c r="Y105">
        <v>0</v>
      </c>
      <c r="Z105" t="s">
        <v>9</v>
      </c>
      <c r="AA105" t="s">
        <v>2</v>
      </c>
      <c r="AB105" t="s">
        <v>10</v>
      </c>
      <c r="AC105">
        <v>0</v>
      </c>
      <c r="AD105">
        <v>0</v>
      </c>
      <c r="AE105" t="s">
        <v>237</v>
      </c>
      <c r="AF105">
        <v>636.64</v>
      </c>
      <c r="AG105">
        <v>0</v>
      </c>
      <c r="AH105">
        <v>36.25</v>
      </c>
      <c r="AI105">
        <v>672.89</v>
      </c>
      <c r="AJ105" t="s">
        <v>2</v>
      </c>
      <c r="AK105" t="s">
        <v>11</v>
      </c>
    </row>
    <row r="106" spans="1:37">
      <c r="A106">
        <v>257665</v>
      </c>
      <c r="B106" s="1">
        <v>45366</v>
      </c>
      <c r="C106" t="s">
        <v>227</v>
      </c>
      <c r="D106" t="s">
        <v>228</v>
      </c>
      <c r="E106" t="s">
        <v>229</v>
      </c>
      <c r="F106" t="s">
        <v>230</v>
      </c>
      <c r="G106" t="s">
        <v>137</v>
      </c>
      <c r="H106">
        <v>95834</v>
      </c>
      <c r="I106" t="s">
        <v>231</v>
      </c>
      <c r="J106" t="s">
        <v>232</v>
      </c>
      <c r="K106" t="s">
        <v>233</v>
      </c>
      <c r="L106" t="s">
        <v>147</v>
      </c>
      <c r="M106" t="s">
        <v>148</v>
      </c>
      <c r="N106" t="s">
        <v>234</v>
      </c>
      <c r="O106" t="s">
        <v>235</v>
      </c>
      <c r="P106">
        <v>960549</v>
      </c>
      <c r="Q106" t="s">
        <v>21</v>
      </c>
      <c r="R106">
        <v>415662</v>
      </c>
      <c r="S106" t="s">
        <v>140</v>
      </c>
      <c r="T106" s="2">
        <v>1</v>
      </c>
      <c r="U106">
        <v>0</v>
      </c>
      <c r="V106" t="s">
        <v>236</v>
      </c>
      <c r="W106">
        <v>1</v>
      </c>
      <c r="X106">
        <v>1</v>
      </c>
      <c r="Y106">
        <v>0</v>
      </c>
      <c r="Z106" t="s">
        <v>238</v>
      </c>
      <c r="AA106" t="s">
        <v>239</v>
      </c>
      <c r="AB106" t="s">
        <v>14</v>
      </c>
      <c r="AC106">
        <v>636.64440000000002</v>
      </c>
      <c r="AD106">
        <v>636.64</v>
      </c>
      <c r="AE106" t="s">
        <v>237</v>
      </c>
      <c r="AF106">
        <v>636.64</v>
      </c>
      <c r="AG106">
        <v>0</v>
      </c>
      <c r="AH106">
        <v>36.25</v>
      </c>
      <c r="AI106">
        <v>672.89</v>
      </c>
      <c r="AJ106" t="s">
        <v>2</v>
      </c>
      <c r="AK106" t="s">
        <v>11</v>
      </c>
    </row>
    <row r="107" spans="1:37">
      <c r="A107">
        <v>257665</v>
      </c>
      <c r="B107" s="1">
        <v>45366</v>
      </c>
      <c r="C107" t="s">
        <v>227</v>
      </c>
      <c r="D107" t="s">
        <v>228</v>
      </c>
      <c r="E107" t="s">
        <v>229</v>
      </c>
      <c r="F107" t="s">
        <v>230</v>
      </c>
      <c r="G107" t="s">
        <v>137</v>
      </c>
      <c r="H107">
        <v>95834</v>
      </c>
      <c r="I107" t="s">
        <v>231</v>
      </c>
      <c r="J107" t="s">
        <v>232</v>
      </c>
      <c r="K107" t="s">
        <v>233</v>
      </c>
      <c r="L107" t="s">
        <v>147</v>
      </c>
      <c r="M107" t="s">
        <v>148</v>
      </c>
      <c r="N107" t="s">
        <v>234</v>
      </c>
      <c r="O107" t="s">
        <v>235</v>
      </c>
      <c r="P107">
        <v>960549</v>
      </c>
      <c r="Q107" t="s">
        <v>21</v>
      </c>
      <c r="R107">
        <v>415662</v>
      </c>
      <c r="S107" t="s">
        <v>140</v>
      </c>
      <c r="T107" s="2">
        <v>1</v>
      </c>
      <c r="U107">
        <v>0</v>
      </c>
      <c r="V107" t="s">
        <v>236</v>
      </c>
      <c r="W107">
        <v>0</v>
      </c>
      <c r="X107">
        <v>0</v>
      </c>
      <c r="Y107">
        <v>0</v>
      </c>
      <c r="Z107" t="s">
        <v>88</v>
      </c>
      <c r="AA107" t="s">
        <v>240</v>
      </c>
      <c r="AB107" t="s">
        <v>10</v>
      </c>
      <c r="AC107">
        <v>0</v>
      </c>
      <c r="AD107">
        <v>0</v>
      </c>
      <c r="AE107" t="s">
        <v>237</v>
      </c>
      <c r="AF107">
        <v>636.64</v>
      </c>
      <c r="AG107">
        <v>0</v>
      </c>
      <c r="AH107">
        <v>36.25</v>
      </c>
      <c r="AI107">
        <v>672.89</v>
      </c>
      <c r="AJ107" t="s">
        <v>2</v>
      </c>
      <c r="AK107" t="s">
        <v>11</v>
      </c>
    </row>
    <row r="108" spans="1:37">
      <c r="A108">
        <v>257666</v>
      </c>
      <c r="B108" s="1">
        <v>45366</v>
      </c>
      <c r="C108" t="s">
        <v>241</v>
      </c>
      <c r="D108" t="s">
        <v>242</v>
      </c>
      <c r="E108" t="s">
        <v>2</v>
      </c>
      <c r="F108" t="s">
        <v>243</v>
      </c>
      <c r="G108" t="s">
        <v>60</v>
      </c>
      <c r="H108">
        <v>1821</v>
      </c>
      <c r="I108" t="s">
        <v>244</v>
      </c>
      <c r="J108" t="s">
        <v>245</v>
      </c>
      <c r="K108" t="s">
        <v>2</v>
      </c>
      <c r="L108" t="s">
        <v>246</v>
      </c>
      <c r="M108" t="s">
        <v>60</v>
      </c>
      <c r="N108" t="s">
        <v>247</v>
      </c>
      <c r="O108" t="s">
        <v>248</v>
      </c>
      <c r="P108">
        <v>2271733</v>
      </c>
      <c r="Q108" t="s">
        <v>38</v>
      </c>
      <c r="R108">
        <v>415680</v>
      </c>
      <c r="S108" t="s">
        <v>84</v>
      </c>
      <c r="T108" s="2">
        <v>1</v>
      </c>
      <c r="U108">
        <v>0</v>
      </c>
      <c r="V108" t="s">
        <v>153</v>
      </c>
      <c r="W108">
        <v>0</v>
      </c>
      <c r="X108">
        <v>0</v>
      </c>
      <c r="Y108">
        <v>0</v>
      </c>
      <c r="Z108" t="s">
        <v>9</v>
      </c>
      <c r="AA108" t="s">
        <v>2</v>
      </c>
      <c r="AB108" t="s">
        <v>10</v>
      </c>
      <c r="AC108">
        <v>0</v>
      </c>
      <c r="AD108">
        <v>0</v>
      </c>
      <c r="AE108">
        <v>582744796718</v>
      </c>
      <c r="AF108">
        <v>209.05</v>
      </c>
      <c r="AG108">
        <v>0</v>
      </c>
      <c r="AH108">
        <v>49.23</v>
      </c>
      <c r="AI108">
        <v>258.27999999999997</v>
      </c>
      <c r="AJ108" t="s">
        <v>2</v>
      </c>
      <c r="AK108" t="s">
        <v>11</v>
      </c>
    </row>
    <row r="109" spans="1:37">
      <c r="A109">
        <v>257666</v>
      </c>
      <c r="B109" s="1">
        <v>45366</v>
      </c>
      <c r="C109" t="s">
        <v>241</v>
      </c>
      <c r="D109" t="s">
        <v>242</v>
      </c>
      <c r="E109" t="s">
        <v>2</v>
      </c>
      <c r="F109" t="s">
        <v>243</v>
      </c>
      <c r="G109" t="s">
        <v>60</v>
      </c>
      <c r="H109">
        <v>1821</v>
      </c>
      <c r="I109" t="s">
        <v>244</v>
      </c>
      <c r="J109" t="s">
        <v>245</v>
      </c>
      <c r="K109" t="s">
        <v>2</v>
      </c>
      <c r="L109" t="s">
        <v>246</v>
      </c>
      <c r="M109" t="s">
        <v>60</v>
      </c>
      <c r="N109" t="s">
        <v>247</v>
      </c>
      <c r="O109" t="s">
        <v>248</v>
      </c>
      <c r="P109">
        <v>2271733</v>
      </c>
      <c r="Q109" t="s">
        <v>38</v>
      </c>
      <c r="R109">
        <v>415680</v>
      </c>
      <c r="S109" t="s">
        <v>84</v>
      </c>
      <c r="T109" s="2">
        <v>1</v>
      </c>
      <c r="U109">
        <v>0</v>
      </c>
      <c r="V109" t="s">
        <v>153</v>
      </c>
      <c r="W109">
        <v>1</v>
      </c>
      <c r="X109">
        <v>1</v>
      </c>
      <c r="Y109">
        <v>0</v>
      </c>
      <c r="Z109" t="s">
        <v>249</v>
      </c>
      <c r="AA109" t="s">
        <v>250</v>
      </c>
      <c r="AB109" t="s">
        <v>14</v>
      </c>
      <c r="AC109">
        <v>209.04640000000001</v>
      </c>
      <c r="AD109">
        <v>209.05</v>
      </c>
      <c r="AE109">
        <v>582744796718</v>
      </c>
      <c r="AF109">
        <v>209.05</v>
      </c>
      <c r="AG109">
        <v>0</v>
      </c>
      <c r="AH109">
        <v>49.23</v>
      </c>
      <c r="AI109">
        <v>258.27999999999997</v>
      </c>
      <c r="AJ109" t="s">
        <v>2</v>
      </c>
      <c r="AK109" t="s">
        <v>11</v>
      </c>
    </row>
    <row r="110" spans="1:37">
      <c r="A110">
        <v>257666</v>
      </c>
      <c r="B110" s="1">
        <v>45366</v>
      </c>
      <c r="C110" t="s">
        <v>241</v>
      </c>
      <c r="D110" t="s">
        <v>242</v>
      </c>
      <c r="E110" t="s">
        <v>2</v>
      </c>
      <c r="F110" t="s">
        <v>243</v>
      </c>
      <c r="G110" t="s">
        <v>60</v>
      </c>
      <c r="H110">
        <v>1821</v>
      </c>
      <c r="I110" t="s">
        <v>244</v>
      </c>
      <c r="J110" t="s">
        <v>245</v>
      </c>
      <c r="K110" t="s">
        <v>2</v>
      </c>
      <c r="L110" t="s">
        <v>246</v>
      </c>
      <c r="M110" t="s">
        <v>60</v>
      </c>
      <c r="N110" t="s">
        <v>247</v>
      </c>
      <c r="O110" t="s">
        <v>248</v>
      </c>
      <c r="P110">
        <v>2271733</v>
      </c>
      <c r="Q110" t="s">
        <v>38</v>
      </c>
      <c r="R110">
        <v>415680</v>
      </c>
      <c r="S110" t="s">
        <v>84</v>
      </c>
      <c r="T110" s="2">
        <v>1</v>
      </c>
      <c r="U110">
        <v>0</v>
      </c>
      <c r="V110" t="s">
        <v>153</v>
      </c>
      <c r="W110">
        <v>0</v>
      </c>
      <c r="X110">
        <v>0</v>
      </c>
      <c r="Y110">
        <v>0</v>
      </c>
      <c r="Z110" t="s">
        <v>88</v>
      </c>
      <c r="AA110" t="s">
        <v>251</v>
      </c>
      <c r="AB110" t="s">
        <v>10</v>
      </c>
      <c r="AC110">
        <v>0</v>
      </c>
      <c r="AD110">
        <v>0</v>
      </c>
      <c r="AE110">
        <v>582744796718</v>
      </c>
      <c r="AF110">
        <v>209.05</v>
      </c>
      <c r="AG110">
        <v>0</v>
      </c>
      <c r="AH110">
        <v>49.23</v>
      </c>
      <c r="AI110">
        <v>258.27999999999997</v>
      </c>
      <c r="AJ110" t="s">
        <v>2</v>
      </c>
      <c r="AK110" t="s">
        <v>11</v>
      </c>
    </row>
    <row r="111" spans="1:37">
      <c r="A111">
        <v>257667</v>
      </c>
      <c r="B111" s="1">
        <v>45366</v>
      </c>
      <c r="C111" t="s">
        <v>252</v>
      </c>
      <c r="D111" t="s">
        <v>253</v>
      </c>
      <c r="E111" t="s">
        <v>2</v>
      </c>
      <c r="F111" t="s">
        <v>254</v>
      </c>
      <c r="G111" t="s">
        <v>255</v>
      </c>
      <c r="H111">
        <v>60191</v>
      </c>
      <c r="I111" t="s">
        <v>256</v>
      </c>
      <c r="J111" t="s">
        <v>257</v>
      </c>
      <c r="K111" t="s">
        <v>258</v>
      </c>
      <c r="L111" t="s">
        <v>254</v>
      </c>
      <c r="M111" t="s">
        <v>255</v>
      </c>
      <c r="N111">
        <v>60191</v>
      </c>
      <c r="O111" t="s">
        <v>259</v>
      </c>
      <c r="P111">
        <v>37402</v>
      </c>
      <c r="Q111" t="s">
        <v>6</v>
      </c>
      <c r="R111">
        <v>415683</v>
      </c>
      <c r="S111" t="s">
        <v>84</v>
      </c>
      <c r="T111" s="2">
        <v>0</v>
      </c>
      <c r="U111">
        <v>0</v>
      </c>
      <c r="V111" t="s">
        <v>260</v>
      </c>
      <c r="W111">
        <v>0</v>
      </c>
      <c r="X111">
        <v>0</v>
      </c>
      <c r="Y111">
        <v>0</v>
      </c>
      <c r="Z111" t="s">
        <v>9</v>
      </c>
      <c r="AA111" t="s">
        <v>2</v>
      </c>
      <c r="AB111" t="s">
        <v>10</v>
      </c>
      <c r="AC111">
        <v>0</v>
      </c>
      <c r="AD111">
        <v>0</v>
      </c>
      <c r="AE111">
        <v>582744796578</v>
      </c>
      <c r="AF111">
        <v>1985.51</v>
      </c>
      <c r="AG111">
        <v>0</v>
      </c>
      <c r="AH111">
        <v>0</v>
      </c>
      <c r="AI111">
        <v>1985.51</v>
      </c>
      <c r="AJ111" t="s">
        <v>2</v>
      </c>
      <c r="AK111" t="s">
        <v>11</v>
      </c>
    </row>
    <row r="112" spans="1:37">
      <c r="A112">
        <v>257667</v>
      </c>
      <c r="B112" s="1">
        <v>45366</v>
      </c>
      <c r="C112" t="s">
        <v>252</v>
      </c>
      <c r="D112" t="s">
        <v>253</v>
      </c>
      <c r="E112" t="s">
        <v>2</v>
      </c>
      <c r="F112" t="s">
        <v>254</v>
      </c>
      <c r="G112" t="s">
        <v>255</v>
      </c>
      <c r="H112">
        <v>60191</v>
      </c>
      <c r="I112" t="s">
        <v>256</v>
      </c>
      <c r="J112" t="s">
        <v>257</v>
      </c>
      <c r="K112" t="s">
        <v>258</v>
      </c>
      <c r="L112" t="s">
        <v>254</v>
      </c>
      <c r="M112" t="s">
        <v>255</v>
      </c>
      <c r="N112">
        <v>60191</v>
      </c>
      <c r="O112" t="s">
        <v>259</v>
      </c>
      <c r="P112">
        <v>37402</v>
      </c>
      <c r="Q112" t="s">
        <v>6</v>
      </c>
      <c r="R112">
        <v>415683</v>
      </c>
      <c r="S112" t="s">
        <v>84</v>
      </c>
      <c r="T112" s="2">
        <v>0</v>
      </c>
      <c r="U112">
        <v>0</v>
      </c>
      <c r="V112" t="s">
        <v>260</v>
      </c>
      <c r="W112">
        <v>1</v>
      </c>
      <c r="X112">
        <v>1</v>
      </c>
      <c r="Y112">
        <v>0</v>
      </c>
      <c r="Z112" t="s">
        <v>261</v>
      </c>
      <c r="AA112" t="s">
        <v>262</v>
      </c>
      <c r="AB112" t="s">
        <v>14</v>
      </c>
      <c r="AC112">
        <v>2335.8859000000002</v>
      </c>
      <c r="AD112">
        <v>2335.89</v>
      </c>
      <c r="AE112">
        <v>582744796578</v>
      </c>
      <c r="AF112">
        <v>1985.51</v>
      </c>
      <c r="AG112">
        <v>0</v>
      </c>
      <c r="AH112">
        <v>0</v>
      </c>
      <c r="AI112">
        <v>1985.51</v>
      </c>
      <c r="AJ112" t="s">
        <v>2</v>
      </c>
      <c r="AK112" t="s">
        <v>11</v>
      </c>
    </row>
    <row r="113" spans="1:37">
      <c r="A113">
        <v>257667</v>
      </c>
      <c r="B113" s="1">
        <v>45366</v>
      </c>
      <c r="C113" t="s">
        <v>252</v>
      </c>
      <c r="D113" t="s">
        <v>253</v>
      </c>
      <c r="E113" t="s">
        <v>2</v>
      </c>
      <c r="F113" t="s">
        <v>254</v>
      </c>
      <c r="G113" t="s">
        <v>255</v>
      </c>
      <c r="H113">
        <v>60191</v>
      </c>
      <c r="I113" t="s">
        <v>256</v>
      </c>
      <c r="J113" t="s">
        <v>257</v>
      </c>
      <c r="K113" t="s">
        <v>258</v>
      </c>
      <c r="L113" t="s">
        <v>254</v>
      </c>
      <c r="M113" t="s">
        <v>255</v>
      </c>
      <c r="N113">
        <v>60191</v>
      </c>
      <c r="O113" t="s">
        <v>259</v>
      </c>
      <c r="P113">
        <v>37402</v>
      </c>
      <c r="Q113" t="s">
        <v>6</v>
      </c>
      <c r="R113">
        <v>415683</v>
      </c>
      <c r="S113" t="s">
        <v>84</v>
      </c>
      <c r="T113" s="2">
        <v>0</v>
      </c>
      <c r="U113">
        <v>0</v>
      </c>
      <c r="V113" t="s">
        <v>260</v>
      </c>
      <c r="W113">
        <v>0</v>
      </c>
      <c r="X113">
        <v>0</v>
      </c>
      <c r="Y113">
        <v>0</v>
      </c>
      <c r="Z113" t="s">
        <v>88</v>
      </c>
      <c r="AA113" t="s">
        <v>213</v>
      </c>
      <c r="AB113" t="s">
        <v>10</v>
      </c>
      <c r="AC113">
        <v>0</v>
      </c>
      <c r="AD113">
        <v>0</v>
      </c>
      <c r="AE113">
        <v>582744796578</v>
      </c>
      <c r="AF113">
        <v>1985.51</v>
      </c>
      <c r="AG113">
        <v>0</v>
      </c>
      <c r="AH113">
        <v>0</v>
      </c>
      <c r="AI113">
        <v>1985.51</v>
      </c>
      <c r="AJ113" t="s">
        <v>2</v>
      </c>
      <c r="AK113" t="s">
        <v>11</v>
      </c>
    </row>
    <row r="114" spans="1:37">
      <c r="A114">
        <v>257667</v>
      </c>
      <c r="B114" s="1">
        <v>45366</v>
      </c>
      <c r="C114" t="s">
        <v>252</v>
      </c>
      <c r="D114" t="s">
        <v>253</v>
      </c>
      <c r="E114" t="s">
        <v>2</v>
      </c>
      <c r="F114" t="s">
        <v>254</v>
      </c>
      <c r="G114" t="s">
        <v>255</v>
      </c>
      <c r="H114">
        <v>60191</v>
      </c>
      <c r="I114" t="s">
        <v>256</v>
      </c>
      <c r="J114" t="s">
        <v>257</v>
      </c>
      <c r="K114" t="s">
        <v>258</v>
      </c>
      <c r="L114" t="s">
        <v>254</v>
      </c>
      <c r="M114" t="s">
        <v>255</v>
      </c>
      <c r="N114">
        <v>60191</v>
      </c>
      <c r="O114" t="s">
        <v>259</v>
      </c>
      <c r="P114">
        <v>37402</v>
      </c>
      <c r="Q114" t="s">
        <v>6</v>
      </c>
      <c r="R114">
        <v>415683</v>
      </c>
      <c r="S114" t="s">
        <v>84</v>
      </c>
      <c r="T114" s="2">
        <v>0</v>
      </c>
      <c r="U114">
        <v>0</v>
      </c>
      <c r="V114" t="s">
        <v>260</v>
      </c>
      <c r="W114">
        <v>-1</v>
      </c>
      <c r="X114">
        <v>-1</v>
      </c>
      <c r="Y114">
        <v>0</v>
      </c>
      <c r="Z114" t="s">
        <v>263</v>
      </c>
      <c r="AA114" t="s">
        <v>264</v>
      </c>
      <c r="AB114" t="s">
        <v>14</v>
      </c>
      <c r="AC114">
        <v>350.38</v>
      </c>
      <c r="AD114">
        <v>-350.38</v>
      </c>
      <c r="AE114">
        <v>582744796578</v>
      </c>
      <c r="AF114">
        <v>1985.51</v>
      </c>
      <c r="AG114">
        <v>0</v>
      </c>
      <c r="AH114">
        <v>0</v>
      </c>
      <c r="AI114">
        <v>1985.51</v>
      </c>
      <c r="AJ114" t="s">
        <v>2</v>
      </c>
      <c r="AK114" t="s">
        <v>11</v>
      </c>
    </row>
    <row r="115" spans="1:37">
      <c r="A115">
        <v>257667</v>
      </c>
      <c r="B115" s="1">
        <v>45366</v>
      </c>
      <c r="C115" t="s">
        <v>252</v>
      </c>
      <c r="D115" t="s">
        <v>253</v>
      </c>
      <c r="E115" t="s">
        <v>2</v>
      </c>
      <c r="F115" t="s">
        <v>254</v>
      </c>
      <c r="G115" t="s">
        <v>255</v>
      </c>
      <c r="H115">
        <v>60191</v>
      </c>
      <c r="I115" t="s">
        <v>256</v>
      </c>
      <c r="J115" t="s">
        <v>257</v>
      </c>
      <c r="K115" t="s">
        <v>258</v>
      </c>
      <c r="L115" t="s">
        <v>254</v>
      </c>
      <c r="M115" t="s">
        <v>255</v>
      </c>
      <c r="N115">
        <v>60191</v>
      </c>
      <c r="O115" t="s">
        <v>259</v>
      </c>
      <c r="P115">
        <v>37402</v>
      </c>
      <c r="Q115" t="s">
        <v>6</v>
      </c>
      <c r="R115">
        <v>415683</v>
      </c>
      <c r="S115" t="s">
        <v>84</v>
      </c>
      <c r="T115" s="2">
        <v>0</v>
      </c>
      <c r="U115">
        <v>0</v>
      </c>
      <c r="V115" t="s">
        <v>260</v>
      </c>
      <c r="W115">
        <v>0</v>
      </c>
      <c r="X115">
        <v>0</v>
      </c>
      <c r="Y115">
        <v>0</v>
      </c>
      <c r="Z115" t="s">
        <v>88</v>
      </c>
      <c r="AA115" t="s">
        <v>265</v>
      </c>
      <c r="AB115" t="s">
        <v>10</v>
      </c>
      <c r="AC115">
        <v>0</v>
      </c>
      <c r="AD115">
        <v>0</v>
      </c>
      <c r="AE115">
        <v>582744796578</v>
      </c>
      <c r="AF115">
        <v>1985.51</v>
      </c>
      <c r="AG115">
        <v>0</v>
      </c>
      <c r="AH115">
        <v>0</v>
      </c>
      <c r="AI115">
        <v>1985.51</v>
      </c>
      <c r="AJ115" t="s">
        <v>2</v>
      </c>
      <c r="AK115" t="s">
        <v>11</v>
      </c>
    </row>
    <row r="116" spans="1:37">
      <c r="A116">
        <v>257667</v>
      </c>
      <c r="B116" s="1">
        <v>45366</v>
      </c>
      <c r="C116" t="s">
        <v>252</v>
      </c>
      <c r="D116" t="s">
        <v>253</v>
      </c>
      <c r="E116" t="s">
        <v>2</v>
      </c>
      <c r="F116" t="s">
        <v>254</v>
      </c>
      <c r="G116" t="s">
        <v>255</v>
      </c>
      <c r="H116">
        <v>60191</v>
      </c>
      <c r="I116" t="s">
        <v>256</v>
      </c>
      <c r="J116" t="s">
        <v>257</v>
      </c>
      <c r="K116" t="s">
        <v>258</v>
      </c>
      <c r="L116" t="s">
        <v>254</v>
      </c>
      <c r="M116" t="s">
        <v>255</v>
      </c>
      <c r="N116">
        <v>60191</v>
      </c>
      <c r="O116" t="s">
        <v>259</v>
      </c>
      <c r="P116">
        <v>37402</v>
      </c>
      <c r="Q116" t="s">
        <v>6</v>
      </c>
      <c r="R116">
        <v>415683</v>
      </c>
      <c r="S116" t="s">
        <v>84</v>
      </c>
      <c r="T116" s="2">
        <v>0</v>
      </c>
      <c r="U116">
        <v>0</v>
      </c>
      <c r="V116" t="s">
        <v>260</v>
      </c>
      <c r="W116">
        <v>0</v>
      </c>
      <c r="X116">
        <v>0</v>
      </c>
      <c r="Y116">
        <v>0</v>
      </c>
      <c r="Z116" t="s">
        <v>88</v>
      </c>
      <c r="AA116" t="s">
        <v>266</v>
      </c>
      <c r="AB116" t="s">
        <v>10</v>
      </c>
      <c r="AC116">
        <v>0</v>
      </c>
      <c r="AD116">
        <v>0</v>
      </c>
      <c r="AE116">
        <v>582744796578</v>
      </c>
      <c r="AF116">
        <v>1985.51</v>
      </c>
      <c r="AG116">
        <v>0</v>
      </c>
      <c r="AH116">
        <v>0</v>
      </c>
      <c r="AI116">
        <v>1985.51</v>
      </c>
      <c r="AJ116" t="s">
        <v>2</v>
      </c>
      <c r="AK116" t="s">
        <v>11</v>
      </c>
    </row>
    <row r="117" spans="1:37">
      <c r="A117">
        <v>257668</v>
      </c>
      <c r="B117" s="1">
        <v>45366</v>
      </c>
      <c r="C117" t="s">
        <v>267</v>
      </c>
      <c r="D117" t="s">
        <v>268</v>
      </c>
      <c r="E117" t="s">
        <v>269</v>
      </c>
      <c r="F117" t="s">
        <v>270</v>
      </c>
      <c r="G117" t="s">
        <v>19</v>
      </c>
      <c r="H117">
        <v>8110</v>
      </c>
      <c r="I117" t="s">
        <v>271</v>
      </c>
      <c r="J117" t="s">
        <v>272</v>
      </c>
      <c r="K117" t="s">
        <v>2</v>
      </c>
      <c r="L117" t="s">
        <v>273</v>
      </c>
      <c r="M117" t="s">
        <v>19</v>
      </c>
      <c r="N117">
        <v>8037</v>
      </c>
      <c r="O117" t="s">
        <v>274</v>
      </c>
      <c r="P117">
        <v>959687</v>
      </c>
      <c r="Q117" t="s">
        <v>21</v>
      </c>
      <c r="R117">
        <v>415720</v>
      </c>
      <c r="S117" t="s">
        <v>84</v>
      </c>
      <c r="T117" s="2">
        <v>1</v>
      </c>
      <c r="U117">
        <v>0</v>
      </c>
      <c r="V117" t="s">
        <v>236</v>
      </c>
      <c r="W117">
        <v>0</v>
      </c>
      <c r="X117">
        <v>0</v>
      </c>
      <c r="Y117">
        <v>0</v>
      </c>
      <c r="Z117" t="s">
        <v>9</v>
      </c>
      <c r="AA117" t="s">
        <v>2</v>
      </c>
      <c r="AB117" t="s">
        <v>10</v>
      </c>
      <c r="AC117">
        <v>0</v>
      </c>
      <c r="AD117">
        <v>0</v>
      </c>
      <c r="AE117">
        <v>582744796707</v>
      </c>
      <c r="AF117">
        <v>1767.44</v>
      </c>
      <c r="AG117">
        <v>0</v>
      </c>
      <c r="AH117">
        <v>0</v>
      </c>
      <c r="AI117">
        <v>1767.44</v>
      </c>
      <c r="AJ117" t="s">
        <v>2</v>
      </c>
      <c r="AK117" t="s">
        <v>11</v>
      </c>
    </row>
    <row r="118" spans="1:37">
      <c r="A118">
        <v>257668</v>
      </c>
      <c r="B118" s="1">
        <v>45366</v>
      </c>
      <c r="C118" t="s">
        <v>267</v>
      </c>
      <c r="D118" t="s">
        <v>268</v>
      </c>
      <c r="E118" t="s">
        <v>269</v>
      </c>
      <c r="F118" t="s">
        <v>270</v>
      </c>
      <c r="G118" t="s">
        <v>19</v>
      </c>
      <c r="H118">
        <v>8110</v>
      </c>
      <c r="I118" t="s">
        <v>271</v>
      </c>
      <c r="J118" t="s">
        <v>272</v>
      </c>
      <c r="K118" t="s">
        <v>2</v>
      </c>
      <c r="L118" t="s">
        <v>273</v>
      </c>
      <c r="M118" t="s">
        <v>19</v>
      </c>
      <c r="N118">
        <v>8037</v>
      </c>
      <c r="O118" t="s">
        <v>274</v>
      </c>
      <c r="P118">
        <v>959687</v>
      </c>
      <c r="Q118" t="s">
        <v>21</v>
      </c>
      <c r="R118">
        <v>415720</v>
      </c>
      <c r="S118" t="s">
        <v>84</v>
      </c>
      <c r="T118" s="2">
        <v>1</v>
      </c>
      <c r="U118">
        <v>0</v>
      </c>
      <c r="V118" t="s">
        <v>236</v>
      </c>
      <c r="W118">
        <v>1</v>
      </c>
      <c r="X118">
        <v>1</v>
      </c>
      <c r="Y118">
        <v>0</v>
      </c>
      <c r="Z118" t="s">
        <v>275</v>
      </c>
      <c r="AA118" t="s">
        <v>276</v>
      </c>
      <c r="AB118" t="s">
        <v>14</v>
      </c>
      <c r="AC118">
        <v>1767.4354000000001</v>
      </c>
      <c r="AD118">
        <v>1767.44</v>
      </c>
      <c r="AE118">
        <v>582744796707</v>
      </c>
      <c r="AF118">
        <v>1767.44</v>
      </c>
      <c r="AG118">
        <v>0</v>
      </c>
      <c r="AH118">
        <v>0</v>
      </c>
      <c r="AI118">
        <v>1767.44</v>
      </c>
      <c r="AJ118" t="s">
        <v>2</v>
      </c>
      <c r="AK118" t="s">
        <v>11</v>
      </c>
    </row>
    <row r="119" spans="1:37">
      <c r="A119">
        <v>257668</v>
      </c>
      <c r="B119" s="1">
        <v>45366</v>
      </c>
      <c r="C119" t="s">
        <v>267</v>
      </c>
      <c r="D119" t="s">
        <v>268</v>
      </c>
      <c r="E119" t="s">
        <v>269</v>
      </c>
      <c r="F119" t="s">
        <v>270</v>
      </c>
      <c r="G119" t="s">
        <v>19</v>
      </c>
      <c r="H119">
        <v>8110</v>
      </c>
      <c r="I119" t="s">
        <v>271</v>
      </c>
      <c r="J119" t="s">
        <v>272</v>
      </c>
      <c r="K119" t="s">
        <v>2</v>
      </c>
      <c r="L119" t="s">
        <v>273</v>
      </c>
      <c r="M119" t="s">
        <v>19</v>
      </c>
      <c r="N119">
        <v>8037</v>
      </c>
      <c r="O119" t="s">
        <v>274</v>
      </c>
      <c r="P119">
        <v>959687</v>
      </c>
      <c r="Q119" t="s">
        <v>21</v>
      </c>
      <c r="R119">
        <v>415720</v>
      </c>
      <c r="S119" t="s">
        <v>84</v>
      </c>
      <c r="T119" s="2">
        <v>1</v>
      </c>
      <c r="U119">
        <v>0</v>
      </c>
      <c r="V119" t="s">
        <v>236</v>
      </c>
      <c r="W119">
        <v>0</v>
      </c>
      <c r="X119">
        <v>0</v>
      </c>
      <c r="Y119">
        <v>0</v>
      </c>
      <c r="Z119" t="s">
        <v>88</v>
      </c>
      <c r="AA119" t="s">
        <v>116</v>
      </c>
      <c r="AB119" t="s">
        <v>10</v>
      </c>
      <c r="AC119">
        <v>0</v>
      </c>
      <c r="AD119">
        <v>0</v>
      </c>
      <c r="AE119">
        <v>582744796707</v>
      </c>
      <c r="AF119">
        <v>1767.44</v>
      </c>
      <c r="AG119">
        <v>0</v>
      </c>
      <c r="AH119">
        <v>0</v>
      </c>
      <c r="AI119">
        <v>1767.44</v>
      </c>
      <c r="AJ119" t="s">
        <v>2</v>
      </c>
      <c r="AK119" t="s">
        <v>11</v>
      </c>
    </row>
    <row r="120" spans="1:37">
      <c r="A120">
        <v>257668</v>
      </c>
      <c r="B120" s="1">
        <v>45366</v>
      </c>
      <c r="C120" t="s">
        <v>267</v>
      </c>
      <c r="D120" t="s">
        <v>268</v>
      </c>
      <c r="E120" t="s">
        <v>269</v>
      </c>
      <c r="F120" t="s">
        <v>270</v>
      </c>
      <c r="G120" t="s">
        <v>19</v>
      </c>
      <c r="H120">
        <v>8110</v>
      </c>
      <c r="I120" t="s">
        <v>271</v>
      </c>
      <c r="J120" t="s">
        <v>272</v>
      </c>
      <c r="K120" t="s">
        <v>2</v>
      </c>
      <c r="L120" t="s">
        <v>273</v>
      </c>
      <c r="M120" t="s">
        <v>19</v>
      </c>
      <c r="N120">
        <v>8037</v>
      </c>
      <c r="O120" t="s">
        <v>274</v>
      </c>
      <c r="P120">
        <v>959687</v>
      </c>
      <c r="Q120" t="s">
        <v>21</v>
      </c>
      <c r="R120">
        <v>415720</v>
      </c>
      <c r="S120" t="s">
        <v>84</v>
      </c>
      <c r="T120" s="2">
        <v>1</v>
      </c>
      <c r="U120">
        <v>0</v>
      </c>
      <c r="V120" t="s">
        <v>236</v>
      </c>
      <c r="W120">
        <v>0</v>
      </c>
      <c r="X120">
        <v>0</v>
      </c>
      <c r="Y120">
        <v>0</v>
      </c>
      <c r="Z120" t="s">
        <v>88</v>
      </c>
      <c r="AA120" t="s">
        <v>266</v>
      </c>
      <c r="AB120" t="s">
        <v>10</v>
      </c>
      <c r="AC120">
        <v>0</v>
      </c>
      <c r="AD120">
        <v>0</v>
      </c>
      <c r="AE120">
        <v>582744796707</v>
      </c>
      <c r="AF120">
        <v>1767.44</v>
      </c>
      <c r="AG120">
        <v>0</v>
      </c>
      <c r="AH120">
        <v>0</v>
      </c>
      <c r="AI120">
        <v>1767.44</v>
      </c>
      <c r="AJ120" t="s">
        <v>2</v>
      </c>
      <c r="AK120" t="s">
        <v>11</v>
      </c>
    </row>
    <row r="121" spans="1:37">
      <c r="A121">
        <v>257669</v>
      </c>
      <c r="B121" s="1">
        <v>45366</v>
      </c>
      <c r="C121" t="s">
        <v>277</v>
      </c>
      <c r="D121" t="s">
        <v>278</v>
      </c>
      <c r="E121" t="s">
        <v>2</v>
      </c>
      <c r="F121" t="s">
        <v>279</v>
      </c>
      <c r="G121" t="s">
        <v>137</v>
      </c>
      <c r="H121">
        <v>90640</v>
      </c>
      <c r="I121" t="s">
        <v>280</v>
      </c>
      <c r="J121" t="s">
        <v>281</v>
      </c>
      <c r="K121" t="s">
        <v>2</v>
      </c>
      <c r="L121" t="s">
        <v>279</v>
      </c>
      <c r="M121" t="s">
        <v>137</v>
      </c>
      <c r="N121">
        <v>90640</v>
      </c>
      <c r="O121" t="s">
        <v>282</v>
      </c>
      <c r="P121" t="s">
        <v>283</v>
      </c>
      <c r="Q121" t="s">
        <v>46</v>
      </c>
      <c r="R121">
        <v>415727</v>
      </c>
      <c r="S121" t="s">
        <v>84</v>
      </c>
      <c r="T121" s="2">
        <v>1</v>
      </c>
      <c r="U121">
        <v>0</v>
      </c>
      <c r="V121" t="s">
        <v>284</v>
      </c>
      <c r="W121">
        <v>0</v>
      </c>
      <c r="X121">
        <v>0</v>
      </c>
      <c r="Y121">
        <v>0</v>
      </c>
      <c r="Z121" t="s">
        <v>9</v>
      </c>
      <c r="AA121" t="s">
        <v>2</v>
      </c>
      <c r="AB121" t="s">
        <v>10</v>
      </c>
      <c r="AC121">
        <v>0</v>
      </c>
      <c r="AD121">
        <v>0</v>
      </c>
      <c r="AE121">
        <v>582744796762</v>
      </c>
      <c r="AF121">
        <v>421.66</v>
      </c>
      <c r="AG121">
        <v>0</v>
      </c>
      <c r="AH121">
        <v>43.27</v>
      </c>
      <c r="AI121">
        <v>464.93</v>
      </c>
      <c r="AJ121" t="s">
        <v>2</v>
      </c>
      <c r="AK121" t="s">
        <v>11</v>
      </c>
    </row>
    <row r="122" spans="1:37">
      <c r="A122">
        <v>257669</v>
      </c>
      <c r="B122" s="1">
        <v>45366</v>
      </c>
      <c r="C122" t="s">
        <v>277</v>
      </c>
      <c r="D122" t="s">
        <v>278</v>
      </c>
      <c r="E122" t="s">
        <v>2</v>
      </c>
      <c r="F122" t="s">
        <v>279</v>
      </c>
      <c r="G122" t="s">
        <v>137</v>
      </c>
      <c r="H122">
        <v>90640</v>
      </c>
      <c r="I122" t="s">
        <v>280</v>
      </c>
      <c r="J122" t="s">
        <v>281</v>
      </c>
      <c r="K122" t="s">
        <v>2</v>
      </c>
      <c r="L122" t="s">
        <v>279</v>
      </c>
      <c r="M122" t="s">
        <v>137</v>
      </c>
      <c r="N122">
        <v>90640</v>
      </c>
      <c r="O122" t="s">
        <v>282</v>
      </c>
      <c r="P122" t="s">
        <v>283</v>
      </c>
      <c r="Q122" t="s">
        <v>46</v>
      </c>
      <c r="R122">
        <v>415727</v>
      </c>
      <c r="S122" t="s">
        <v>84</v>
      </c>
      <c r="T122" s="2">
        <v>1</v>
      </c>
      <c r="U122">
        <v>0</v>
      </c>
      <c r="V122" t="s">
        <v>284</v>
      </c>
      <c r="W122">
        <v>1</v>
      </c>
      <c r="X122">
        <v>1</v>
      </c>
      <c r="Y122">
        <v>0</v>
      </c>
      <c r="Z122" t="s">
        <v>285</v>
      </c>
      <c r="AA122" t="s">
        <v>286</v>
      </c>
      <c r="AB122" t="s">
        <v>14</v>
      </c>
      <c r="AC122">
        <v>421.66</v>
      </c>
      <c r="AD122">
        <v>421.66</v>
      </c>
      <c r="AE122">
        <v>582744796762</v>
      </c>
      <c r="AF122">
        <v>421.66</v>
      </c>
      <c r="AG122">
        <v>0</v>
      </c>
      <c r="AH122">
        <v>43.27</v>
      </c>
      <c r="AI122">
        <v>464.93</v>
      </c>
      <c r="AJ122" t="s">
        <v>2</v>
      </c>
      <c r="AK122" t="s">
        <v>11</v>
      </c>
    </row>
    <row r="123" spans="1:37">
      <c r="A123">
        <v>257669</v>
      </c>
      <c r="B123" s="1">
        <v>45366</v>
      </c>
      <c r="C123" t="s">
        <v>277</v>
      </c>
      <c r="D123" t="s">
        <v>278</v>
      </c>
      <c r="E123" t="s">
        <v>2</v>
      </c>
      <c r="F123" t="s">
        <v>279</v>
      </c>
      <c r="G123" t="s">
        <v>137</v>
      </c>
      <c r="H123">
        <v>90640</v>
      </c>
      <c r="I123" t="s">
        <v>280</v>
      </c>
      <c r="J123" t="s">
        <v>281</v>
      </c>
      <c r="K123" t="s">
        <v>2</v>
      </c>
      <c r="L123" t="s">
        <v>279</v>
      </c>
      <c r="M123" t="s">
        <v>137</v>
      </c>
      <c r="N123">
        <v>90640</v>
      </c>
      <c r="O123" t="s">
        <v>282</v>
      </c>
      <c r="P123" t="s">
        <v>283</v>
      </c>
      <c r="Q123" t="s">
        <v>46</v>
      </c>
      <c r="R123">
        <v>415727</v>
      </c>
      <c r="S123" t="s">
        <v>84</v>
      </c>
      <c r="T123" s="2">
        <v>1</v>
      </c>
      <c r="U123">
        <v>0</v>
      </c>
      <c r="V123" t="s">
        <v>284</v>
      </c>
      <c r="W123">
        <v>0</v>
      </c>
      <c r="X123">
        <v>0</v>
      </c>
      <c r="Y123">
        <v>0</v>
      </c>
      <c r="Z123" t="s">
        <v>88</v>
      </c>
      <c r="AA123" t="s">
        <v>251</v>
      </c>
      <c r="AB123" t="s">
        <v>10</v>
      </c>
      <c r="AC123">
        <v>0</v>
      </c>
      <c r="AD123">
        <v>0</v>
      </c>
      <c r="AE123">
        <v>582744796762</v>
      </c>
      <c r="AF123">
        <v>421.66</v>
      </c>
      <c r="AG123">
        <v>0</v>
      </c>
      <c r="AH123">
        <v>43.27</v>
      </c>
      <c r="AI123">
        <v>464.93</v>
      </c>
      <c r="AJ123" t="s">
        <v>2</v>
      </c>
      <c r="AK123" t="s">
        <v>11</v>
      </c>
    </row>
    <row r="124" spans="1:37">
      <c r="A124">
        <v>257670</v>
      </c>
      <c r="B124" s="1">
        <v>45366</v>
      </c>
      <c r="C124" t="s">
        <v>287</v>
      </c>
      <c r="D124" t="s">
        <v>288</v>
      </c>
      <c r="E124" t="s">
        <v>2</v>
      </c>
      <c r="F124" t="s">
        <v>289</v>
      </c>
      <c r="G124" t="s">
        <v>137</v>
      </c>
      <c r="H124">
        <v>94510</v>
      </c>
      <c r="I124" t="s">
        <v>290</v>
      </c>
      <c r="J124" t="s">
        <v>291</v>
      </c>
      <c r="K124" t="s">
        <v>2</v>
      </c>
      <c r="L124" t="s">
        <v>292</v>
      </c>
      <c r="M124" t="s">
        <v>137</v>
      </c>
      <c r="N124" t="s">
        <v>293</v>
      </c>
      <c r="O124" t="s">
        <v>294</v>
      </c>
      <c r="P124">
        <v>2278850</v>
      </c>
      <c r="Q124" t="s">
        <v>38</v>
      </c>
      <c r="R124">
        <v>415749</v>
      </c>
      <c r="S124" t="s">
        <v>140</v>
      </c>
      <c r="T124" s="2">
        <v>1</v>
      </c>
      <c r="U124">
        <v>0</v>
      </c>
      <c r="V124" t="s">
        <v>153</v>
      </c>
      <c r="W124">
        <v>0</v>
      </c>
      <c r="X124">
        <v>0</v>
      </c>
      <c r="Y124">
        <v>0</v>
      </c>
      <c r="Z124" t="s">
        <v>9</v>
      </c>
      <c r="AA124" t="s">
        <v>2</v>
      </c>
      <c r="AB124" t="s">
        <v>10</v>
      </c>
      <c r="AC124">
        <v>0</v>
      </c>
      <c r="AD124">
        <v>0</v>
      </c>
      <c r="AE124" t="s">
        <v>295</v>
      </c>
      <c r="AF124">
        <v>271.08999999999997</v>
      </c>
      <c r="AG124">
        <v>0</v>
      </c>
      <c r="AH124">
        <v>29.14</v>
      </c>
      <c r="AI124">
        <v>300.23</v>
      </c>
      <c r="AJ124" t="s">
        <v>2</v>
      </c>
      <c r="AK124" t="s">
        <v>11</v>
      </c>
    </row>
    <row r="125" spans="1:37">
      <c r="A125">
        <v>257670</v>
      </c>
      <c r="B125" s="1">
        <v>45366</v>
      </c>
      <c r="C125" t="s">
        <v>287</v>
      </c>
      <c r="D125" t="s">
        <v>288</v>
      </c>
      <c r="E125" t="s">
        <v>2</v>
      </c>
      <c r="F125" t="s">
        <v>289</v>
      </c>
      <c r="G125" t="s">
        <v>137</v>
      </c>
      <c r="H125">
        <v>94510</v>
      </c>
      <c r="I125" t="s">
        <v>290</v>
      </c>
      <c r="J125" t="s">
        <v>291</v>
      </c>
      <c r="K125" t="s">
        <v>2</v>
      </c>
      <c r="L125" t="s">
        <v>292</v>
      </c>
      <c r="M125" t="s">
        <v>137</v>
      </c>
      <c r="N125" t="s">
        <v>293</v>
      </c>
      <c r="O125" t="s">
        <v>294</v>
      </c>
      <c r="P125">
        <v>2278850</v>
      </c>
      <c r="Q125" t="s">
        <v>38</v>
      </c>
      <c r="R125">
        <v>415749</v>
      </c>
      <c r="S125" t="s">
        <v>140</v>
      </c>
      <c r="T125" s="2">
        <v>1</v>
      </c>
      <c r="U125">
        <v>0</v>
      </c>
      <c r="V125" t="s">
        <v>153</v>
      </c>
      <c r="W125">
        <v>1</v>
      </c>
      <c r="X125">
        <v>1</v>
      </c>
      <c r="Y125">
        <v>0</v>
      </c>
      <c r="Z125" t="s">
        <v>296</v>
      </c>
      <c r="AA125" t="s">
        <v>297</v>
      </c>
      <c r="AB125" t="s">
        <v>14</v>
      </c>
      <c r="AC125">
        <v>271.08999999999997</v>
      </c>
      <c r="AD125">
        <v>271.08999999999997</v>
      </c>
      <c r="AE125" t="s">
        <v>295</v>
      </c>
      <c r="AF125">
        <v>271.08999999999997</v>
      </c>
      <c r="AG125">
        <v>0</v>
      </c>
      <c r="AH125">
        <v>29.14</v>
      </c>
      <c r="AI125">
        <v>300.23</v>
      </c>
      <c r="AJ125" t="s">
        <v>2</v>
      </c>
      <c r="AK125" t="s">
        <v>11</v>
      </c>
    </row>
    <row r="126" spans="1:37">
      <c r="A126">
        <v>257670</v>
      </c>
      <c r="B126" s="1">
        <v>45366</v>
      </c>
      <c r="C126" t="s">
        <v>287</v>
      </c>
      <c r="D126" t="s">
        <v>288</v>
      </c>
      <c r="E126" t="s">
        <v>2</v>
      </c>
      <c r="F126" t="s">
        <v>289</v>
      </c>
      <c r="G126" t="s">
        <v>137</v>
      </c>
      <c r="H126">
        <v>94510</v>
      </c>
      <c r="I126" t="s">
        <v>290</v>
      </c>
      <c r="J126" t="s">
        <v>291</v>
      </c>
      <c r="K126" t="s">
        <v>2</v>
      </c>
      <c r="L126" t="s">
        <v>292</v>
      </c>
      <c r="M126" t="s">
        <v>137</v>
      </c>
      <c r="N126" t="s">
        <v>293</v>
      </c>
      <c r="O126" t="s">
        <v>294</v>
      </c>
      <c r="P126">
        <v>2278850</v>
      </c>
      <c r="Q126" t="s">
        <v>38</v>
      </c>
      <c r="R126">
        <v>415749</v>
      </c>
      <c r="S126" t="s">
        <v>140</v>
      </c>
      <c r="T126" s="2">
        <v>1</v>
      </c>
      <c r="U126">
        <v>0</v>
      </c>
      <c r="V126" t="s">
        <v>153</v>
      </c>
      <c r="W126">
        <v>0</v>
      </c>
      <c r="X126">
        <v>0</v>
      </c>
      <c r="Y126">
        <v>0</v>
      </c>
      <c r="Z126" t="s">
        <v>88</v>
      </c>
      <c r="AA126" t="s">
        <v>298</v>
      </c>
      <c r="AB126" t="s">
        <v>10</v>
      </c>
      <c r="AC126">
        <v>0</v>
      </c>
      <c r="AD126">
        <v>0</v>
      </c>
      <c r="AE126" t="s">
        <v>295</v>
      </c>
      <c r="AF126">
        <v>271.08999999999997</v>
      </c>
      <c r="AG126">
        <v>0</v>
      </c>
      <c r="AH126">
        <v>29.14</v>
      </c>
      <c r="AI126">
        <v>300.23</v>
      </c>
      <c r="AJ126" t="s">
        <v>2</v>
      </c>
      <c r="AK126" t="s">
        <v>11</v>
      </c>
    </row>
    <row r="127" spans="1:37">
      <c r="A127">
        <v>257671</v>
      </c>
      <c r="B127" s="1">
        <v>45366</v>
      </c>
      <c r="C127" t="s">
        <v>159</v>
      </c>
      <c r="D127" t="s">
        <v>160</v>
      </c>
      <c r="E127" t="s">
        <v>161</v>
      </c>
      <c r="F127" t="s">
        <v>162</v>
      </c>
      <c r="G127" t="s">
        <v>163</v>
      </c>
      <c r="H127">
        <v>80239</v>
      </c>
      <c r="I127" t="s">
        <v>299</v>
      </c>
      <c r="J127" t="s">
        <v>300</v>
      </c>
      <c r="K127" t="s">
        <v>301</v>
      </c>
      <c r="L127" t="s">
        <v>302</v>
      </c>
      <c r="M127" t="s">
        <v>163</v>
      </c>
      <c r="N127">
        <v>80239</v>
      </c>
      <c r="O127" t="s">
        <v>168</v>
      </c>
      <c r="P127">
        <v>2277696</v>
      </c>
      <c r="Q127" t="s">
        <v>38</v>
      </c>
      <c r="R127">
        <v>415211</v>
      </c>
      <c r="S127" t="s">
        <v>84</v>
      </c>
      <c r="T127" s="2">
        <v>4</v>
      </c>
      <c r="U127">
        <v>0</v>
      </c>
      <c r="V127" t="s">
        <v>153</v>
      </c>
      <c r="W127">
        <v>0</v>
      </c>
      <c r="X127">
        <v>0</v>
      </c>
      <c r="Y127">
        <v>0</v>
      </c>
      <c r="Z127" t="s">
        <v>9</v>
      </c>
      <c r="AA127" t="s">
        <v>2</v>
      </c>
      <c r="AB127" t="s">
        <v>10</v>
      </c>
      <c r="AC127">
        <v>0</v>
      </c>
      <c r="AD127">
        <v>0</v>
      </c>
      <c r="AE127">
        <v>582744796589</v>
      </c>
      <c r="AF127">
        <v>3559.87</v>
      </c>
      <c r="AG127">
        <v>0</v>
      </c>
      <c r="AH127">
        <v>0</v>
      </c>
      <c r="AI127">
        <v>3559.87</v>
      </c>
      <c r="AJ127" t="s">
        <v>2</v>
      </c>
      <c r="AK127" t="s">
        <v>11</v>
      </c>
    </row>
    <row r="128" spans="1:37">
      <c r="A128">
        <v>257671</v>
      </c>
      <c r="B128" s="1">
        <v>45366</v>
      </c>
      <c r="C128" t="s">
        <v>159</v>
      </c>
      <c r="D128" t="s">
        <v>160</v>
      </c>
      <c r="E128" t="s">
        <v>161</v>
      </c>
      <c r="F128" t="s">
        <v>162</v>
      </c>
      <c r="G128" t="s">
        <v>163</v>
      </c>
      <c r="H128">
        <v>80239</v>
      </c>
      <c r="I128" t="s">
        <v>299</v>
      </c>
      <c r="J128" t="s">
        <v>300</v>
      </c>
      <c r="K128" t="s">
        <v>301</v>
      </c>
      <c r="L128" t="s">
        <v>302</v>
      </c>
      <c r="M128" t="s">
        <v>163</v>
      </c>
      <c r="N128">
        <v>80239</v>
      </c>
      <c r="O128" t="s">
        <v>168</v>
      </c>
      <c r="P128">
        <v>2277696</v>
      </c>
      <c r="Q128" t="s">
        <v>38</v>
      </c>
      <c r="R128">
        <v>415211</v>
      </c>
      <c r="S128" t="s">
        <v>84</v>
      </c>
      <c r="T128" s="2">
        <v>4</v>
      </c>
      <c r="U128">
        <v>0</v>
      </c>
      <c r="V128" t="s">
        <v>153</v>
      </c>
      <c r="W128">
        <v>3</v>
      </c>
      <c r="X128">
        <v>3</v>
      </c>
      <c r="Y128">
        <v>0</v>
      </c>
      <c r="Z128" t="s">
        <v>205</v>
      </c>
      <c r="AA128" t="s">
        <v>206</v>
      </c>
      <c r="AB128" t="s">
        <v>14</v>
      </c>
      <c r="AC128">
        <v>1178.29</v>
      </c>
      <c r="AD128">
        <v>3534.87</v>
      </c>
      <c r="AE128">
        <v>582744796589</v>
      </c>
      <c r="AF128">
        <v>3559.87</v>
      </c>
      <c r="AG128">
        <v>0</v>
      </c>
      <c r="AH128">
        <v>0</v>
      </c>
      <c r="AI128">
        <v>3559.87</v>
      </c>
      <c r="AJ128" t="s">
        <v>2</v>
      </c>
      <c r="AK128" t="s">
        <v>11</v>
      </c>
    </row>
    <row r="129" spans="1:37">
      <c r="A129">
        <v>257671</v>
      </c>
      <c r="B129" s="1">
        <v>45366</v>
      </c>
      <c r="C129" t="s">
        <v>159</v>
      </c>
      <c r="D129" t="s">
        <v>160</v>
      </c>
      <c r="E129" t="s">
        <v>161</v>
      </c>
      <c r="F129" t="s">
        <v>162</v>
      </c>
      <c r="G129" t="s">
        <v>163</v>
      </c>
      <c r="H129">
        <v>80239</v>
      </c>
      <c r="I129" t="s">
        <v>299</v>
      </c>
      <c r="J129" t="s">
        <v>300</v>
      </c>
      <c r="K129" t="s">
        <v>301</v>
      </c>
      <c r="L129" t="s">
        <v>302</v>
      </c>
      <c r="M129" t="s">
        <v>163</v>
      </c>
      <c r="N129">
        <v>80239</v>
      </c>
      <c r="O129" t="s">
        <v>168</v>
      </c>
      <c r="P129">
        <v>2277696</v>
      </c>
      <c r="Q129" t="s">
        <v>38</v>
      </c>
      <c r="R129">
        <v>415211</v>
      </c>
      <c r="S129" t="s">
        <v>84</v>
      </c>
      <c r="T129" s="2">
        <v>4</v>
      </c>
      <c r="U129">
        <v>0</v>
      </c>
      <c r="V129" t="s">
        <v>153</v>
      </c>
      <c r="W129">
        <v>0</v>
      </c>
      <c r="X129">
        <v>0</v>
      </c>
      <c r="Y129">
        <v>0</v>
      </c>
      <c r="Z129" t="s">
        <v>88</v>
      </c>
      <c r="AA129" t="s">
        <v>116</v>
      </c>
      <c r="AB129" t="s">
        <v>10</v>
      </c>
      <c r="AC129">
        <v>0</v>
      </c>
      <c r="AD129">
        <v>0</v>
      </c>
      <c r="AE129">
        <v>582744796589</v>
      </c>
      <c r="AF129">
        <v>3559.87</v>
      </c>
      <c r="AG129">
        <v>0</v>
      </c>
      <c r="AH129">
        <v>0</v>
      </c>
      <c r="AI129">
        <v>3559.87</v>
      </c>
      <c r="AJ129" t="s">
        <v>2</v>
      </c>
      <c r="AK129" t="s">
        <v>11</v>
      </c>
    </row>
    <row r="130" spans="1:37">
      <c r="A130">
        <v>257671</v>
      </c>
      <c r="B130" s="1">
        <v>45366</v>
      </c>
      <c r="C130" t="s">
        <v>159</v>
      </c>
      <c r="D130" t="s">
        <v>160</v>
      </c>
      <c r="E130" t="s">
        <v>161</v>
      </c>
      <c r="F130" t="s">
        <v>162</v>
      </c>
      <c r="G130" t="s">
        <v>163</v>
      </c>
      <c r="H130">
        <v>80239</v>
      </c>
      <c r="I130" t="s">
        <v>299</v>
      </c>
      <c r="J130" t="s">
        <v>300</v>
      </c>
      <c r="K130" t="s">
        <v>301</v>
      </c>
      <c r="L130" t="s">
        <v>302</v>
      </c>
      <c r="M130" t="s">
        <v>163</v>
      </c>
      <c r="N130">
        <v>80239</v>
      </c>
      <c r="O130" t="s">
        <v>168</v>
      </c>
      <c r="P130">
        <v>2277696</v>
      </c>
      <c r="Q130" t="s">
        <v>38</v>
      </c>
      <c r="R130">
        <v>415211</v>
      </c>
      <c r="S130" t="s">
        <v>84</v>
      </c>
      <c r="T130" s="2">
        <v>4</v>
      </c>
      <c r="U130">
        <v>0</v>
      </c>
      <c r="V130" t="s">
        <v>153</v>
      </c>
      <c r="W130">
        <v>1</v>
      </c>
      <c r="X130">
        <v>1</v>
      </c>
      <c r="Y130">
        <v>0</v>
      </c>
      <c r="Z130" t="s">
        <v>183</v>
      </c>
      <c r="AA130" t="s">
        <v>184</v>
      </c>
      <c r="AB130" t="s">
        <v>14</v>
      </c>
      <c r="AC130">
        <v>25</v>
      </c>
      <c r="AD130">
        <v>25</v>
      </c>
      <c r="AE130">
        <v>582744796589</v>
      </c>
      <c r="AF130">
        <v>3559.87</v>
      </c>
      <c r="AG130">
        <v>0</v>
      </c>
      <c r="AH130">
        <v>0</v>
      </c>
      <c r="AI130">
        <v>3559.87</v>
      </c>
      <c r="AJ130" t="s">
        <v>2</v>
      </c>
      <c r="AK130" t="s">
        <v>11</v>
      </c>
    </row>
    <row r="131" spans="1:37">
      <c r="A131">
        <v>257672</v>
      </c>
      <c r="B131" s="1">
        <v>45366</v>
      </c>
      <c r="C131" t="s">
        <v>303</v>
      </c>
      <c r="D131" t="s">
        <v>304</v>
      </c>
      <c r="E131" t="s">
        <v>2</v>
      </c>
      <c r="F131" t="s">
        <v>305</v>
      </c>
      <c r="G131" t="s">
        <v>173</v>
      </c>
      <c r="H131">
        <v>99212</v>
      </c>
      <c r="I131" t="s">
        <v>306</v>
      </c>
      <c r="J131" t="s">
        <v>307</v>
      </c>
      <c r="K131" t="s">
        <v>2</v>
      </c>
      <c r="L131" t="s">
        <v>305</v>
      </c>
      <c r="M131" t="s">
        <v>173</v>
      </c>
      <c r="N131">
        <v>99212</v>
      </c>
      <c r="O131" t="s">
        <v>308</v>
      </c>
      <c r="P131">
        <v>146331</v>
      </c>
      <c r="Q131" t="s">
        <v>46</v>
      </c>
      <c r="R131">
        <v>415513</v>
      </c>
      <c r="S131" t="s">
        <v>140</v>
      </c>
      <c r="T131" s="2">
        <v>5</v>
      </c>
      <c r="U131">
        <v>0</v>
      </c>
      <c r="V131" t="s">
        <v>309</v>
      </c>
      <c r="W131">
        <v>0</v>
      </c>
      <c r="X131">
        <v>0</v>
      </c>
      <c r="Y131">
        <v>0</v>
      </c>
      <c r="Z131" t="s">
        <v>9</v>
      </c>
      <c r="AA131" t="s">
        <v>2</v>
      </c>
      <c r="AB131" t="s">
        <v>10</v>
      </c>
      <c r="AC131">
        <v>0</v>
      </c>
      <c r="AD131">
        <v>0</v>
      </c>
      <c r="AE131" t="s">
        <v>310</v>
      </c>
      <c r="AF131">
        <v>714.37</v>
      </c>
      <c r="AG131">
        <v>0</v>
      </c>
      <c r="AH131">
        <v>0</v>
      </c>
      <c r="AI131">
        <v>714.37</v>
      </c>
      <c r="AJ131" t="s">
        <v>2</v>
      </c>
      <c r="AK131" t="s">
        <v>11</v>
      </c>
    </row>
    <row r="132" spans="1:37">
      <c r="A132">
        <v>257672</v>
      </c>
      <c r="B132" s="1">
        <v>45366</v>
      </c>
      <c r="C132" t="s">
        <v>303</v>
      </c>
      <c r="D132" t="s">
        <v>304</v>
      </c>
      <c r="E132" t="s">
        <v>2</v>
      </c>
      <c r="F132" t="s">
        <v>305</v>
      </c>
      <c r="G132" t="s">
        <v>173</v>
      </c>
      <c r="H132">
        <v>99212</v>
      </c>
      <c r="I132" t="s">
        <v>306</v>
      </c>
      <c r="J132" t="s">
        <v>307</v>
      </c>
      <c r="K132" t="s">
        <v>2</v>
      </c>
      <c r="L132" t="s">
        <v>305</v>
      </c>
      <c r="M132" t="s">
        <v>173</v>
      </c>
      <c r="N132">
        <v>99212</v>
      </c>
      <c r="O132" t="s">
        <v>308</v>
      </c>
      <c r="P132">
        <v>146331</v>
      </c>
      <c r="Q132" t="s">
        <v>46</v>
      </c>
      <c r="R132">
        <v>415513</v>
      </c>
      <c r="S132" t="s">
        <v>140</v>
      </c>
      <c r="T132" s="2">
        <v>5</v>
      </c>
      <c r="U132">
        <v>0</v>
      </c>
      <c r="V132" t="s">
        <v>309</v>
      </c>
      <c r="W132">
        <v>0</v>
      </c>
      <c r="X132">
        <v>0</v>
      </c>
      <c r="Y132">
        <v>0</v>
      </c>
      <c r="Z132" t="s">
        <v>88</v>
      </c>
      <c r="AA132" t="s">
        <v>311</v>
      </c>
      <c r="AB132" t="s">
        <v>10</v>
      </c>
      <c r="AC132">
        <v>0</v>
      </c>
      <c r="AD132">
        <v>0</v>
      </c>
      <c r="AE132" t="s">
        <v>310</v>
      </c>
      <c r="AF132">
        <v>714.37</v>
      </c>
      <c r="AG132">
        <v>0</v>
      </c>
      <c r="AH132">
        <v>0</v>
      </c>
      <c r="AI132">
        <v>714.37</v>
      </c>
      <c r="AJ132" t="s">
        <v>2</v>
      </c>
      <c r="AK132" t="s">
        <v>11</v>
      </c>
    </row>
    <row r="133" spans="1:37">
      <c r="A133">
        <v>257672</v>
      </c>
      <c r="B133" s="1">
        <v>45366</v>
      </c>
      <c r="C133" t="s">
        <v>303</v>
      </c>
      <c r="D133" t="s">
        <v>304</v>
      </c>
      <c r="E133" t="s">
        <v>2</v>
      </c>
      <c r="F133" t="s">
        <v>305</v>
      </c>
      <c r="G133" t="s">
        <v>173</v>
      </c>
      <c r="H133">
        <v>99212</v>
      </c>
      <c r="I133" t="s">
        <v>306</v>
      </c>
      <c r="J133" t="s">
        <v>307</v>
      </c>
      <c r="K133" t="s">
        <v>2</v>
      </c>
      <c r="L133" t="s">
        <v>305</v>
      </c>
      <c r="M133" t="s">
        <v>173</v>
      </c>
      <c r="N133">
        <v>99212</v>
      </c>
      <c r="O133" t="s">
        <v>308</v>
      </c>
      <c r="P133">
        <v>146331</v>
      </c>
      <c r="Q133" t="s">
        <v>46</v>
      </c>
      <c r="R133">
        <v>415513</v>
      </c>
      <c r="S133" t="s">
        <v>140</v>
      </c>
      <c r="T133" s="2">
        <v>5</v>
      </c>
      <c r="U133">
        <v>0</v>
      </c>
      <c r="V133" t="s">
        <v>309</v>
      </c>
      <c r="W133">
        <v>0</v>
      </c>
      <c r="X133">
        <v>0</v>
      </c>
      <c r="Y133">
        <v>0</v>
      </c>
      <c r="Z133" t="s">
        <v>88</v>
      </c>
      <c r="AA133" t="s">
        <v>311</v>
      </c>
      <c r="AB133" t="s">
        <v>10</v>
      </c>
      <c r="AC133">
        <v>0</v>
      </c>
      <c r="AD133">
        <v>0</v>
      </c>
      <c r="AE133" t="s">
        <v>310</v>
      </c>
      <c r="AF133">
        <v>714.37</v>
      </c>
      <c r="AG133">
        <v>0</v>
      </c>
      <c r="AH133">
        <v>0</v>
      </c>
      <c r="AI133">
        <v>714.37</v>
      </c>
      <c r="AJ133" t="s">
        <v>2</v>
      </c>
      <c r="AK133" t="s">
        <v>11</v>
      </c>
    </row>
    <row r="134" spans="1:37">
      <c r="A134">
        <v>257672</v>
      </c>
      <c r="B134" s="1">
        <v>45366</v>
      </c>
      <c r="C134" t="s">
        <v>303</v>
      </c>
      <c r="D134" t="s">
        <v>304</v>
      </c>
      <c r="E134" t="s">
        <v>2</v>
      </c>
      <c r="F134" t="s">
        <v>305</v>
      </c>
      <c r="G134" t="s">
        <v>173</v>
      </c>
      <c r="H134">
        <v>99212</v>
      </c>
      <c r="I134" t="s">
        <v>306</v>
      </c>
      <c r="J134" t="s">
        <v>307</v>
      </c>
      <c r="K134" t="s">
        <v>2</v>
      </c>
      <c r="L134" t="s">
        <v>305</v>
      </c>
      <c r="M134" t="s">
        <v>173</v>
      </c>
      <c r="N134">
        <v>99212</v>
      </c>
      <c r="O134" t="s">
        <v>308</v>
      </c>
      <c r="P134">
        <v>146331</v>
      </c>
      <c r="Q134" t="s">
        <v>46</v>
      </c>
      <c r="R134">
        <v>415513</v>
      </c>
      <c r="S134" t="s">
        <v>140</v>
      </c>
      <c r="T134" s="2">
        <v>5</v>
      </c>
      <c r="U134">
        <v>0</v>
      </c>
      <c r="V134" t="s">
        <v>309</v>
      </c>
      <c r="W134">
        <v>1</v>
      </c>
      <c r="X134">
        <v>1</v>
      </c>
      <c r="Y134">
        <v>0</v>
      </c>
      <c r="Z134" t="s">
        <v>312</v>
      </c>
      <c r="AA134" t="s">
        <v>313</v>
      </c>
      <c r="AB134" t="s">
        <v>14</v>
      </c>
      <c r="AC134">
        <v>122.4862</v>
      </c>
      <c r="AD134">
        <v>122.49</v>
      </c>
      <c r="AE134" t="s">
        <v>310</v>
      </c>
      <c r="AF134">
        <v>714.37</v>
      </c>
      <c r="AG134">
        <v>0</v>
      </c>
      <c r="AH134">
        <v>0</v>
      </c>
      <c r="AI134">
        <v>714.37</v>
      </c>
      <c r="AJ134" t="s">
        <v>2</v>
      </c>
      <c r="AK134" t="s">
        <v>11</v>
      </c>
    </row>
    <row r="135" spans="1:37">
      <c r="A135">
        <v>257672</v>
      </c>
      <c r="B135" s="1">
        <v>45366</v>
      </c>
      <c r="C135" t="s">
        <v>303</v>
      </c>
      <c r="D135" t="s">
        <v>304</v>
      </c>
      <c r="E135" t="s">
        <v>2</v>
      </c>
      <c r="F135" t="s">
        <v>305</v>
      </c>
      <c r="G135" t="s">
        <v>173</v>
      </c>
      <c r="H135">
        <v>99212</v>
      </c>
      <c r="I135" t="s">
        <v>306</v>
      </c>
      <c r="J135" t="s">
        <v>307</v>
      </c>
      <c r="K135" t="s">
        <v>2</v>
      </c>
      <c r="L135" t="s">
        <v>305</v>
      </c>
      <c r="M135" t="s">
        <v>173</v>
      </c>
      <c r="N135">
        <v>99212</v>
      </c>
      <c r="O135" t="s">
        <v>308</v>
      </c>
      <c r="P135">
        <v>146331</v>
      </c>
      <c r="Q135" t="s">
        <v>46</v>
      </c>
      <c r="R135">
        <v>415513</v>
      </c>
      <c r="S135" t="s">
        <v>140</v>
      </c>
      <c r="T135" s="2">
        <v>5</v>
      </c>
      <c r="U135">
        <v>0</v>
      </c>
      <c r="V135" t="s">
        <v>309</v>
      </c>
      <c r="W135">
        <v>0</v>
      </c>
      <c r="X135">
        <v>0</v>
      </c>
      <c r="Y135">
        <v>0</v>
      </c>
      <c r="Z135" t="s">
        <v>88</v>
      </c>
      <c r="AA135" t="s">
        <v>314</v>
      </c>
      <c r="AB135" t="s">
        <v>10</v>
      </c>
      <c r="AC135">
        <v>0</v>
      </c>
      <c r="AD135">
        <v>0</v>
      </c>
      <c r="AE135" t="s">
        <v>310</v>
      </c>
      <c r="AF135">
        <v>714.37</v>
      </c>
      <c r="AG135">
        <v>0</v>
      </c>
      <c r="AH135">
        <v>0</v>
      </c>
      <c r="AI135">
        <v>714.37</v>
      </c>
      <c r="AJ135" t="s">
        <v>2</v>
      </c>
      <c r="AK135" t="s">
        <v>11</v>
      </c>
    </row>
    <row r="136" spans="1:37">
      <c r="A136">
        <v>257672</v>
      </c>
      <c r="B136" s="1">
        <v>45366</v>
      </c>
      <c r="C136" t="s">
        <v>303</v>
      </c>
      <c r="D136" t="s">
        <v>304</v>
      </c>
      <c r="E136" t="s">
        <v>2</v>
      </c>
      <c r="F136" t="s">
        <v>305</v>
      </c>
      <c r="G136" t="s">
        <v>173</v>
      </c>
      <c r="H136">
        <v>99212</v>
      </c>
      <c r="I136" t="s">
        <v>306</v>
      </c>
      <c r="J136" t="s">
        <v>307</v>
      </c>
      <c r="K136" t="s">
        <v>2</v>
      </c>
      <c r="L136" t="s">
        <v>305</v>
      </c>
      <c r="M136" t="s">
        <v>173</v>
      </c>
      <c r="N136">
        <v>99212</v>
      </c>
      <c r="O136" t="s">
        <v>308</v>
      </c>
      <c r="P136">
        <v>146331</v>
      </c>
      <c r="Q136" t="s">
        <v>46</v>
      </c>
      <c r="R136">
        <v>415513</v>
      </c>
      <c r="S136" t="s">
        <v>140</v>
      </c>
      <c r="T136" s="2">
        <v>5</v>
      </c>
      <c r="U136">
        <v>0</v>
      </c>
      <c r="V136" t="s">
        <v>309</v>
      </c>
      <c r="W136">
        <v>1</v>
      </c>
      <c r="X136">
        <v>1</v>
      </c>
      <c r="Y136">
        <v>0</v>
      </c>
      <c r="Z136" t="s">
        <v>315</v>
      </c>
      <c r="AA136" t="s">
        <v>316</v>
      </c>
      <c r="AB136" t="s">
        <v>14</v>
      </c>
      <c r="AC136">
        <v>135.21940000000001</v>
      </c>
      <c r="AD136">
        <v>135.22</v>
      </c>
      <c r="AE136" t="s">
        <v>310</v>
      </c>
      <c r="AF136">
        <v>714.37</v>
      </c>
      <c r="AG136">
        <v>0</v>
      </c>
      <c r="AH136">
        <v>0</v>
      </c>
      <c r="AI136">
        <v>714.37</v>
      </c>
      <c r="AJ136" t="s">
        <v>2</v>
      </c>
      <c r="AK136" t="s">
        <v>11</v>
      </c>
    </row>
    <row r="137" spans="1:37">
      <c r="A137">
        <v>257672</v>
      </c>
      <c r="B137" s="1">
        <v>45366</v>
      </c>
      <c r="C137" t="s">
        <v>303</v>
      </c>
      <c r="D137" t="s">
        <v>304</v>
      </c>
      <c r="E137" t="s">
        <v>2</v>
      </c>
      <c r="F137" t="s">
        <v>305</v>
      </c>
      <c r="G137" t="s">
        <v>173</v>
      </c>
      <c r="H137">
        <v>99212</v>
      </c>
      <c r="I137" t="s">
        <v>306</v>
      </c>
      <c r="J137" t="s">
        <v>307</v>
      </c>
      <c r="K137" t="s">
        <v>2</v>
      </c>
      <c r="L137" t="s">
        <v>305</v>
      </c>
      <c r="M137" t="s">
        <v>173</v>
      </c>
      <c r="N137">
        <v>99212</v>
      </c>
      <c r="O137" t="s">
        <v>308</v>
      </c>
      <c r="P137">
        <v>146331</v>
      </c>
      <c r="Q137" t="s">
        <v>46</v>
      </c>
      <c r="R137">
        <v>415513</v>
      </c>
      <c r="S137" t="s">
        <v>140</v>
      </c>
      <c r="T137" s="2">
        <v>5</v>
      </c>
      <c r="U137">
        <v>0</v>
      </c>
      <c r="V137" t="s">
        <v>309</v>
      </c>
      <c r="W137">
        <v>0</v>
      </c>
      <c r="X137">
        <v>0</v>
      </c>
      <c r="Y137">
        <v>0</v>
      </c>
      <c r="Z137" t="s">
        <v>88</v>
      </c>
      <c r="AA137" t="s">
        <v>317</v>
      </c>
      <c r="AB137" t="s">
        <v>10</v>
      </c>
      <c r="AC137">
        <v>0</v>
      </c>
      <c r="AD137">
        <v>0</v>
      </c>
      <c r="AE137" t="s">
        <v>310</v>
      </c>
      <c r="AF137">
        <v>714.37</v>
      </c>
      <c r="AG137">
        <v>0</v>
      </c>
      <c r="AH137">
        <v>0</v>
      </c>
      <c r="AI137">
        <v>714.37</v>
      </c>
      <c r="AJ137" t="s">
        <v>2</v>
      </c>
      <c r="AK137" t="s">
        <v>11</v>
      </c>
    </row>
    <row r="138" spans="1:37">
      <c r="A138">
        <v>257672</v>
      </c>
      <c r="B138" s="1">
        <v>45366</v>
      </c>
      <c r="C138" t="s">
        <v>303</v>
      </c>
      <c r="D138" t="s">
        <v>304</v>
      </c>
      <c r="E138" t="s">
        <v>2</v>
      </c>
      <c r="F138" t="s">
        <v>305</v>
      </c>
      <c r="G138" t="s">
        <v>173</v>
      </c>
      <c r="H138">
        <v>99212</v>
      </c>
      <c r="I138" t="s">
        <v>306</v>
      </c>
      <c r="J138" t="s">
        <v>307</v>
      </c>
      <c r="K138" t="s">
        <v>2</v>
      </c>
      <c r="L138" t="s">
        <v>305</v>
      </c>
      <c r="M138" t="s">
        <v>173</v>
      </c>
      <c r="N138">
        <v>99212</v>
      </c>
      <c r="O138" t="s">
        <v>308</v>
      </c>
      <c r="P138">
        <v>146331</v>
      </c>
      <c r="Q138" t="s">
        <v>46</v>
      </c>
      <c r="R138">
        <v>415513</v>
      </c>
      <c r="S138" t="s">
        <v>140</v>
      </c>
      <c r="T138" s="2">
        <v>5</v>
      </c>
      <c r="U138">
        <v>0</v>
      </c>
      <c r="V138" t="s">
        <v>309</v>
      </c>
      <c r="W138">
        <v>1</v>
      </c>
      <c r="X138">
        <v>1</v>
      </c>
      <c r="Y138">
        <v>0</v>
      </c>
      <c r="Z138" t="s">
        <v>318</v>
      </c>
      <c r="AA138" t="s">
        <v>319</v>
      </c>
      <c r="AB138" t="s">
        <v>14</v>
      </c>
      <c r="AC138">
        <v>135.21940000000001</v>
      </c>
      <c r="AD138">
        <v>135.22</v>
      </c>
      <c r="AE138" t="s">
        <v>310</v>
      </c>
      <c r="AF138">
        <v>714.37</v>
      </c>
      <c r="AG138">
        <v>0</v>
      </c>
      <c r="AH138">
        <v>0</v>
      </c>
      <c r="AI138">
        <v>714.37</v>
      </c>
      <c r="AJ138" t="s">
        <v>2</v>
      </c>
      <c r="AK138" t="s">
        <v>11</v>
      </c>
    </row>
    <row r="139" spans="1:37">
      <c r="A139">
        <v>257672</v>
      </c>
      <c r="B139" s="1">
        <v>45366</v>
      </c>
      <c r="C139" t="s">
        <v>303</v>
      </c>
      <c r="D139" t="s">
        <v>304</v>
      </c>
      <c r="E139" t="s">
        <v>2</v>
      </c>
      <c r="F139" t="s">
        <v>305</v>
      </c>
      <c r="G139" t="s">
        <v>173</v>
      </c>
      <c r="H139">
        <v>99212</v>
      </c>
      <c r="I139" t="s">
        <v>306</v>
      </c>
      <c r="J139" t="s">
        <v>307</v>
      </c>
      <c r="K139" t="s">
        <v>2</v>
      </c>
      <c r="L139" t="s">
        <v>305</v>
      </c>
      <c r="M139" t="s">
        <v>173</v>
      </c>
      <c r="N139">
        <v>99212</v>
      </c>
      <c r="O139" t="s">
        <v>308</v>
      </c>
      <c r="P139">
        <v>146331</v>
      </c>
      <c r="Q139" t="s">
        <v>46</v>
      </c>
      <c r="R139">
        <v>415513</v>
      </c>
      <c r="S139" t="s">
        <v>140</v>
      </c>
      <c r="T139" s="2">
        <v>5</v>
      </c>
      <c r="U139">
        <v>0</v>
      </c>
      <c r="V139" t="s">
        <v>309</v>
      </c>
      <c r="W139">
        <v>0</v>
      </c>
      <c r="X139">
        <v>0</v>
      </c>
      <c r="Y139">
        <v>0</v>
      </c>
      <c r="Z139" t="s">
        <v>88</v>
      </c>
      <c r="AA139" t="s">
        <v>317</v>
      </c>
      <c r="AB139" t="s">
        <v>10</v>
      </c>
      <c r="AC139">
        <v>0</v>
      </c>
      <c r="AD139">
        <v>0</v>
      </c>
      <c r="AE139" t="s">
        <v>310</v>
      </c>
      <c r="AF139">
        <v>714.37</v>
      </c>
      <c r="AG139">
        <v>0</v>
      </c>
      <c r="AH139">
        <v>0</v>
      </c>
      <c r="AI139">
        <v>714.37</v>
      </c>
      <c r="AJ139" t="s">
        <v>2</v>
      </c>
      <c r="AK139" t="s">
        <v>11</v>
      </c>
    </row>
    <row r="140" spans="1:37">
      <c r="A140">
        <v>257672</v>
      </c>
      <c r="B140" s="1">
        <v>45366</v>
      </c>
      <c r="C140" t="s">
        <v>303</v>
      </c>
      <c r="D140" t="s">
        <v>304</v>
      </c>
      <c r="E140" t="s">
        <v>2</v>
      </c>
      <c r="F140" t="s">
        <v>305</v>
      </c>
      <c r="G140" t="s">
        <v>173</v>
      </c>
      <c r="H140">
        <v>99212</v>
      </c>
      <c r="I140" t="s">
        <v>306</v>
      </c>
      <c r="J140" t="s">
        <v>307</v>
      </c>
      <c r="K140" t="s">
        <v>2</v>
      </c>
      <c r="L140" t="s">
        <v>305</v>
      </c>
      <c r="M140" t="s">
        <v>173</v>
      </c>
      <c r="N140">
        <v>99212</v>
      </c>
      <c r="O140" t="s">
        <v>308</v>
      </c>
      <c r="P140">
        <v>146331</v>
      </c>
      <c r="Q140" t="s">
        <v>46</v>
      </c>
      <c r="R140">
        <v>415513</v>
      </c>
      <c r="S140" t="s">
        <v>140</v>
      </c>
      <c r="T140" s="2">
        <v>5</v>
      </c>
      <c r="U140">
        <v>0</v>
      </c>
      <c r="V140" t="s">
        <v>309</v>
      </c>
      <c r="W140">
        <v>1</v>
      </c>
      <c r="X140">
        <v>1</v>
      </c>
      <c r="Y140">
        <v>0</v>
      </c>
      <c r="Z140" t="s">
        <v>320</v>
      </c>
      <c r="AA140" t="s">
        <v>321</v>
      </c>
      <c r="AB140" t="s">
        <v>14</v>
      </c>
      <c r="AC140">
        <v>296.43790000000001</v>
      </c>
      <c r="AD140">
        <v>296.44</v>
      </c>
      <c r="AE140" t="s">
        <v>310</v>
      </c>
      <c r="AF140">
        <v>714.37</v>
      </c>
      <c r="AG140">
        <v>0</v>
      </c>
      <c r="AH140">
        <v>0</v>
      </c>
      <c r="AI140">
        <v>714.37</v>
      </c>
      <c r="AJ140" t="s">
        <v>2</v>
      </c>
      <c r="AK140" t="s">
        <v>11</v>
      </c>
    </row>
    <row r="141" spans="1:37">
      <c r="A141">
        <v>257672</v>
      </c>
      <c r="B141" s="1">
        <v>45366</v>
      </c>
      <c r="C141" t="s">
        <v>303</v>
      </c>
      <c r="D141" t="s">
        <v>304</v>
      </c>
      <c r="E141" t="s">
        <v>2</v>
      </c>
      <c r="F141" t="s">
        <v>305</v>
      </c>
      <c r="G141" t="s">
        <v>173</v>
      </c>
      <c r="H141">
        <v>99212</v>
      </c>
      <c r="I141" t="s">
        <v>306</v>
      </c>
      <c r="J141" t="s">
        <v>307</v>
      </c>
      <c r="K141" t="s">
        <v>2</v>
      </c>
      <c r="L141" t="s">
        <v>305</v>
      </c>
      <c r="M141" t="s">
        <v>173</v>
      </c>
      <c r="N141">
        <v>99212</v>
      </c>
      <c r="O141" t="s">
        <v>308</v>
      </c>
      <c r="P141">
        <v>146331</v>
      </c>
      <c r="Q141" t="s">
        <v>46</v>
      </c>
      <c r="R141">
        <v>415513</v>
      </c>
      <c r="S141" t="s">
        <v>140</v>
      </c>
      <c r="T141" s="2">
        <v>5</v>
      </c>
      <c r="U141">
        <v>0</v>
      </c>
      <c r="V141" t="s">
        <v>309</v>
      </c>
      <c r="W141">
        <v>0</v>
      </c>
      <c r="X141">
        <v>0</v>
      </c>
      <c r="Y141">
        <v>0</v>
      </c>
      <c r="Z141" t="s">
        <v>88</v>
      </c>
      <c r="AA141" t="s">
        <v>322</v>
      </c>
      <c r="AB141" t="s">
        <v>10</v>
      </c>
      <c r="AC141">
        <v>0</v>
      </c>
      <c r="AD141">
        <v>0</v>
      </c>
      <c r="AE141" t="s">
        <v>310</v>
      </c>
      <c r="AF141">
        <v>714.37</v>
      </c>
      <c r="AG141">
        <v>0</v>
      </c>
      <c r="AH141">
        <v>0</v>
      </c>
      <c r="AI141">
        <v>714.37</v>
      </c>
      <c r="AJ141" t="s">
        <v>2</v>
      </c>
      <c r="AK141" t="s">
        <v>11</v>
      </c>
    </row>
    <row r="142" spans="1:37">
      <c r="A142">
        <v>257672</v>
      </c>
      <c r="B142" s="1">
        <v>45366</v>
      </c>
      <c r="C142" t="s">
        <v>303</v>
      </c>
      <c r="D142" t="s">
        <v>304</v>
      </c>
      <c r="E142" t="s">
        <v>2</v>
      </c>
      <c r="F142" t="s">
        <v>305</v>
      </c>
      <c r="G142" t="s">
        <v>173</v>
      </c>
      <c r="H142">
        <v>99212</v>
      </c>
      <c r="I142" t="s">
        <v>306</v>
      </c>
      <c r="J142" t="s">
        <v>307</v>
      </c>
      <c r="K142" t="s">
        <v>2</v>
      </c>
      <c r="L142" t="s">
        <v>305</v>
      </c>
      <c r="M142" t="s">
        <v>173</v>
      </c>
      <c r="N142">
        <v>99212</v>
      </c>
      <c r="O142" t="s">
        <v>308</v>
      </c>
      <c r="P142">
        <v>146331</v>
      </c>
      <c r="Q142" t="s">
        <v>46</v>
      </c>
      <c r="R142">
        <v>415513</v>
      </c>
      <c r="S142" t="s">
        <v>140</v>
      </c>
      <c r="T142" s="2">
        <v>5</v>
      </c>
      <c r="U142">
        <v>0</v>
      </c>
      <c r="V142" t="s">
        <v>309</v>
      </c>
      <c r="W142">
        <v>0</v>
      </c>
      <c r="X142">
        <v>0</v>
      </c>
      <c r="Y142">
        <v>0</v>
      </c>
      <c r="Z142" t="s">
        <v>88</v>
      </c>
      <c r="AA142" t="s">
        <v>2</v>
      </c>
      <c r="AB142" t="s">
        <v>10</v>
      </c>
      <c r="AC142">
        <v>0</v>
      </c>
      <c r="AD142">
        <v>0</v>
      </c>
      <c r="AE142" t="s">
        <v>310</v>
      </c>
      <c r="AF142">
        <v>714.37</v>
      </c>
      <c r="AG142">
        <v>0</v>
      </c>
      <c r="AH142">
        <v>0</v>
      </c>
      <c r="AI142">
        <v>714.37</v>
      </c>
      <c r="AJ142" t="s">
        <v>2</v>
      </c>
      <c r="AK142" t="s">
        <v>11</v>
      </c>
    </row>
    <row r="143" spans="1:37">
      <c r="A143">
        <v>257672</v>
      </c>
      <c r="B143" s="1">
        <v>45366</v>
      </c>
      <c r="C143" t="s">
        <v>303</v>
      </c>
      <c r="D143" t="s">
        <v>304</v>
      </c>
      <c r="E143" t="s">
        <v>2</v>
      </c>
      <c r="F143" t="s">
        <v>305</v>
      </c>
      <c r="G143" t="s">
        <v>173</v>
      </c>
      <c r="H143">
        <v>99212</v>
      </c>
      <c r="I143" t="s">
        <v>306</v>
      </c>
      <c r="J143" t="s">
        <v>307</v>
      </c>
      <c r="K143" t="s">
        <v>2</v>
      </c>
      <c r="L143" t="s">
        <v>305</v>
      </c>
      <c r="M143" t="s">
        <v>173</v>
      </c>
      <c r="N143">
        <v>99212</v>
      </c>
      <c r="O143" t="s">
        <v>308</v>
      </c>
      <c r="P143">
        <v>146331</v>
      </c>
      <c r="Q143" t="s">
        <v>46</v>
      </c>
      <c r="R143">
        <v>415513</v>
      </c>
      <c r="S143" t="s">
        <v>140</v>
      </c>
      <c r="T143" s="2">
        <v>5</v>
      </c>
      <c r="U143">
        <v>0</v>
      </c>
      <c r="V143" t="s">
        <v>309</v>
      </c>
      <c r="W143">
        <v>1</v>
      </c>
      <c r="X143">
        <v>1</v>
      </c>
      <c r="Y143">
        <v>0</v>
      </c>
      <c r="Z143" t="s">
        <v>183</v>
      </c>
      <c r="AA143" t="s">
        <v>184</v>
      </c>
      <c r="AB143" t="s">
        <v>14</v>
      </c>
      <c r="AC143">
        <v>25</v>
      </c>
      <c r="AD143">
        <v>25</v>
      </c>
      <c r="AE143" t="s">
        <v>310</v>
      </c>
      <c r="AF143">
        <v>714.37</v>
      </c>
      <c r="AG143">
        <v>0</v>
      </c>
      <c r="AH143">
        <v>0</v>
      </c>
      <c r="AI143">
        <v>714.37</v>
      </c>
      <c r="AJ143" t="s">
        <v>2</v>
      </c>
      <c r="AK143" t="s">
        <v>11</v>
      </c>
    </row>
    <row r="144" spans="1:37">
      <c r="A144">
        <v>257672</v>
      </c>
      <c r="B144" s="1">
        <v>45366</v>
      </c>
      <c r="C144" t="s">
        <v>303</v>
      </c>
      <c r="D144" t="s">
        <v>304</v>
      </c>
      <c r="E144" t="s">
        <v>2</v>
      </c>
      <c r="F144" t="s">
        <v>305</v>
      </c>
      <c r="G144" t="s">
        <v>173</v>
      </c>
      <c r="H144">
        <v>99212</v>
      </c>
      <c r="I144" t="s">
        <v>306</v>
      </c>
      <c r="J144" t="s">
        <v>307</v>
      </c>
      <c r="K144" t="s">
        <v>2</v>
      </c>
      <c r="L144" t="s">
        <v>305</v>
      </c>
      <c r="M144" t="s">
        <v>173</v>
      </c>
      <c r="N144">
        <v>99212</v>
      </c>
      <c r="O144" t="s">
        <v>308</v>
      </c>
      <c r="P144">
        <v>146331</v>
      </c>
      <c r="Q144" t="s">
        <v>46</v>
      </c>
      <c r="R144">
        <v>415513</v>
      </c>
      <c r="S144" t="s">
        <v>140</v>
      </c>
      <c r="T144" s="2">
        <v>5</v>
      </c>
      <c r="U144">
        <v>0</v>
      </c>
      <c r="V144" t="s">
        <v>309</v>
      </c>
      <c r="W144">
        <v>0</v>
      </c>
      <c r="X144">
        <v>0</v>
      </c>
      <c r="Y144">
        <v>0</v>
      </c>
      <c r="Z144" t="s">
        <v>88</v>
      </c>
      <c r="AA144" t="s">
        <v>2</v>
      </c>
      <c r="AB144" t="s">
        <v>10</v>
      </c>
      <c r="AC144">
        <v>0</v>
      </c>
      <c r="AD144">
        <v>0</v>
      </c>
      <c r="AE144" t="s">
        <v>310</v>
      </c>
      <c r="AF144">
        <v>714.37</v>
      </c>
      <c r="AG144">
        <v>0</v>
      </c>
      <c r="AH144">
        <v>0</v>
      </c>
      <c r="AI144">
        <v>714.37</v>
      </c>
      <c r="AJ144" t="s">
        <v>2</v>
      </c>
      <c r="AK144" t="s">
        <v>11</v>
      </c>
    </row>
    <row r="145" spans="1:37">
      <c r="A145">
        <v>257672</v>
      </c>
      <c r="B145" s="1">
        <v>45366</v>
      </c>
      <c r="C145" t="s">
        <v>303</v>
      </c>
      <c r="D145" t="s">
        <v>304</v>
      </c>
      <c r="E145" t="s">
        <v>2</v>
      </c>
      <c r="F145" t="s">
        <v>305</v>
      </c>
      <c r="G145" t="s">
        <v>173</v>
      </c>
      <c r="H145">
        <v>99212</v>
      </c>
      <c r="I145" t="s">
        <v>306</v>
      </c>
      <c r="J145" t="s">
        <v>307</v>
      </c>
      <c r="K145" t="s">
        <v>2</v>
      </c>
      <c r="L145" t="s">
        <v>305</v>
      </c>
      <c r="M145" t="s">
        <v>173</v>
      </c>
      <c r="N145">
        <v>99212</v>
      </c>
      <c r="O145" t="s">
        <v>308</v>
      </c>
      <c r="P145">
        <v>146331</v>
      </c>
      <c r="Q145" t="s">
        <v>46</v>
      </c>
      <c r="R145">
        <v>415513</v>
      </c>
      <c r="S145" t="s">
        <v>140</v>
      </c>
      <c r="T145" s="2">
        <v>5</v>
      </c>
      <c r="U145">
        <v>0</v>
      </c>
      <c r="V145" t="s">
        <v>309</v>
      </c>
      <c r="W145">
        <v>0</v>
      </c>
      <c r="X145">
        <v>0</v>
      </c>
      <c r="Y145">
        <v>0</v>
      </c>
      <c r="Z145" t="s">
        <v>88</v>
      </c>
      <c r="AA145" t="e">
        <f>-SPLIT ORDER</f>
        <v>#NAME?</v>
      </c>
      <c r="AB145" t="s">
        <v>10</v>
      </c>
      <c r="AC145">
        <v>0</v>
      </c>
      <c r="AD145">
        <v>0</v>
      </c>
      <c r="AE145" t="s">
        <v>310</v>
      </c>
      <c r="AF145">
        <v>714.37</v>
      </c>
      <c r="AG145">
        <v>0</v>
      </c>
      <c r="AH145">
        <v>0</v>
      </c>
      <c r="AI145">
        <v>714.37</v>
      </c>
      <c r="AJ145" t="s">
        <v>2</v>
      </c>
      <c r="AK145" t="s">
        <v>11</v>
      </c>
    </row>
    <row r="146" spans="1:37">
      <c r="A146">
        <v>257673</v>
      </c>
      <c r="B146" s="1">
        <v>45366</v>
      </c>
      <c r="C146" t="s">
        <v>145</v>
      </c>
      <c r="D146" t="s">
        <v>146</v>
      </c>
      <c r="E146" t="s">
        <v>2</v>
      </c>
      <c r="F146" t="s">
        <v>147</v>
      </c>
      <c r="G146" t="s">
        <v>148</v>
      </c>
      <c r="H146">
        <v>84104</v>
      </c>
      <c r="I146" t="s">
        <v>323</v>
      </c>
      <c r="J146" t="s">
        <v>324</v>
      </c>
      <c r="K146" t="s">
        <v>2</v>
      </c>
      <c r="L146" t="s">
        <v>147</v>
      </c>
      <c r="M146" t="s">
        <v>148</v>
      </c>
      <c r="N146" t="s">
        <v>325</v>
      </c>
      <c r="O146" t="s">
        <v>152</v>
      </c>
      <c r="P146">
        <v>2278293</v>
      </c>
      <c r="Q146" t="s">
        <v>46</v>
      </c>
      <c r="R146">
        <v>415518</v>
      </c>
      <c r="S146" t="s">
        <v>140</v>
      </c>
      <c r="T146" s="2">
        <v>1</v>
      </c>
      <c r="U146">
        <v>0</v>
      </c>
      <c r="V146" t="s">
        <v>153</v>
      </c>
      <c r="W146">
        <v>0</v>
      </c>
      <c r="X146">
        <v>0</v>
      </c>
      <c r="Y146">
        <v>0</v>
      </c>
      <c r="Z146" t="s">
        <v>9</v>
      </c>
      <c r="AA146" t="s">
        <v>2</v>
      </c>
      <c r="AB146" t="s">
        <v>10</v>
      </c>
      <c r="AC146">
        <v>0</v>
      </c>
      <c r="AD146">
        <v>0</v>
      </c>
      <c r="AE146" t="s">
        <v>326</v>
      </c>
      <c r="AF146">
        <v>1178.29</v>
      </c>
      <c r="AG146">
        <v>0</v>
      </c>
      <c r="AH146">
        <v>23.14</v>
      </c>
      <c r="AI146">
        <v>1201.43</v>
      </c>
      <c r="AJ146" t="s">
        <v>2</v>
      </c>
      <c r="AK146" t="s">
        <v>11</v>
      </c>
    </row>
    <row r="147" spans="1:37">
      <c r="A147">
        <v>257673</v>
      </c>
      <c r="B147" s="1">
        <v>45366</v>
      </c>
      <c r="C147" t="s">
        <v>145</v>
      </c>
      <c r="D147" t="s">
        <v>146</v>
      </c>
      <c r="E147" t="s">
        <v>2</v>
      </c>
      <c r="F147" t="s">
        <v>147</v>
      </c>
      <c r="G147" t="s">
        <v>148</v>
      </c>
      <c r="H147">
        <v>84104</v>
      </c>
      <c r="I147" t="s">
        <v>323</v>
      </c>
      <c r="J147" t="s">
        <v>324</v>
      </c>
      <c r="K147" t="s">
        <v>2</v>
      </c>
      <c r="L147" t="s">
        <v>147</v>
      </c>
      <c r="M147" t="s">
        <v>148</v>
      </c>
      <c r="N147" t="s">
        <v>325</v>
      </c>
      <c r="O147" t="s">
        <v>152</v>
      </c>
      <c r="P147">
        <v>2278293</v>
      </c>
      <c r="Q147" t="s">
        <v>46</v>
      </c>
      <c r="R147">
        <v>415518</v>
      </c>
      <c r="S147" t="s">
        <v>140</v>
      </c>
      <c r="T147" s="2">
        <v>1</v>
      </c>
      <c r="U147">
        <v>0</v>
      </c>
      <c r="V147" t="s">
        <v>153</v>
      </c>
      <c r="W147">
        <v>0</v>
      </c>
      <c r="X147">
        <v>0</v>
      </c>
      <c r="Y147">
        <v>0</v>
      </c>
      <c r="Z147" t="s">
        <v>88</v>
      </c>
      <c r="AA147" t="s">
        <v>311</v>
      </c>
      <c r="AB147" t="s">
        <v>10</v>
      </c>
      <c r="AC147">
        <v>0</v>
      </c>
      <c r="AD147">
        <v>0</v>
      </c>
      <c r="AE147" t="s">
        <v>326</v>
      </c>
      <c r="AF147">
        <v>1178.29</v>
      </c>
      <c r="AG147">
        <v>0</v>
      </c>
      <c r="AH147">
        <v>23.14</v>
      </c>
      <c r="AI147">
        <v>1201.43</v>
      </c>
      <c r="AJ147" t="s">
        <v>2</v>
      </c>
      <c r="AK147" t="s">
        <v>11</v>
      </c>
    </row>
    <row r="148" spans="1:37">
      <c r="A148">
        <v>257673</v>
      </c>
      <c r="B148" s="1">
        <v>45366</v>
      </c>
      <c r="C148" t="s">
        <v>145</v>
      </c>
      <c r="D148" t="s">
        <v>146</v>
      </c>
      <c r="E148" t="s">
        <v>2</v>
      </c>
      <c r="F148" t="s">
        <v>147</v>
      </c>
      <c r="G148" t="s">
        <v>148</v>
      </c>
      <c r="H148">
        <v>84104</v>
      </c>
      <c r="I148" t="s">
        <v>323</v>
      </c>
      <c r="J148" t="s">
        <v>324</v>
      </c>
      <c r="K148" t="s">
        <v>2</v>
      </c>
      <c r="L148" t="s">
        <v>147</v>
      </c>
      <c r="M148" t="s">
        <v>148</v>
      </c>
      <c r="N148" t="s">
        <v>325</v>
      </c>
      <c r="O148" t="s">
        <v>152</v>
      </c>
      <c r="P148">
        <v>2278293</v>
      </c>
      <c r="Q148" t="s">
        <v>46</v>
      </c>
      <c r="R148">
        <v>415518</v>
      </c>
      <c r="S148" t="s">
        <v>140</v>
      </c>
      <c r="T148" s="2">
        <v>1</v>
      </c>
      <c r="U148">
        <v>0</v>
      </c>
      <c r="V148" t="s">
        <v>153</v>
      </c>
      <c r="W148">
        <v>0</v>
      </c>
      <c r="X148">
        <v>0</v>
      </c>
      <c r="Y148">
        <v>0</v>
      </c>
      <c r="Z148" t="s">
        <v>88</v>
      </c>
      <c r="AA148" t="s">
        <v>311</v>
      </c>
      <c r="AB148" t="s">
        <v>10</v>
      </c>
      <c r="AC148">
        <v>0</v>
      </c>
      <c r="AD148">
        <v>0</v>
      </c>
      <c r="AE148" t="s">
        <v>326</v>
      </c>
      <c r="AF148">
        <v>1178.29</v>
      </c>
      <c r="AG148">
        <v>0</v>
      </c>
      <c r="AH148">
        <v>23.14</v>
      </c>
      <c r="AI148">
        <v>1201.43</v>
      </c>
      <c r="AJ148" t="s">
        <v>2</v>
      </c>
      <c r="AK148" t="s">
        <v>11</v>
      </c>
    </row>
    <row r="149" spans="1:37">
      <c r="A149">
        <v>257673</v>
      </c>
      <c r="B149" s="1">
        <v>45366</v>
      </c>
      <c r="C149" t="s">
        <v>145</v>
      </c>
      <c r="D149" t="s">
        <v>146</v>
      </c>
      <c r="E149" t="s">
        <v>2</v>
      </c>
      <c r="F149" t="s">
        <v>147</v>
      </c>
      <c r="G149" t="s">
        <v>148</v>
      </c>
      <c r="H149">
        <v>84104</v>
      </c>
      <c r="I149" t="s">
        <v>323</v>
      </c>
      <c r="J149" t="s">
        <v>324</v>
      </c>
      <c r="K149" t="s">
        <v>2</v>
      </c>
      <c r="L149" t="s">
        <v>147</v>
      </c>
      <c r="M149" t="s">
        <v>148</v>
      </c>
      <c r="N149" t="s">
        <v>325</v>
      </c>
      <c r="O149" t="s">
        <v>152</v>
      </c>
      <c r="P149">
        <v>2278293</v>
      </c>
      <c r="Q149" t="s">
        <v>46</v>
      </c>
      <c r="R149">
        <v>415518</v>
      </c>
      <c r="S149" t="s">
        <v>140</v>
      </c>
      <c r="T149" s="2">
        <v>1</v>
      </c>
      <c r="U149">
        <v>0</v>
      </c>
      <c r="V149" t="s">
        <v>153</v>
      </c>
      <c r="W149">
        <v>1</v>
      </c>
      <c r="X149">
        <v>1</v>
      </c>
      <c r="Y149">
        <v>0</v>
      </c>
      <c r="Z149" t="s">
        <v>205</v>
      </c>
      <c r="AA149" t="s">
        <v>206</v>
      </c>
      <c r="AB149" t="s">
        <v>14</v>
      </c>
      <c r="AC149">
        <v>1178.29</v>
      </c>
      <c r="AD149">
        <v>1178.29</v>
      </c>
      <c r="AE149" t="s">
        <v>326</v>
      </c>
      <c r="AF149">
        <v>1178.29</v>
      </c>
      <c r="AG149">
        <v>0</v>
      </c>
      <c r="AH149">
        <v>23.14</v>
      </c>
      <c r="AI149">
        <v>1201.43</v>
      </c>
      <c r="AJ149" t="s">
        <v>2</v>
      </c>
      <c r="AK149" t="s">
        <v>11</v>
      </c>
    </row>
    <row r="150" spans="1:37">
      <c r="A150">
        <v>257673</v>
      </c>
      <c r="B150" s="1">
        <v>45366</v>
      </c>
      <c r="C150" t="s">
        <v>145</v>
      </c>
      <c r="D150" t="s">
        <v>146</v>
      </c>
      <c r="E150" t="s">
        <v>2</v>
      </c>
      <c r="F150" t="s">
        <v>147</v>
      </c>
      <c r="G150" t="s">
        <v>148</v>
      </c>
      <c r="H150">
        <v>84104</v>
      </c>
      <c r="I150" t="s">
        <v>323</v>
      </c>
      <c r="J150" t="s">
        <v>324</v>
      </c>
      <c r="K150" t="s">
        <v>2</v>
      </c>
      <c r="L150" t="s">
        <v>147</v>
      </c>
      <c r="M150" t="s">
        <v>148</v>
      </c>
      <c r="N150" t="s">
        <v>325</v>
      </c>
      <c r="O150" t="s">
        <v>152</v>
      </c>
      <c r="P150">
        <v>2278293</v>
      </c>
      <c r="Q150" t="s">
        <v>46</v>
      </c>
      <c r="R150">
        <v>415518</v>
      </c>
      <c r="S150" t="s">
        <v>140</v>
      </c>
      <c r="T150" s="2">
        <v>1</v>
      </c>
      <c r="U150">
        <v>0</v>
      </c>
      <c r="V150" t="s">
        <v>153</v>
      </c>
      <c r="W150">
        <v>0</v>
      </c>
      <c r="X150">
        <v>0</v>
      </c>
      <c r="Y150">
        <v>0</v>
      </c>
      <c r="Z150" t="s">
        <v>88</v>
      </c>
      <c r="AA150" t="s">
        <v>116</v>
      </c>
      <c r="AB150" t="s">
        <v>10</v>
      </c>
      <c r="AC150">
        <v>0</v>
      </c>
      <c r="AD150">
        <v>0</v>
      </c>
      <c r="AE150" t="s">
        <v>326</v>
      </c>
      <c r="AF150">
        <v>1178.29</v>
      </c>
      <c r="AG150">
        <v>0</v>
      </c>
      <c r="AH150">
        <v>23.14</v>
      </c>
      <c r="AI150">
        <v>1201.43</v>
      </c>
      <c r="AJ150" t="s">
        <v>2</v>
      </c>
      <c r="AK150" t="s">
        <v>11</v>
      </c>
    </row>
    <row r="151" spans="1:37">
      <c r="A151">
        <v>257673</v>
      </c>
      <c r="B151" s="1">
        <v>45366</v>
      </c>
      <c r="C151" t="s">
        <v>145</v>
      </c>
      <c r="D151" t="s">
        <v>146</v>
      </c>
      <c r="E151" t="s">
        <v>2</v>
      </c>
      <c r="F151" t="s">
        <v>147</v>
      </c>
      <c r="G151" t="s">
        <v>148</v>
      </c>
      <c r="H151">
        <v>84104</v>
      </c>
      <c r="I151" t="s">
        <v>323</v>
      </c>
      <c r="J151" t="s">
        <v>324</v>
      </c>
      <c r="K151" t="s">
        <v>2</v>
      </c>
      <c r="L151" t="s">
        <v>147</v>
      </c>
      <c r="M151" t="s">
        <v>148</v>
      </c>
      <c r="N151" t="s">
        <v>325</v>
      </c>
      <c r="O151" t="s">
        <v>152</v>
      </c>
      <c r="P151">
        <v>2278293</v>
      </c>
      <c r="Q151" t="s">
        <v>46</v>
      </c>
      <c r="R151">
        <v>415518</v>
      </c>
      <c r="S151" t="s">
        <v>140</v>
      </c>
      <c r="T151" s="2">
        <v>1</v>
      </c>
      <c r="U151">
        <v>0</v>
      </c>
      <c r="V151" t="s">
        <v>153</v>
      </c>
      <c r="W151">
        <v>0</v>
      </c>
      <c r="X151">
        <v>0</v>
      </c>
      <c r="Y151">
        <v>0</v>
      </c>
      <c r="Z151" t="s">
        <v>88</v>
      </c>
      <c r="AA151" t="s">
        <v>2</v>
      </c>
      <c r="AB151" t="s">
        <v>10</v>
      </c>
      <c r="AC151">
        <v>0</v>
      </c>
      <c r="AD151">
        <v>0</v>
      </c>
      <c r="AE151" t="s">
        <v>326</v>
      </c>
      <c r="AF151">
        <v>1178.29</v>
      </c>
      <c r="AG151">
        <v>0</v>
      </c>
      <c r="AH151">
        <v>23.14</v>
      </c>
      <c r="AI151">
        <v>1201.43</v>
      </c>
      <c r="AJ151" t="s">
        <v>2</v>
      </c>
      <c r="AK151" t="s">
        <v>11</v>
      </c>
    </row>
    <row r="152" spans="1:37">
      <c r="A152">
        <v>257673</v>
      </c>
      <c r="B152" s="1">
        <v>45366</v>
      </c>
      <c r="C152" t="s">
        <v>145</v>
      </c>
      <c r="D152" t="s">
        <v>146</v>
      </c>
      <c r="E152" t="s">
        <v>2</v>
      </c>
      <c r="F152" t="s">
        <v>147</v>
      </c>
      <c r="G152" t="s">
        <v>148</v>
      </c>
      <c r="H152">
        <v>84104</v>
      </c>
      <c r="I152" t="s">
        <v>323</v>
      </c>
      <c r="J152" t="s">
        <v>324</v>
      </c>
      <c r="K152" t="s">
        <v>2</v>
      </c>
      <c r="L152" t="s">
        <v>147</v>
      </c>
      <c r="M152" t="s">
        <v>148</v>
      </c>
      <c r="N152" t="s">
        <v>325</v>
      </c>
      <c r="O152" t="s">
        <v>152</v>
      </c>
      <c r="P152">
        <v>2278293</v>
      </c>
      <c r="Q152" t="s">
        <v>46</v>
      </c>
      <c r="R152">
        <v>415518</v>
      </c>
      <c r="S152" t="s">
        <v>140</v>
      </c>
      <c r="T152" s="2">
        <v>1</v>
      </c>
      <c r="U152">
        <v>0</v>
      </c>
      <c r="V152" t="s">
        <v>153</v>
      </c>
      <c r="W152">
        <v>0</v>
      </c>
      <c r="X152">
        <v>0</v>
      </c>
      <c r="Y152">
        <v>0</v>
      </c>
      <c r="Z152" t="s">
        <v>88</v>
      </c>
      <c r="AA152" t="e">
        <f>-SPLIT ORDER</f>
        <v>#NAME?</v>
      </c>
      <c r="AB152" t="s">
        <v>10</v>
      </c>
      <c r="AC152">
        <v>0</v>
      </c>
      <c r="AD152">
        <v>0</v>
      </c>
      <c r="AE152" t="s">
        <v>326</v>
      </c>
      <c r="AF152">
        <v>1178.29</v>
      </c>
      <c r="AG152">
        <v>0</v>
      </c>
      <c r="AH152">
        <v>23.14</v>
      </c>
      <c r="AI152">
        <v>1201.43</v>
      </c>
      <c r="AJ152" t="s">
        <v>2</v>
      </c>
      <c r="AK152" t="s">
        <v>11</v>
      </c>
    </row>
    <row r="153" spans="1:37">
      <c r="A153">
        <v>257674</v>
      </c>
      <c r="B153" s="1">
        <v>45366</v>
      </c>
      <c r="C153" t="s">
        <v>185</v>
      </c>
      <c r="D153" t="s">
        <v>186</v>
      </c>
      <c r="E153" t="s">
        <v>2</v>
      </c>
      <c r="F153" t="s">
        <v>187</v>
      </c>
      <c r="G153" t="s">
        <v>137</v>
      </c>
      <c r="H153">
        <v>90703</v>
      </c>
      <c r="I153" t="s">
        <v>327</v>
      </c>
      <c r="J153" t="s">
        <v>328</v>
      </c>
      <c r="K153" t="s">
        <v>2</v>
      </c>
      <c r="L153" t="s">
        <v>329</v>
      </c>
      <c r="M153" t="s">
        <v>137</v>
      </c>
      <c r="N153" t="s">
        <v>330</v>
      </c>
      <c r="O153" t="s">
        <v>192</v>
      </c>
      <c r="P153">
        <v>2278297</v>
      </c>
      <c r="Q153" t="s">
        <v>38</v>
      </c>
      <c r="R153">
        <v>415522</v>
      </c>
      <c r="S153" t="s">
        <v>84</v>
      </c>
      <c r="T153" s="2">
        <v>5</v>
      </c>
      <c r="U153">
        <v>0</v>
      </c>
      <c r="V153" t="s">
        <v>153</v>
      </c>
      <c r="W153">
        <v>0</v>
      </c>
      <c r="X153">
        <v>0</v>
      </c>
      <c r="Y153">
        <v>0</v>
      </c>
      <c r="Z153" t="s">
        <v>9</v>
      </c>
      <c r="AA153" t="s">
        <v>2</v>
      </c>
      <c r="AB153" t="s">
        <v>10</v>
      </c>
      <c r="AC153">
        <v>0</v>
      </c>
      <c r="AD153">
        <v>0</v>
      </c>
      <c r="AE153">
        <v>582744796670</v>
      </c>
      <c r="AF153">
        <v>1045.2</v>
      </c>
      <c r="AG153">
        <v>0</v>
      </c>
      <c r="AH153">
        <v>93.15</v>
      </c>
      <c r="AI153">
        <v>1138.3499999999999</v>
      </c>
      <c r="AJ153" t="s">
        <v>2</v>
      </c>
      <c r="AK153" t="s">
        <v>11</v>
      </c>
    </row>
    <row r="154" spans="1:37">
      <c r="A154">
        <v>257674</v>
      </c>
      <c r="B154" s="1">
        <v>45366</v>
      </c>
      <c r="C154" t="s">
        <v>185</v>
      </c>
      <c r="D154" t="s">
        <v>186</v>
      </c>
      <c r="E154" t="s">
        <v>2</v>
      </c>
      <c r="F154" t="s">
        <v>187</v>
      </c>
      <c r="G154" t="s">
        <v>137</v>
      </c>
      <c r="H154">
        <v>90703</v>
      </c>
      <c r="I154" t="s">
        <v>327</v>
      </c>
      <c r="J154" t="s">
        <v>328</v>
      </c>
      <c r="K154" t="s">
        <v>2</v>
      </c>
      <c r="L154" t="s">
        <v>329</v>
      </c>
      <c r="M154" t="s">
        <v>137</v>
      </c>
      <c r="N154" t="s">
        <v>330</v>
      </c>
      <c r="O154" t="s">
        <v>192</v>
      </c>
      <c r="P154">
        <v>2278297</v>
      </c>
      <c r="Q154" t="s">
        <v>38</v>
      </c>
      <c r="R154">
        <v>415522</v>
      </c>
      <c r="S154" t="s">
        <v>84</v>
      </c>
      <c r="T154" s="2">
        <v>5</v>
      </c>
      <c r="U154">
        <v>0</v>
      </c>
      <c r="V154" t="s">
        <v>153</v>
      </c>
      <c r="W154">
        <v>1</v>
      </c>
      <c r="X154">
        <v>1</v>
      </c>
      <c r="Y154">
        <v>0</v>
      </c>
      <c r="Z154" t="s">
        <v>331</v>
      </c>
      <c r="AA154" t="s">
        <v>332</v>
      </c>
      <c r="AB154" t="s">
        <v>14</v>
      </c>
      <c r="AC154">
        <v>209.04</v>
      </c>
      <c r="AD154">
        <v>209.04</v>
      </c>
      <c r="AE154">
        <v>582744796670</v>
      </c>
      <c r="AF154">
        <v>1045.2</v>
      </c>
      <c r="AG154">
        <v>0</v>
      </c>
      <c r="AH154">
        <v>93.15</v>
      </c>
      <c r="AI154">
        <v>1138.3499999999999</v>
      </c>
      <c r="AJ154" t="s">
        <v>2</v>
      </c>
      <c r="AK154" t="s">
        <v>11</v>
      </c>
    </row>
    <row r="155" spans="1:37">
      <c r="A155">
        <v>257674</v>
      </c>
      <c r="B155" s="1">
        <v>45366</v>
      </c>
      <c r="C155" t="s">
        <v>185</v>
      </c>
      <c r="D155" t="s">
        <v>186</v>
      </c>
      <c r="E155" t="s">
        <v>2</v>
      </c>
      <c r="F155" t="s">
        <v>187</v>
      </c>
      <c r="G155" t="s">
        <v>137</v>
      </c>
      <c r="H155">
        <v>90703</v>
      </c>
      <c r="I155" t="s">
        <v>327</v>
      </c>
      <c r="J155" t="s">
        <v>328</v>
      </c>
      <c r="K155" t="s">
        <v>2</v>
      </c>
      <c r="L155" t="s">
        <v>329</v>
      </c>
      <c r="M155" t="s">
        <v>137</v>
      </c>
      <c r="N155" t="s">
        <v>330</v>
      </c>
      <c r="O155" t="s">
        <v>192</v>
      </c>
      <c r="P155">
        <v>2278297</v>
      </c>
      <c r="Q155" t="s">
        <v>38</v>
      </c>
      <c r="R155">
        <v>415522</v>
      </c>
      <c r="S155" t="s">
        <v>84</v>
      </c>
      <c r="T155" s="2">
        <v>5</v>
      </c>
      <c r="U155">
        <v>0</v>
      </c>
      <c r="V155" t="s">
        <v>153</v>
      </c>
      <c r="W155">
        <v>0</v>
      </c>
      <c r="X155">
        <v>0</v>
      </c>
      <c r="Y155">
        <v>0</v>
      </c>
      <c r="Z155" t="s">
        <v>88</v>
      </c>
      <c r="AA155" t="s">
        <v>251</v>
      </c>
      <c r="AB155" t="s">
        <v>10</v>
      </c>
      <c r="AC155">
        <v>0</v>
      </c>
      <c r="AD155">
        <v>0</v>
      </c>
      <c r="AE155">
        <v>582744796670</v>
      </c>
      <c r="AF155">
        <v>1045.2</v>
      </c>
      <c r="AG155">
        <v>0</v>
      </c>
      <c r="AH155">
        <v>93.15</v>
      </c>
      <c r="AI155">
        <v>1138.3499999999999</v>
      </c>
      <c r="AJ155" t="s">
        <v>2</v>
      </c>
      <c r="AK155" t="s">
        <v>11</v>
      </c>
    </row>
    <row r="156" spans="1:37">
      <c r="A156">
        <v>257674</v>
      </c>
      <c r="B156" s="1">
        <v>45366</v>
      </c>
      <c r="C156" t="s">
        <v>185</v>
      </c>
      <c r="D156" t="s">
        <v>186</v>
      </c>
      <c r="E156" t="s">
        <v>2</v>
      </c>
      <c r="F156" t="s">
        <v>187</v>
      </c>
      <c r="G156" t="s">
        <v>137</v>
      </c>
      <c r="H156">
        <v>90703</v>
      </c>
      <c r="I156" t="s">
        <v>327</v>
      </c>
      <c r="J156" t="s">
        <v>328</v>
      </c>
      <c r="K156" t="s">
        <v>2</v>
      </c>
      <c r="L156" t="s">
        <v>329</v>
      </c>
      <c r="M156" t="s">
        <v>137</v>
      </c>
      <c r="N156" t="s">
        <v>330</v>
      </c>
      <c r="O156" t="s">
        <v>192</v>
      </c>
      <c r="P156">
        <v>2278297</v>
      </c>
      <c r="Q156" t="s">
        <v>38</v>
      </c>
      <c r="R156">
        <v>415522</v>
      </c>
      <c r="S156" t="s">
        <v>84</v>
      </c>
      <c r="T156" s="2">
        <v>5</v>
      </c>
      <c r="U156">
        <v>0</v>
      </c>
      <c r="V156" t="s">
        <v>153</v>
      </c>
      <c r="W156">
        <v>4</v>
      </c>
      <c r="X156">
        <v>4</v>
      </c>
      <c r="Y156">
        <v>0</v>
      </c>
      <c r="Z156" t="s">
        <v>333</v>
      </c>
      <c r="AA156" t="s">
        <v>334</v>
      </c>
      <c r="AB156" t="s">
        <v>14</v>
      </c>
      <c r="AC156">
        <v>209.04</v>
      </c>
      <c r="AD156">
        <v>836.16</v>
      </c>
      <c r="AE156">
        <v>582744796670</v>
      </c>
      <c r="AF156">
        <v>1045.2</v>
      </c>
      <c r="AG156">
        <v>0</v>
      </c>
      <c r="AH156">
        <v>93.15</v>
      </c>
      <c r="AI156">
        <v>1138.3499999999999</v>
      </c>
      <c r="AJ156" t="s">
        <v>2</v>
      </c>
      <c r="AK156" t="s">
        <v>11</v>
      </c>
    </row>
    <row r="157" spans="1:37">
      <c r="A157">
        <v>257674</v>
      </c>
      <c r="B157" s="1">
        <v>45366</v>
      </c>
      <c r="C157" t="s">
        <v>185</v>
      </c>
      <c r="D157" t="s">
        <v>186</v>
      </c>
      <c r="E157" t="s">
        <v>2</v>
      </c>
      <c r="F157" t="s">
        <v>187</v>
      </c>
      <c r="G157" t="s">
        <v>137</v>
      </c>
      <c r="H157">
        <v>90703</v>
      </c>
      <c r="I157" t="s">
        <v>327</v>
      </c>
      <c r="J157" t="s">
        <v>328</v>
      </c>
      <c r="K157" t="s">
        <v>2</v>
      </c>
      <c r="L157" t="s">
        <v>329</v>
      </c>
      <c r="M157" t="s">
        <v>137</v>
      </c>
      <c r="N157" t="s">
        <v>330</v>
      </c>
      <c r="O157" t="s">
        <v>192</v>
      </c>
      <c r="P157">
        <v>2278297</v>
      </c>
      <c r="Q157" t="s">
        <v>38</v>
      </c>
      <c r="R157">
        <v>415522</v>
      </c>
      <c r="S157" t="s">
        <v>84</v>
      </c>
      <c r="T157" s="2">
        <v>5</v>
      </c>
      <c r="U157">
        <v>0</v>
      </c>
      <c r="V157" t="s">
        <v>153</v>
      </c>
      <c r="W157">
        <v>0</v>
      </c>
      <c r="X157">
        <v>0</v>
      </c>
      <c r="Y157">
        <v>0</v>
      </c>
      <c r="Z157" t="s">
        <v>88</v>
      </c>
      <c r="AA157" t="s">
        <v>251</v>
      </c>
      <c r="AB157" t="s">
        <v>10</v>
      </c>
      <c r="AC157">
        <v>0</v>
      </c>
      <c r="AD157">
        <v>0</v>
      </c>
      <c r="AE157">
        <v>582744796670</v>
      </c>
      <c r="AF157">
        <v>1045.2</v>
      </c>
      <c r="AG157">
        <v>0</v>
      </c>
      <c r="AH157">
        <v>93.15</v>
      </c>
      <c r="AI157">
        <v>1138.3499999999999</v>
      </c>
      <c r="AJ157" t="s">
        <v>2</v>
      </c>
      <c r="AK157" t="s">
        <v>11</v>
      </c>
    </row>
    <row r="158" spans="1:37">
      <c r="A158">
        <v>257675</v>
      </c>
      <c r="B158" s="1">
        <v>45366</v>
      </c>
      <c r="C158" t="s">
        <v>185</v>
      </c>
      <c r="D158" t="s">
        <v>186</v>
      </c>
      <c r="E158" t="s">
        <v>2</v>
      </c>
      <c r="F158" t="s">
        <v>187</v>
      </c>
      <c r="G158" t="s">
        <v>137</v>
      </c>
      <c r="H158">
        <v>90703</v>
      </c>
      <c r="I158" t="s">
        <v>335</v>
      </c>
      <c r="J158" t="s">
        <v>336</v>
      </c>
      <c r="K158" t="s">
        <v>2</v>
      </c>
      <c r="L158" t="s">
        <v>337</v>
      </c>
      <c r="M158" t="s">
        <v>137</v>
      </c>
      <c r="N158" t="s">
        <v>338</v>
      </c>
      <c r="O158" t="s">
        <v>192</v>
      </c>
      <c r="P158">
        <v>2278304</v>
      </c>
      <c r="Q158" t="s">
        <v>38</v>
      </c>
      <c r="R158">
        <v>415523</v>
      </c>
      <c r="S158" t="s">
        <v>140</v>
      </c>
      <c r="T158" s="2">
        <v>1</v>
      </c>
      <c r="U158">
        <v>0</v>
      </c>
      <c r="V158" t="s">
        <v>153</v>
      </c>
      <c r="W158">
        <v>0</v>
      </c>
      <c r="X158">
        <v>0</v>
      </c>
      <c r="Y158">
        <v>0</v>
      </c>
      <c r="Z158" t="s">
        <v>9</v>
      </c>
      <c r="AA158" t="s">
        <v>2</v>
      </c>
      <c r="AB158" t="s">
        <v>10</v>
      </c>
      <c r="AC158">
        <v>0</v>
      </c>
      <c r="AD158">
        <v>0</v>
      </c>
      <c r="AE158" t="s">
        <v>339</v>
      </c>
      <c r="AF158">
        <v>503.53</v>
      </c>
      <c r="AG158">
        <v>0</v>
      </c>
      <c r="AH158">
        <v>34.14</v>
      </c>
      <c r="AI158">
        <v>537.66999999999996</v>
      </c>
      <c r="AJ158" t="s">
        <v>2</v>
      </c>
      <c r="AK158" t="s">
        <v>11</v>
      </c>
    </row>
    <row r="159" spans="1:37">
      <c r="A159">
        <v>257675</v>
      </c>
      <c r="B159" s="1">
        <v>45366</v>
      </c>
      <c r="C159" t="s">
        <v>185</v>
      </c>
      <c r="D159" t="s">
        <v>186</v>
      </c>
      <c r="E159" t="s">
        <v>2</v>
      </c>
      <c r="F159" t="s">
        <v>187</v>
      </c>
      <c r="G159" t="s">
        <v>137</v>
      </c>
      <c r="H159">
        <v>90703</v>
      </c>
      <c r="I159" t="s">
        <v>335</v>
      </c>
      <c r="J159" t="s">
        <v>336</v>
      </c>
      <c r="K159" t="s">
        <v>2</v>
      </c>
      <c r="L159" t="s">
        <v>337</v>
      </c>
      <c r="M159" t="s">
        <v>137</v>
      </c>
      <c r="N159" t="s">
        <v>338</v>
      </c>
      <c r="O159" t="s">
        <v>192</v>
      </c>
      <c r="P159">
        <v>2278304</v>
      </c>
      <c r="Q159" t="s">
        <v>38</v>
      </c>
      <c r="R159">
        <v>415523</v>
      </c>
      <c r="S159" t="s">
        <v>140</v>
      </c>
      <c r="T159" s="2">
        <v>1</v>
      </c>
      <c r="U159">
        <v>0</v>
      </c>
      <c r="V159" t="s">
        <v>153</v>
      </c>
      <c r="W159">
        <v>1</v>
      </c>
      <c r="X159">
        <v>1</v>
      </c>
      <c r="Y159">
        <v>0</v>
      </c>
      <c r="Z159" t="s">
        <v>340</v>
      </c>
      <c r="AA159" t="s">
        <v>341</v>
      </c>
      <c r="AB159" t="s">
        <v>14</v>
      </c>
      <c r="AC159">
        <v>503.53</v>
      </c>
      <c r="AD159">
        <v>503.53</v>
      </c>
      <c r="AE159" t="s">
        <v>339</v>
      </c>
      <c r="AF159">
        <v>503.53</v>
      </c>
      <c r="AG159">
        <v>0</v>
      </c>
      <c r="AH159">
        <v>34.14</v>
      </c>
      <c r="AI159">
        <v>537.66999999999996</v>
      </c>
      <c r="AJ159" t="s">
        <v>2</v>
      </c>
      <c r="AK159" t="s">
        <v>11</v>
      </c>
    </row>
    <row r="160" spans="1:37">
      <c r="A160">
        <v>257675</v>
      </c>
      <c r="B160" s="1">
        <v>45366</v>
      </c>
      <c r="C160" t="s">
        <v>185</v>
      </c>
      <c r="D160" t="s">
        <v>186</v>
      </c>
      <c r="E160" t="s">
        <v>2</v>
      </c>
      <c r="F160" t="s">
        <v>187</v>
      </c>
      <c r="G160" t="s">
        <v>137</v>
      </c>
      <c r="H160">
        <v>90703</v>
      </c>
      <c r="I160" t="s">
        <v>335</v>
      </c>
      <c r="J160" t="s">
        <v>336</v>
      </c>
      <c r="K160" t="s">
        <v>2</v>
      </c>
      <c r="L160" t="s">
        <v>337</v>
      </c>
      <c r="M160" t="s">
        <v>137</v>
      </c>
      <c r="N160" t="s">
        <v>338</v>
      </c>
      <c r="O160" t="s">
        <v>192</v>
      </c>
      <c r="P160">
        <v>2278304</v>
      </c>
      <c r="Q160" t="s">
        <v>38</v>
      </c>
      <c r="R160">
        <v>415523</v>
      </c>
      <c r="S160" t="s">
        <v>140</v>
      </c>
      <c r="T160" s="2">
        <v>1</v>
      </c>
      <c r="U160">
        <v>0</v>
      </c>
      <c r="V160" t="s">
        <v>153</v>
      </c>
      <c r="W160">
        <v>0</v>
      </c>
      <c r="X160">
        <v>0</v>
      </c>
      <c r="Y160">
        <v>0</v>
      </c>
      <c r="Z160" t="s">
        <v>88</v>
      </c>
      <c r="AA160" t="s">
        <v>144</v>
      </c>
      <c r="AB160" t="s">
        <v>10</v>
      </c>
      <c r="AC160">
        <v>0</v>
      </c>
      <c r="AD160">
        <v>0</v>
      </c>
      <c r="AE160" t="s">
        <v>339</v>
      </c>
      <c r="AF160">
        <v>503.53</v>
      </c>
      <c r="AG160">
        <v>0</v>
      </c>
      <c r="AH160">
        <v>34.14</v>
      </c>
      <c r="AI160">
        <v>537.66999999999996</v>
      </c>
      <c r="AJ160" t="s">
        <v>2</v>
      </c>
      <c r="AK160" t="s">
        <v>11</v>
      </c>
    </row>
    <row r="161" spans="1:37">
      <c r="A161">
        <v>257676</v>
      </c>
      <c r="B161" s="1">
        <v>45366</v>
      </c>
      <c r="C161" t="s">
        <v>197</v>
      </c>
      <c r="D161" t="s">
        <v>198</v>
      </c>
      <c r="E161" t="s">
        <v>2</v>
      </c>
      <c r="F161" t="s">
        <v>199</v>
      </c>
      <c r="G161" t="s">
        <v>44</v>
      </c>
      <c r="H161">
        <v>97070</v>
      </c>
      <c r="I161" t="s">
        <v>342</v>
      </c>
      <c r="J161" t="s">
        <v>343</v>
      </c>
      <c r="K161" t="s">
        <v>2</v>
      </c>
      <c r="L161" t="s">
        <v>344</v>
      </c>
      <c r="M161" t="s">
        <v>44</v>
      </c>
      <c r="N161" t="s">
        <v>345</v>
      </c>
      <c r="O161" t="s">
        <v>204</v>
      </c>
      <c r="P161">
        <v>2278303</v>
      </c>
      <c r="Q161" t="s">
        <v>38</v>
      </c>
      <c r="R161">
        <v>415524</v>
      </c>
      <c r="S161" t="s">
        <v>84</v>
      </c>
      <c r="T161" s="2">
        <v>2</v>
      </c>
      <c r="U161">
        <v>0</v>
      </c>
      <c r="V161" t="s">
        <v>153</v>
      </c>
      <c r="W161">
        <v>0</v>
      </c>
      <c r="X161">
        <v>0</v>
      </c>
      <c r="Y161">
        <v>0</v>
      </c>
      <c r="Z161" t="s">
        <v>9</v>
      </c>
      <c r="AA161" t="s">
        <v>2</v>
      </c>
      <c r="AB161" t="s">
        <v>10</v>
      </c>
      <c r="AC161">
        <v>0</v>
      </c>
      <c r="AD161">
        <v>0</v>
      </c>
      <c r="AE161">
        <v>582744796660</v>
      </c>
      <c r="AF161">
        <v>325.14999999999998</v>
      </c>
      <c r="AG161">
        <v>0</v>
      </c>
      <c r="AH161">
        <v>42.51</v>
      </c>
      <c r="AI161">
        <v>367.66</v>
      </c>
      <c r="AJ161" t="s">
        <v>2</v>
      </c>
      <c r="AK161" t="s">
        <v>11</v>
      </c>
    </row>
    <row r="162" spans="1:37">
      <c r="A162">
        <v>257676</v>
      </c>
      <c r="B162" s="1">
        <v>45366</v>
      </c>
      <c r="C162" t="s">
        <v>197</v>
      </c>
      <c r="D162" t="s">
        <v>198</v>
      </c>
      <c r="E162" t="s">
        <v>2</v>
      </c>
      <c r="F162" t="s">
        <v>199</v>
      </c>
      <c r="G162" t="s">
        <v>44</v>
      </c>
      <c r="H162">
        <v>97070</v>
      </c>
      <c r="I162" t="s">
        <v>342</v>
      </c>
      <c r="J162" t="s">
        <v>343</v>
      </c>
      <c r="K162" t="s">
        <v>2</v>
      </c>
      <c r="L162" t="s">
        <v>344</v>
      </c>
      <c r="M162" t="s">
        <v>44</v>
      </c>
      <c r="N162" t="s">
        <v>345</v>
      </c>
      <c r="O162" t="s">
        <v>204</v>
      </c>
      <c r="P162">
        <v>2278303</v>
      </c>
      <c r="Q162" t="s">
        <v>38</v>
      </c>
      <c r="R162">
        <v>415524</v>
      </c>
      <c r="S162" t="s">
        <v>84</v>
      </c>
      <c r="T162" s="2">
        <v>2</v>
      </c>
      <c r="U162">
        <v>0</v>
      </c>
      <c r="V162" t="s">
        <v>153</v>
      </c>
      <c r="W162">
        <v>0</v>
      </c>
      <c r="X162">
        <v>0</v>
      </c>
      <c r="Y162">
        <v>0</v>
      </c>
      <c r="Z162" t="s">
        <v>88</v>
      </c>
      <c r="AA162" t="s">
        <v>311</v>
      </c>
      <c r="AB162" t="s">
        <v>10</v>
      </c>
      <c r="AC162">
        <v>0</v>
      </c>
      <c r="AD162">
        <v>0</v>
      </c>
      <c r="AE162">
        <v>582744796660</v>
      </c>
      <c r="AF162">
        <v>325.14999999999998</v>
      </c>
      <c r="AG162">
        <v>0</v>
      </c>
      <c r="AH162">
        <v>42.51</v>
      </c>
      <c r="AI162">
        <v>367.66</v>
      </c>
      <c r="AJ162" t="s">
        <v>2</v>
      </c>
      <c r="AK162" t="s">
        <v>11</v>
      </c>
    </row>
    <row r="163" spans="1:37">
      <c r="A163">
        <v>257676</v>
      </c>
      <c r="B163" s="1">
        <v>45366</v>
      </c>
      <c r="C163" t="s">
        <v>197</v>
      </c>
      <c r="D163" t="s">
        <v>198</v>
      </c>
      <c r="E163" t="s">
        <v>2</v>
      </c>
      <c r="F163" t="s">
        <v>199</v>
      </c>
      <c r="G163" t="s">
        <v>44</v>
      </c>
      <c r="H163">
        <v>97070</v>
      </c>
      <c r="I163" t="s">
        <v>342</v>
      </c>
      <c r="J163" t="s">
        <v>343</v>
      </c>
      <c r="K163" t="s">
        <v>2</v>
      </c>
      <c r="L163" t="s">
        <v>344</v>
      </c>
      <c r="M163" t="s">
        <v>44</v>
      </c>
      <c r="N163" t="s">
        <v>345</v>
      </c>
      <c r="O163" t="s">
        <v>204</v>
      </c>
      <c r="P163">
        <v>2278303</v>
      </c>
      <c r="Q163" t="s">
        <v>38</v>
      </c>
      <c r="R163">
        <v>415524</v>
      </c>
      <c r="S163" t="s">
        <v>84</v>
      </c>
      <c r="T163" s="2">
        <v>2</v>
      </c>
      <c r="U163">
        <v>0</v>
      </c>
      <c r="V163" t="s">
        <v>153</v>
      </c>
      <c r="W163">
        <v>1</v>
      </c>
      <c r="X163">
        <v>1</v>
      </c>
      <c r="Y163">
        <v>0</v>
      </c>
      <c r="Z163" t="s">
        <v>346</v>
      </c>
      <c r="AA163" t="s">
        <v>347</v>
      </c>
      <c r="AB163" t="s">
        <v>14</v>
      </c>
      <c r="AC163">
        <v>141.13999999999999</v>
      </c>
      <c r="AD163">
        <v>141.13999999999999</v>
      </c>
      <c r="AE163">
        <v>582744796660</v>
      </c>
      <c r="AF163">
        <v>325.14999999999998</v>
      </c>
      <c r="AG163">
        <v>0</v>
      </c>
      <c r="AH163">
        <v>42.51</v>
      </c>
      <c r="AI163">
        <v>367.66</v>
      </c>
      <c r="AJ163" t="s">
        <v>2</v>
      </c>
      <c r="AK163" t="s">
        <v>11</v>
      </c>
    </row>
    <row r="164" spans="1:37">
      <c r="A164">
        <v>257676</v>
      </c>
      <c r="B164" s="1">
        <v>45366</v>
      </c>
      <c r="C164" t="s">
        <v>197</v>
      </c>
      <c r="D164" t="s">
        <v>198</v>
      </c>
      <c r="E164" t="s">
        <v>2</v>
      </c>
      <c r="F164" t="s">
        <v>199</v>
      </c>
      <c r="G164" t="s">
        <v>44</v>
      </c>
      <c r="H164">
        <v>97070</v>
      </c>
      <c r="I164" t="s">
        <v>342</v>
      </c>
      <c r="J164" t="s">
        <v>343</v>
      </c>
      <c r="K164" t="s">
        <v>2</v>
      </c>
      <c r="L164" t="s">
        <v>344</v>
      </c>
      <c r="M164" t="s">
        <v>44</v>
      </c>
      <c r="N164" t="s">
        <v>345</v>
      </c>
      <c r="O164" t="s">
        <v>204</v>
      </c>
      <c r="P164">
        <v>2278303</v>
      </c>
      <c r="Q164" t="s">
        <v>38</v>
      </c>
      <c r="R164">
        <v>415524</v>
      </c>
      <c r="S164" t="s">
        <v>84</v>
      </c>
      <c r="T164" s="2">
        <v>2</v>
      </c>
      <c r="U164">
        <v>0</v>
      </c>
      <c r="V164" t="s">
        <v>153</v>
      </c>
      <c r="W164">
        <v>0</v>
      </c>
      <c r="X164">
        <v>0</v>
      </c>
      <c r="Y164">
        <v>0</v>
      </c>
      <c r="Z164" t="s">
        <v>88</v>
      </c>
      <c r="AA164" t="s">
        <v>348</v>
      </c>
      <c r="AB164" t="s">
        <v>10</v>
      </c>
      <c r="AC164">
        <v>0</v>
      </c>
      <c r="AD164">
        <v>0</v>
      </c>
      <c r="AE164">
        <v>582744796660</v>
      </c>
      <c r="AF164">
        <v>325.14999999999998</v>
      </c>
      <c r="AG164">
        <v>0</v>
      </c>
      <c r="AH164">
        <v>42.51</v>
      </c>
      <c r="AI164">
        <v>367.66</v>
      </c>
      <c r="AJ164" t="s">
        <v>2</v>
      </c>
      <c r="AK164" t="s">
        <v>11</v>
      </c>
    </row>
    <row r="165" spans="1:37">
      <c r="A165">
        <v>257676</v>
      </c>
      <c r="B165" s="1">
        <v>45366</v>
      </c>
      <c r="C165" t="s">
        <v>197</v>
      </c>
      <c r="D165" t="s">
        <v>198</v>
      </c>
      <c r="E165" t="s">
        <v>2</v>
      </c>
      <c r="F165" t="s">
        <v>199</v>
      </c>
      <c r="G165" t="s">
        <v>44</v>
      </c>
      <c r="H165">
        <v>97070</v>
      </c>
      <c r="I165" t="s">
        <v>342</v>
      </c>
      <c r="J165" t="s">
        <v>343</v>
      </c>
      <c r="K165" t="s">
        <v>2</v>
      </c>
      <c r="L165" t="s">
        <v>344</v>
      </c>
      <c r="M165" t="s">
        <v>44</v>
      </c>
      <c r="N165" t="s">
        <v>345</v>
      </c>
      <c r="O165" t="s">
        <v>204</v>
      </c>
      <c r="P165">
        <v>2278303</v>
      </c>
      <c r="Q165" t="s">
        <v>38</v>
      </c>
      <c r="R165">
        <v>415524</v>
      </c>
      <c r="S165" t="s">
        <v>84</v>
      </c>
      <c r="T165" s="2">
        <v>2</v>
      </c>
      <c r="U165">
        <v>0</v>
      </c>
      <c r="V165" t="s">
        <v>153</v>
      </c>
      <c r="W165">
        <v>1</v>
      </c>
      <c r="X165">
        <v>1</v>
      </c>
      <c r="Y165">
        <v>0</v>
      </c>
      <c r="Z165" t="s">
        <v>349</v>
      </c>
      <c r="AA165" t="s">
        <v>350</v>
      </c>
      <c r="AB165" t="s">
        <v>14</v>
      </c>
      <c r="AC165">
        <v>184.01</v>
      </c>
      <c r="AD165">
        <v>184.01</v>
      </c>
      <c r="AE165">
        <v>582744796660</v>
      </c>
      <c r="AF165">
        <v>325.14999999999998</v>
      </c>
      <c r="AG165">
        <v>0</v>
      </c>
      <c r="AH165">
        <v>42.51</v>
      </c>
      <c r="AI165">
        <v>367.66</v>
      </c>
      <c r="AJ165" t="s">
        <v>2</v>
      </c>
      <c r="AK165" t="s">
        <v>11</v>
      </c>
    </row>
    <row r="166" spans="1:37">
      <c r="A166">
        <v>257676</v>
      </c>
      <c r="B166" s="1">
        <v>45366</v>
      </c>
      <c r="C166" t="s">
        <v>197</v>
      </c>
      <c r="D166" t="s">
        <v>198</v>
      </c>
      <c r="E166" t="s">
        <v>2</v>
      </c>
      <c r="F166" t="s">
        <v>199</v>
      </c>
      <c r="G166" t="s">
        <v>44</v>
      </c>
      <c r="H166">
        <v>97070</v>
      </c>
      <c r="I166" t="s">
        <v>342</v>
      </c>
      <c r="J166" t="s">
        <v>343</v>
      </c>
      <c r="K166" t="s">
        <v>2</v>
      </c>
      <c r="L166" t="s">
        <v>344</v>
      </c>
      <c r="M166" t="s">
        <v>44</v>
      </c>
      <c r="N166" t="s">
        <v>345</v>
      </c>
      <c r="O166" t="s">
        <v>204</v>
      </c>
      <c r="P166">
        <v>2278303</v>
      </c>
      <c r="Q166" t="s">
        <v>38</v>
      </c>
      <c r="R166">
        <v>415524</v>
      </c>
      <c r="S166" t="s">
        <v>84</v>
      </c>
      <c r="T166" s="2">
        <v>2</v>
      </c>
      <c r="U166">
        <v>0</v>
      </c>
      <c r="V166" t="s">
        <v>153</v>
      </c>
      <c r="W166">
        <v>0</v>
      </c>
      <c r="X166">
        <v>0</v>
      </c>
      <c r="Y166">
        <v>0</v>
      </c>
      <c r="Z166" t="s">
        <v>88</v>
      </c>
      <c r="AA166" t="s">
        <v>240</v>
      </c>
      <c r="AB166" t="s">
        <v>10</v>
      </c>
      <c r="AC166">
        <v>0</v>
      </c>
      <c r="AD166">
        <v>0</v>
      </c>
      <c r="AE166">
        <v>582744796660</v>
      </c>
      <c r="AF166">
        <v>325.14999999999998</v>
      </c>
      <c r="AG166">
        <v>0</v>
      </c>
      <c r="AH166">
        <v>42.51</v>
      </c>
      <c r="AI166">
        <v>367.66</v>
      </c>
      <c r="AJ166" t="s">
        <v>2</v>
      </c>
      <c r="AK166" t="s">
        <v>11</v>
      </c>
    </row>
    <row r="167" spans="1:37">
      <c r="A167">
        <v>257676</v>
      </c>
      <c r="B167" s="1">
        <v>45366</v>
      </c>
      <c r="C167" t="s">
        <v>197</v>
      </c>
      <c r="D167" t="s">
        <v>198</v>
      </c>
      <c r="E167" t="s">
        <v>2</v>
      </c>
      <c r="F167" t="s">
        <v>199</v>
      </c>
      <c r="G167" t="s">
        <v>44</v>
      </c>
      <c r="H167">
        <v>97070</v>
      </c>
      <c r="I167" t="s">
        <v>342</v>
      </c>
      <c r="J167" t="s">
        <v>343</v>
      </c>
      <c r="K167" t="s">
        <v>2</v>
      </c>
      <c r="L167" t="s">
        <v>344</v>
      </c>
      <c r="M167" t="s">
        <v>44</v>
      </c>
      <c r="N167" t="s">
        <v>345</v>
      </c>
      <c r="O167" t="s">
        <v>204</v>
      </c>
      <c r="P167">
        <v>2278303</v>
      </c>
      <c r="Q167" t="s">
        <v>38</v>
      </c>
      <c r="R167">
        <v>415524</v>
      </c>
      <c r="S167" t="s">
        <v>84</v>
      </c>
      <c r="T167" s="2">
        <v>2</v>
      </c>
      <c r="U167">
        <v>0</v>
      </c>
      <c r="V167" t="s">
        <v>153</v>
      </c>
      <c r="W167">
        <v>0</v>
      </c>
      <c r="X167">
        <v>0</v>
      </c>
      <c r="Y167">
        <v>0</v>
      </c>
      <c r="Z167" t="s">
        <v>88</v>
      </c>
      <c r="AA167" t="s">
        <v>2</v>
      </c>
      <c r="AB167" t="s">
        <v>10</v>
      </c>
      <c r="AC167">
        <v>0</v>
      </c>
      <c r="AD167">
        <v>0</v>
      </c>
      <c r="AE167">
        <v>582744796660</v>
      </c>
      <c r="AF167">
        <v>325.14999999999998</v>
      </c>
      <c r="AG167">
        <v>0</v>
      </c>
      <c r="AH167">
        <v>42.51</v>
      </c>
      <c r="AI167">
        <v>367.66</v>
      </c>
      <c r="AJ167" t="s">
        <v>2</v>
      </c>
      <c r="AK167" t="s">
        <v>11</v>
      </c>
    </row>
    <row r="168" spans="1:37">
      <c r="A168">
        <v>257676</v>
      </c>
      <c r="B168" s="1">
        <v>45366</v>
      </c>
      <c r="C168" t="s">
        <v>197</v>
      </c>
      <c r="D168" t="s">
        <v>198</v>
      </c>
      <c r="E168" t="s">
        <v>2</v>
      </c>
      <c r="F168" t="s">
        <v>199</v>
      </c>
      <c r="G168" t="s">
        <v>44</v>
      </c>
      <c r="H168">
        <v>97070</v>
      </c>
      <c r="I168" t="s">
        <v>342</v>
      </c>
      <c r="J168" t="s">
        <v>343</v>
      </c>
      <c r="K168" t="s">
        <v>2</v>
      </c>
      <c r="L168" t="s">
        <v>344</v>
      </c>
      <c r="M168" t="s">
        <v>44</v>
      </c>
      <c r="N168" t="s">
        <v>345</v>
      </c>
      <c r="O168" t="s">
        <v>204</v>
      </c>
      <c r="P168">
        <v>2278303</v>
      </c>
      <c r="Q168" t="s">
        <v>38</v>
      </c>
      <c r="R168">
        <v>415524</v>
      </c>
      <c r="S168" t="s">
        <v>84</v>
      </c>
      <c r="T168" s="2">
        <v>2</v>
      </c>
      <c r="U168">
        <v>0</v>
      </c>
      <c r="V168" t="s">
        <v>153</v>
      </c>
      <c r="W168">
        <v>0</v>
      </c>
      <c r="X168">
        <v>0</v>
      </c>
      <c r="Y168">
        <v>0</v>
      </c>
      <c r="Z168" t="s">
        <v>88</v>
      </c>
      <c r="AA168" t="e">
        <f>-SPLIT ORDER</f>
        <v>#NAME?</v>
      </c>
      <c r="AB168" t="s">
        <v>10</v>
      </c>
      <c r="AC168">
        <v>0</v>
      </c>
      <c r="AD168">
        <v>0</v>
      </c>
      <c r="AE168">
        <v>582744796660</v>
      </c>
      <c r="AF168">
        <v>325.14999999999998</v>
      </c>
      <c r="AG168">
        <v>0</v>
      </c>
      <c r="AH168">
        <v>42.51</v>
      </c>
      <c r="AI168">
        <v>367.66</v>
      </c>
      <c r="AJ168" t="s">
        <v>2</v>
      </c>
      <c r="AK168" t="s">
        <v>11</v>
      </c>
    </row>
    <row r="169" spans="1:37">
      <c r="A169">
        <v>257677</v>
      </c>
      <c r="B169" s="1">
        <v>45366</v>
      </c>
      <c r="C169" t="s">
        <v>197</v>
      </c>
      <c r="D169" t="s">
        <v>198</v>
      </c>
      <c r="E169" t="s">
        <v>2</v>
      </c>
      <c r="F169" t="s">
        <v>199</v>
      </c>
      <c r="G169" t="s">
        <v>44</v>
      </c>
      <c r="H169">
        <v>97070</v>
      </c>
      <c r="I169" t="s">
        <v>351</v>
      </c>
      <c r="J169" t="s">
        <v>352</v>
      </c>
      <c r="K169" t="s">
        <v>2</v>
      </c>
      <c r="L169" t="s">
        <v>353</v>
      </c>
      <c r="M169" t="s">
        <v>44</v>
      </c>
      <c r="N169" t="s">
        <v>354</v>
      </c>
      <c r="O169" t="s">
        <v>204</v>
      </c>
      <c r="P169">
        <v>2278308</v>
      </c>
      <c r="Q169" t="s">
        <v>38</v>
      </c>
      <c r="R169">
        <v>415525</v>
      </c>
      <c r="S169" t="s">
        <v>140</v>
      </c>
      <c r="T169" s="2">
        <v>1</v>
      </c>
      <c r="U169">
        <v>0</v>
      </c>
      <c r="V169" t="s">
        <v>153</v>
      </c>
      <c r="W169">
        <v>0</v>
      </c>
      <c r="X169">
        <v>0</v>
      </c>
      <c r="Y169">
        <v>0</v>
      </c>
      <c r="Z169" t="s">
        <v>9</v>
      </c>
      <c r="AA169" t="s">
        <v>2</v>
      </c>
      <c r="AB169" t="s">
        <v>10</v>
      </c>
      <c r="AC169">
        <v>0</v>
      </c>
      <c r="AD169">
        <v>0</v>
      </c>
      <c r="AE169" t="s">
        <v>355</v>
      </c>
      <c r="AF169">
        <v>135.54</v>
      </c>
      <c r="AG169">
        <v>0</v>
      </c>
      <c r="AH169">
        <v>23.47</v>
      </c>
      <c r="AI169">
        <v>159.01</v>
      </c>
      <c r="AJ169" t="s">
        <v>2</v>
      </c>
      <c r="AK169" t="s">
        <v>11</v>
      </c>
    </row>
    <row r="170" spans="1:37">
      <c r="A170">
        <v>257677</v>
      </c>
      <c r="B170" s="1">
        <v>45366</v>
      </c>
      <c r="C170" t="s">
        <v>197</v>
      </c>
      <c r="D170" t="s">
        <v>198</v>
      </c>
      <c r="E170" t="s">
        <v>2</v>
      </c>
      <c r="F170" t="s">
        <v>199</v>
      </c>
      <c r="G170" t="s">
        <v>44</v>
      </c>
      <c r="H170">
        <v>97070</v>
      </c>
      <c r="I170" t="s">
        <v>351</v>
      </c>
      <c r="J170" t="s">
        <v>352</v>
      </c>
      <c r="K170" t="s">
        <v>2</v>
      </c>
      <c r="L170" t="s">
        <v>353</v>
      </c>
      <c r="M170" t="s">
        <v>44</v>
      </c>
      <c r="N170" t="s">
        <v>354</v>
      </c>
      <c r="O170" t="s">
        <v>204</v>
      </c>
      <c r="P170">
        <v>2278308</v>
      </c>
      <c r="Q170" t="s">
        <v>38</v>
      </c>
      <c r="R170">
        <v>415525</v>
      </c>
      <c r="S170" t="s">
        <v>140</v>
      </c>
      <c r="T170" s="2">
        <v>1</v>
      </c>
      <c r="U170">
        <v>0</v>
      </c>
      <c r="V170" t="s">
        <v>153</v>
      </c>
      <c r="W170">
        <v>1</v>
      </c>
      <c r="X170">
        <v>1</v>
      </c>
      <c r="Y170">
        <v>0</v>
      </c>
      <c r="Z170" t="s">
        <v>356</v>
      </c>
      <c r="AA170" t="s">
        <v>357</v>
      </c>
      <c r="AB170" t="s">
        <v>14</v>
      </c>
      <c r="AC170">
        <v>135.54</v>
      </c>
      <c r="AD170">
        <v>135.54</v>
      </c>
      <c r="AE170" t="s">
        <v>355</v>
      </c>
      <c r="AF170">
        <v>135.54</v>
      </c>
      <c r="AG170">
        <v>0</v>
      </c>
      <c r="AH170">
        <v>23.47</v>
      </c>
      <c r="AI170">
        <v>159.01</v>
      </c>
      <c r="AJ170" t="s">
        <v>2</v>
      </c>
      <c r="AK170" t="s">
        <v>11</v>
      </c>
    </row>
    <row r="171" spans="1:37">
      <c r="A171">
        <v>257677</v>
      </c>
      <c r="B171" s="1">
        <v>45366</v>
      </c>
      <c r="C171" t="s">
        <v>197</v>
      </c>
      <c r="D171" t="s">
        <v>198</v>
      </c>
      <c r="E171" t="s">
        <v>2</v>
      </c>
      <c r="F171" t="s">
        <v>199</v>
      </c>
      <c r="G171" t="s">
        <v>44</v>
      </c>
      <c r="H171">
        <v>97070</v>
      </c>
      <c r="I171" t="s">
        <v>351</v>
      </c>
      <c r="J171" t="s">
        <v>352</v>
      </c>
      <c r="K171" t="s">
        <v>2</v>
      </c>
      <c r="L171" t="s">
        <v>353</v>
      </c>
      <c r="M171" t="s">
        <v>44</v>
      </c>
      <c r="N171" t="s">
        <v>354</v>
      </c>
      <c r="O171" t="s">
        <v>204</v>
      </c>
      <c r="P171">
        <v>2278308</v>
      </c>
      <c r="Q171" t="s">
        <v>38</v>
      </c>
      <c r="R171">
        <v>415525</v>
      </c>
      <c r="S171" t="s">
        <v>140</v>
      </c>
      <c r="T171" s="2">
        <v>1</v>
      </c>
      <c r="U171">
        <v>0</v>
      </c>
      <c r="V171" t="s">
        <v>153</v>
      </c>
      <c r="W171">
        <v>0</v>
      </c>
      <c r="X171">
        <v>0</v>
      </c>
      <c r="Y171">
        <v>0</v>
      </c>
      <c r="Z171" t="s">
        <v>88</v>
      </c>
      <c r="AA171" t="s">
        <v>298</v>
      </c>
      <c r="AB171" t="s">
        <v>10</v>
      </c>
      <c r="AC171">
        <v>0</v>
      </c>
      <c r="AD171">
        <v>0</v>
      </c>
      <c r="AE171" t="s">
        <v>355</v>
      </c>
      <c r="AF171">
        <v>135.54</v>
      </c>
      <c r="AG171">
        <v>0</v>
      </c>
      <c r="AH171">
        <v>23.47</v>
      </c>
      <c r="AI171">
        <v>159.01</v>
      </c>
      <c r="AJ171" t="s">
        <v>2</v>
      </c>
      <c r="AK171" t="s">
        <v>11</v>
      </c>
    </row>
    <row r="172" spans="1:37">
      <c r="A172">
        <v>257678</v>
      </c>
      <c r="B172" s="1">
        <v>45366</v>
      </c>
      <c r="C172" t="s">
        <v>185</v>
      </c>
      <c r="D172" t="s">
        <v>186</v>
      </c>
      <c r="E172" t="s">
        <v>2</v>
      </c>
      <c r="F172" t="s">
        <v>187</v>
      </c>
      <c r="G172" t="s">
        <v>137</v>
      </c>
      <c r="H172">
        <v>90703</v>
      </c>
      <c r="I172" t="s">
        <v>358</v>
      </c>
      <c r="J172" t="s">
        <v>359</v>
      </c>
      <c r="K172" t="s">
        <v>2</v>
      </c>
      <c r="L172" t="s">
        <v>360</v>
      </c>
      <c r="M172" t="s">
        <v>137</v>
      </c>
      <c r="N172" t="s">
        <v>361</v>
      </c>
      <c r="O172" t="s">
        <v>192</v>
      </c>
      <c r="P172">
        <v>2278844</v>
      </c>
      <c r="Q172" t="s">
        <v>38</v>
      </c>
      <c r="R172">
        <v>415748</v>
      </c>
      <c r="S172" t="s">
        <v>84</v>
      </c>
      <c r="T172" s="2">
        <v>2</v>
      </c>
      <c r="U172">
        <v>0</v>
      </c>
      <c r="V172" t="s">
        <v>153</v>
      </c>
      <c r="W172">
        <v>0</v>
      </c>
      <c r="X172">
        <v>0</v>
      </c>
      <c r="Y172">
        <v>0</v>
      </c>
      <c r="Z172" t="s">
        <v>9</v>
      </c>
      <c r="AA172" t="s">
        <v>2</v>
      </c>
      <c r="AB172" t="s">
        <v>10</v>
      </c>
      <c r="AC172">
        <v>0</v>
      </c>
      <c r="AD172">
        <v>0</v>
      </c>
      <c r="AE172">
        <v>582744796740</v>
      </c>
      <c r="AF172">
        <v>903.41</v>
      </c>
      <c r="AG172">
        <v>0</v>
      </c>
      <c r="AH172">
        <v>95.66</v>
      </c>
      <c r="AI172">
        <v>999.07</v>
      </c>
      <c r="AJ172" t="s">
        <v>2</v>
      </c>
      <c r="AK172" t="s">
        <v>11</v>
      </c>
    </row>
    <row r="173" spans="1:37">
      <c r="A173">
        <v>257678</v>
      </c>
      <c r="B173" s="1">
        <v>45366</v>
      </c>
      <c r="C173" t="s">
        <v>185</v>
      </c>
      <c r="D173" t="s">
        <v>186</v>
      </c>
      <c r="E173" t="s">
        <v>2</v>
      </c>
      <c r="F173" t="s">
        <v>187</v>
      </c>
      <c r="G173" t="s">
        <v>137</v>
      </c>
      <c r="H173">
        <v>90703</v>
      </c>
      <c r="I173" t="s">
        <v>358</v>
      </c>
      <c r="J173" t="s">
        <v>359</v>
      </c>
      <c r="K173" t="s">
        <v>2</v>
      </c>
      <c r="L173" t="s">
        <v>360</v>
      </c>
      <c r="M173" t="s">
        <v>137</v>
      </c>
      <c r="N173" t="s">
        <v>361</v>
      </c>
      <c r="O173" t="s">
        <v>192</v>
      </c>
      <c r="P173">
        <v>2278844</v>
      </c>
      <c r="Q173" t="s">
        <v>38</v>
      </c>
      <c r="R173">
        <v>415748</v>
      </c>
      <c r="S173" t="s">
        <v>84</v>
      </c>
      <c r="T173" s="2">
        <v>2</v>
      </c>
      <c r="U173">
        <v>0</v>
      </c>
      <c r="V173" t="s">
        <v>153</v>
      </c>
      <c r="W173">
        <v>0</v>
      </c>
      <c r="X173">
        <v>0</v>
      </c>
      <c r="Y173">
        <v>0</v>
      </c>
      <c r="Z173" t="s">
        <v>88</v>
      </c>
      <c r="AA173" t="s">
        <v>311</v>
      </c>
      <c r="AB173" t="s">
        <v>10</v>
      </c>
      <c r="AC173">
        <v>0</v>
      </c>
      <c r="AD173">
        <v>0</v>
      </c>
      <c r="AE173">
        <v>582744796740</v>
      </c>
      <c r="AF173">
        <v>903.41</v>
      </c>
      <c r="AG173">
        <v>0</v>
      </c>
      <c r="AH173">
        <v>95.66</v>
      </c>
      <c r="AI173">
        <v>999.07</v>
      </c>
      <c r="AJ173" t="s">
        <v>2</v>
      </c>
      <c r="AK173" t="s">
        <v>11</v>
      </c>
    </row>
    <row r="174" spans="1:37">
      <c r="A174">
        <v>257678</v>
      </c>
      <c r="B174" s="1">
        <v>45366</v>
      </c>
      <c r="C174" t="s">
        <v>185</v>
      </c>
      <c r="D174" t="s">
        <v>186</v>
      </c>
      <c r="E174" t="s">
        <v>2</v>
      </c>
      <c r="F174" t="s">
        <v>187</v>
      </c>
      <c r="G174" t="s">
        <v>137</v>
      </c>
      <c r="H174">
        <v>90703</v>
      </c>
      <c r="I174" t="s">
        <v>358</v>
      </c>
      <c r="J174" t="s">
        <v>359</v>
      </c>
      <c r="K174" t="s">
        <v>2</v>
      </c>
      <c r="L174" t="s">
        <v>360</v>
      </c>
      <c r="M174" t="s">
        <v>137</v>
      </c>
      <c r="N174" t="s">
        <v>361</v>
      </c>
      <c r="O174" t="s">
        <v>192</v>
      </c>
      <c r="P174">
        <v>2278844</v>
      </c>
      <c r="Q174" t="s">
        <v>38</v>
      </c>
      <c r="R174">
        <v>415748</v>
      </c>
      <c r="S174" t="s">
        <v>84</v>
      </c>
      <c r="T174" s="2">
        <v>2</v>
      </c>
      <c r="U174">
        <v>0</v>
      </c>
      <c r="V174" t="s">
        <v>153</v>
      </c>
      <c r="W174">
        <v>1</v>
      </c>
      <c r="X174">
        <v>1</v>
      </c>
      <c r="Y174">
        <v>0</v>
      </c>
      <c r="Z174" t="s">
        <v>362</v>
      </c>
      <c r="AA174" t="s">
        <v>363</v>
      </c>
      <c r="AB174" t="s">
        <v>14</v>
      </c>
      <c r="AC174">
        <v>579.84</v>
      </c>
      <c r="AD174">
        <v>579.84</v>
      </c>
      <c r="AE174">
        <v>582744796740</v>
      </c>
      <c r="AF174">
        <v>903.41</v>
      </c>
      <c r="AG174">
        <v>0</v>
      </c>
      <c r="AH174">
        <v>95.66</v>
      </c>
      <c r="AI174">
        <v>999.07</v>
      </c>
      <c r="AJ174" t="s">
        <v>2</v>
      </c>
      <c r="AK174" t="s">
        <v>11</v>
      </c>
    </row>
    <row r="175" spans="1:37">
      <c r="A175">
        <v>257678</v>
      </c>
      <c r="B175" s="1">
        <v>45366</v>
      </c>
      <c r="C175" t="s">
        <v>185</v>
      </c>
      <c r="D175" t="s">
        <v>186</v>
      </c>
      <c r="E175" t="s">
        <v>2</v>
      </c>
      <c r="F175" t="s">
        <v>187</v>
      </c>
      <c r="G175" t="s">
        <v>137</v>
      </c>
      <c r="H175">
        <v>90703</v>
      </c>
      <c r="I175" t="s">
        <v>358</v>
      </c>
      <c r="J175" t="s">
        <v>359</v>
      </c>
      <c r="K175" t="s">
        <v>2</v>
      </c>
      <c r="L175" t="s">
        <v>360</v>
      </c>
      <c r="M175" t="s">
        <v>137</v>
      </c>
      <c r="N175" t="s">
        <v>361</v>
      </c>
      <c r="O175" t="s">
        <v>192</v>
      </c>
      <c r="P175">
        <v>2278844</v>
      </c>
      <c r="Q175" t="s">
        <v>38</v>
      </c>
      <c r="R175">
        <v>415748</v>
      </c>
      <c r="S175" t="s">
        <v>84</v>
      </c>
      <c r="T175" s="2">
        <v>2</v>
      </c>
      <c r="U175">
        <v>0</v>
      </c>
      <c r="V175" t="s">
        <v>153</v>
      </c>
      <c r="W175">
        <v>0</v>
      </c>
      <c r="X175">
        <v>0</v>
      </c>
      <c r="Y175">
        <v>0</v>
      </c>
      <c r="Z175" t="s">
        <v>88</v>
      </c>
      <c r="AA175" t="s">
        <v>144</v>
      </c>
      <c r="AB175" t="s">
        <v>10</v>
      </c>
      <c r="AC175">
        <v>0</v>
      </c>
      <c r="AD175">
        <v>0</v>
      </c>
      <c r="AE175">
        <v>582744796740</v>
      </c>
      <c r="AF175">
        <v>903.41</v>
      </c>
      <c r="AG175">
        <v>0</v>
      </c>
      <c r="AH175">
        <v>95.66</v>
      </c>
      <c r="AI175">
        <v>999.07</v>
      </c>
      <c r="AJ175" t="s">
        <v>2</v>
      </c>
      <c r="AK175" t="s">
        <v>11</v>
      </c>
    </row>
    <row r="176" spans="1:37">
      <c r="A176">
        <v>257678</v>
      </c>
      <c r="B176" s="1">
        <v>45366</v>
      </c>
      <c r="C176" t="s">
        <v>185</v>
      </c>
      <c r="D176" t="s">
        <v>186</v>
      </c>
      <c r="E176" t="s">
        <v>2</v>
      </c>
      <c r="F176" t="s">
        <v>187</v>
      </c>
      <c r="G176" t="s">
        <v>137</v>
      </c>
      <c r="H176">
        <v>90703</v>
      </c>
      <c r="I176" t="s">
        <v>358</v>
      </c>
      <c r="J176" t="s">
        <v>359</v>
      </c>
      <c r="K176" t="s">
        <v>2</v>
      </c>
      <c r="L176" t="s">
        <v>360</v>
      </c>
      <c r="M176" t="s">
        <v>137</v>
      </c>
      <c r="N176" t="s">
        <v>361</v>
      </c>
      <c r="O176" t="s">
        <v>192</v>
      </c>
      <c r="P176">
        <v>2278844</v>
      </c>
      <c r="Q176" t="s">
        <v>38</v>
      </c>
      <c r="R176">
        <v>415748</v>
      </c>
      <c r="S176" t="s">
        <v>84</v>
      </c>
      <c r="T176" s="2">
        <v>2</v>
      </c>
      <c r="U176">
        <v>0</v>
      </c>
      <c r="V176" t="s">
        <v>153</v>
      </c>
      <c r="W176">
        <v>1</v>
      </c>
      <c r="X176">
        <v>1</v>
      </c>
      <c r="Y176">
        <v>0</v>
      </c>
      <c r="Z176" t="s">
        <v>364</v>
      </c>
      <c r="AA176" t="s">
        <v>365</v>
      </c>
      <c r="AB176" t="s">
        <v>14</v>
      </c>
      <c r="AC176">
        <v>323.56790000000001</v>
      </c>
      <c r="AD176">
        <v>323.57</v>
      </c>
      <c r="AE176">
        <v>582744796740</v>
      </c>
      <c r="AF176">
        <v>903.41</v>
      </c>
      <c r="AG176">
        <v>0</v>
      </c>
      <c r="AH176">
        <v>95.66</v>
      </c>
      <c r="AI176">
        <v>999.07</v>
      </c>
      <c r="AJ176" t="s">
        <v>2</v>
      </c>
      <c r="AK176" t="s">
        <v>11</v>
      </c>
    </row>
    <row r="177" spans="1:37">
      <c r="A177">
        <v>257678</v>
      </c>
      <c r="B177" s="1">
        <v>45366</v>
      </c>
      <c r="C177" t="s">
        <v>185</v>
      </c>
      <c r="D177" t="s">
        <v>186</v>
      </c>
      <c r="E177" t="s">
        <v>2</v>
      </c>
      <c r="F177" t="s">
        <v>187</v>
      </c>
      <c r="G177" t="s">
        <v>137</v>
      </c>
      <c r="H177">
        <v>90703</v>
      </c>
      <c r="I177" t="s">
        <v>358</v>
      </c>
      <c r="J177" t="s">
        <v>359</v>
      </c>
      <c r="K177" t="s">
        <v>2</v>
      </c>
      <c r="L177" t="s">
        <v>360</v>
      </c>
      <c r="M177" t="s">
        <v>137</v>
      </c>
      <c r="N177" t="s">
        <v>361</v>
      </c>
      <c r="O177" t="s">
        <v>192</v>
      </c>
      <c r="P177">
        <v>2278844</v>
      </c>
      <c r="Q177" t="s">
        <v>38</v>
      </c>
      <c r="R177">
        <v>415748</v>
      </c>
      <c r="S177" t="s">
        <v>84</v>
      </c>
      <c r="T177" s="2">
        <v>2</v>
      </c>
      <c r="U177">
        <v>0</v>
      </c>
      <c r="V177" t="s">
        <v>153</v>
      </c>
      <c r="W177">
        <v>0</v>
      </c>
      <c r="X177">
        <v>0</v>
      </c>
      <c r="Y177">
        <v>0</v>
      </c>
      <c r="Z177" t="s">
        <v>88</v>
      </c>
      <c r="AA177" t="s">
        <v>317</v>
      </c>
      <c r="AB177" t="s">
        <v>10</v>
      </c>
      <c r="AC177">
        <v>0</v>
      </c>
      <c r="AD177">
        <v>0</v>
      </c>
      <c r="AE177">
        <v>582744796740</v>
      </c>
      <c r="AF177">
        <v>903.41</v>
      </c>
      <c r="AG177">
        <v>0</v>
      </c>
      <c r="AH177">
        <v>95.66</v>
      </c>
      <c r="AI177">
        <v>999.07</v>
      </c>
      <c r="AJ177" t="s">
        <v>2</v>
      </c>
      <c r="AK177" t="s">
        <v>11</v>
      </c>
    </row>
    <row r="178" spans="1:37">
      <c r="A178">
        <v>257679</v>
      </c>
      <c r="B178" s="1">
        <v>45366</v>
      </c>
      <c r="C178" t="s">
        <v>185</v>
      </c>
      <c r="D178" t="s">
        <v>186</v>
      </c>
      <c r="E178" t="s">
        <v>2</v>
      </c>
      <c r="F178" t="s">
        <v>187</v>
      </c>
      <c r="G178" t="s">
        <v>137</v>
      </c>
      <c r="H178">
        <v>90703</v>
      </c>
      <c r="I178" t="s">
        <v>366</v>
      </c>
      <c r="J178" t="s">
        <v>367</v>
      </c>
      <c r="K178" t="s">
        <v>2</v>
      </c>
      <c r="L178" t="s">
        <v>329</v>
      </c>
      <c r="M178" t="s">
        <v>137</v>
      </c>
      <c r="N178" t="s">
        <v>368</v>
      </c>
      <c r="O178" t="s">
        <v>192</v>
      </c>
      <c r="P178">
        <v>2278860</v>
      </c>
      <c r="Q178" t="s">
        <v>38</v>
      </c>
      <c r="R178">
        <v>415751</v>
      </c>
      <c r="S178" t="s">
        <v>140</v>
      </c>
      <c r="T178" s="2">
        <v>1</v>
      </c>
      <c r="U178">
        <v>0</v>
      </c>
      <c r="V178" t="s">
        <v>153</v>
      </c>
      <c r="W178">
        <v>0</v>
      </c>
      <c r="X178">
        <v>0</v>
      </c>
      <c r="Y178">
        <v>0</v>
      </c>
      <c r="Z178" t="s">
        <v>9</v>
      </c>
      <c r="AA178" t="s">
        <v>2</v>
      </c>
      <c r="AB178" t="s">
        <v>10</v>
      </c>
      <c r="AC178">
        <v>0</v>
      </c>
      <c r="AD178">
        <v>0</v>
      </c>
      <c r="AE178" t="s">
        <v>369</v>
      </c>
      <c r="AF178">
        <v>60.88</v>
      </c>
      <c r="AG178">
        <v>0</v>
      </c>
      <c r="AH178">
        <v>17.600000000000001</v>
      </c>
      <c r="AI178">
        <v>78.48</v>
      </c>
      <c r="AJ178" t="s">
        <v>2</v>
      </c>
      <c r="AK178" t="s">
        <v>11</v>
      </c>
    </row>
    <row r="179" spans="1:37">
      <c r="A179">
        <v>257679</v>
      </c>
      <c r="B179" s="1">
        <v>45366</v>
      </c>
      <c r="C179" t="s">
        <v>185</v>
      </c>
      <c r="D179" t="s">
        <v>186</v>
      </c>
      <c r="E179" t="s">
        <v>2</v>
      </c>
      <c r="F179" t="s">
        <v>187</v>
      </c>
      <c r="G179" t="s">
        <v>137</v>
      </c>
      <c r="H179">
        <v>90703</v>
      </c>
      <c r="I179" t="s">
        <v>366</v>
      </c>
      <c r="J179" t="s">
        <v>367</v>
      </c>
      <c r="K179" t="s">
        <v>2</v>
      </c>
      <c r="L179" t="s">
        <v>329</v>
      </c>
      <c r="M179" t="s">
        <v>137</v>
      </c>
      <c r="N179" t="s">
        <v>368</v>
      </c>
      <c r="O179" t="s">
        <v>192</v>
      </c>
      <c r="P179">
        <v>2278860</v>
      </c>
      <c r="Q179" t="s">
        <v>38</v>
      </c>
      <c r="R179">
        <v>415751</v>
      </c>
      <c r="S179" t="s">
        <v>140</v>
      </c>
      <c r="T179" s="2">
        <v>1</v>
      </c>
      <c r="U179">
        <v>0</v>
      </c>
      <c r="V179" t="s">
        <v>153</v>
      </c>
      <c r="W179">
        <v>1</v>
      </c>
      <c r="X179">
        <v>1</v>
      </c>
      <c r="Y179">
        <v>0</v>
      </c>
      <c r="Z179" t="s">
        <v>370</v>
      </c>
      <c r="AA179" t="s">
        <v>371</v>
      </c>
      <c r="AB179" t="s">
        <v>14</v>
      </c>
      <c r="AC179">
        <v>60.88</v>
      </c>
      <c r="AD179">
        <v>60.88</v>
      </c>
      <c r="AE179" t="s">
        <v>369</v>
      </c>
      <c r="AF179">
        <v>60.88</v>
      </c>
      <c r="AG179">
        <v>0</v>
      </c>
      <c r="AH179">
        <v>17.600000000000001</v>
      </c>
      <c r="AI179">
        <v>78.48</v>
      </c>
      <c r="AJ179" t="s">
        <v>2</v>
      </c>
      <c r="AK179" t="s">
        <v>11</v>
      </c>
    </row>
    <row r="180" spans="1:37">
      <c r="A180">
        <v>257679</v>
      </c>
      <c r="B180" s="1">
        <v>45366</v>
      </c>
      <c r="C180" t="s">
        <v>185</v>
      </c>
      <c r="D180" t="s">
        <v>186</v>
      </c>
      <c r="E180" t="s">
        <v>2</v>
      </c>
      <c r="F180" t="s">
        <v>187</v>
      </c>
      <c r="G180" t="s">
        <v>137</v>
      </c>
      <c r="H180">
        <v>90703</v>
      </c>
      <c r="I180" t="s">
        <v>366</v>
      </c>
      <c r="J180" t="s">
        <v>367</v>
      </c>
      <c r="K180" t="s">
        <v>2</v>
      </c>
      <c r="L180" t="s">
        <v>329</v>
      </c>
      <c r="M180" t="s">
        <v>137</v>
      </c>
      <c r="N180" t="s">
        <v>368</v>
      </c>
      <c r="O180" t="s">
        <v>192</v>
      </c>
      <c r="P180">
        <v>2278860</v>
      </c>
      <c r="Q180" t="s">
        <v>38</v>
      </c>
      <c r="R180">
        <v>415751</v>
      </c>
      <c r="S180" t="s">
        <v>140</v>
      </c>
      <c r="T180" s="2">
        <v>1</v>
      </c>
      <c r="U180">
        <v>0</v>
      </c>
      <c r="V180" t="s">
        <v>153</v>
      </c>
      <c r="W180">
        <v>0</v>
      </c>
      <c r="X180">
        <v>0</v>
      </c>
      <c r="Y180">
        <v>0</v>
      </c>
      <c r="Z180" t="s">
        <v>88</v>
      </c>
      <c r="AA180" t="s">
        <v>144</v>
      </c>
      <c r="AB180" t="s">
        <v>10</v>
      </c>
      <c r="AC180">
        <v>0</v>
      </c>
      <c r="AD180">
        <v>0</v>
      </c>
      <c r="AE180" t="s">
        <v>369</v>
      </c>
      <c r="AF180">
        <v>60.88</v>
      </c>
      <c r="AG180">
        <v>0</v>
      </c>
      <c r="AH180">
        <v>17.600000000000001</v>
      </c>
      <c r="AI180">
        <v>78.48</v>
      </c>
      <c r="AJ180" t="s">
        <v>2</v>
      </c>
      <c r="AK180" t="s">
        <v>11</v>
      </c>
    </row>
    <row r="181" spans="1:37">
      <c r="A181">
        <v>257680</v>
      </c>
      <c r="B181" s="1">
        <v>45366</v>
      </c>
      <c r="C181" t="s">
        <v>287</v>
      </c>
      <c r="D181" t="s">
        <v>288</v>
      </c>
      <c r="E181" t="s">
        <v>2</v>
      </c>
      <c r="F181" t="s">
        <v>289</v>
      </c>
      <c r="G181" t="s">
        <v>137</v>
      </c>
      <c r="H181">
        <v>94510</v>
      </c>
      <c r="I181" t="s">
        <v>372</v>
      </c>
      <c r="J181" t="s">
        <v>373</v>
      </c>
      <c r="K181" t="s">
        <v>2</v>
      </c>
      <c r="L181" t="s">
        <v>374</v>
      </c>
      <c r="M181" t="s">
        <v>137</v>
      </c>
      <c r="N181" t="s">
        <v>375</v>
      </c>
      <c r="O181" t="s">
        <v>294</v>
      </c>
      <c r="P181">
        <v>2278859</v>
      </c>
      <c r="Q181" t="s">
        <v>38</v>
      </c>
      <c r="R181">
        <v>415753</v>
      </c>
      <c r="S181" t="s">
        <v>140</v>
      </c>
      <c r="T181" s="2">
        <v>1</v>
      </c>
      <c r="U181">
        <v>0</v>
      </c>
      <c r="V181" t="s">
        <v>153</v>
      </c>
      <c r="W181">
        <v>0</v>
      </c>
      <c r="X181">
        <v>0</v>
      </c>
      <c r="Y181">
        <v>0</v>
      </c>
      <c r="Z181" t="s">
        <v>9</v>
      </c>
      <c r="AA181" t="s">
        <v>2</v>
      </c>
      <c r="AB181" t="s">
        <v>10</v>
      </c>
      <c r="AC181">
        <v>0</v>
      </c>
      <c r="AD181">
        <v>0</v>
      </c>
      <c r="AE181" t="s">
        <v>376</v>
      </c>
      <c r="AF181">
        <v>65.53</v>
      </c>
      <c r="AG181">
        <v>0</v>
      </c>
      <c r="AH181">
        <v>16.98</v>
      </c>
      <c r="AI181">
        <v>82.51</v>
      </c>
      <c r="AJ181" t="s">
        <v>2</v>
      </c>
      <c r="AK181" t="s">
        <v>11</v>
      </c>
    </row>
    <row r="182" spans="1:37">
      <c r="A182">
        <v>257680</v>
      </c>
      <c r="B182" s="1">
        <v>45366</v>
      </c>
      <c r="C182" t="s">
        <v>287</v>
      </c>
      <c r="D182" t="s">
        <v>288</v>
      </c>
      <c r="E182" t="s">
        <v>2</v>
      </c>
      <c r="F182" t="s">
        <v>289</v>
      </c>
      <c r="G182" t="s">
        <v>137</v>
      </c>
      <c r="H182">
        <v>94510</v>
      </c>
      <c r="I182" t="s">
        <v>372</v>
      </c>
      <c r="J182" t="s">
        <v>373</v>
      </c>
      <c r="K182" t="s">
        <v>2</v>
      </c>
      <c r="L182" t="s">
        <v>374</v>
      </c>
      <c r="M182" t="s">
        <v>137</v>
      </c>
      <c r="N182" t="s">
        <v>375</v>
      </c>
      <c r="O182" t="s">
        <v>294</v>
      </c>
      <c r="P182">
        <v>2278859</v>
      </c>
      <c r="Q182" t="s">
        <v>38</v>
      </c>
      <c r="R182">
        <v>415753</v>
      </c>
      <c r="S182" t="s">
        <v>140</v>
      </c>
      <c r="T182" s="2">
        <v>1</v>
      </c>
      <c r="U182">
        <v>0</v>
      </c>
      <c r="V182" t="s">
        <v>153</v>
      </c>
      <c r="W182">
        <v>1</v>
      </c>
      <c r="X182">
        <v>1</v>
      </c>
      <c r="Y182">
        <v>0</v>
      </c>
      <c r="Z182" t="s">
        <v>377</v>
      </c>
      <c r="AA182" t="s">
        <v>378</v>
      </c>
      <c r="AB182" t="s">
        <v>14</v>
      </c>
      <c r="AC182">
        <v>65.53</v>
      </c>
      <c r="AD182">
        <v>65.53</v>
      </c>
      <c r="AE182" t="s">
        <v>376</v>
      </c>
      <c r="AF182">
        <v>65.53</v>
      </c>
      <c r="AG182">
        <v>0</v>
      </c>
      <c r="AH182">
        <v>16.98</v>
      </c>
      <c r="AI182">
        <v>82.51</v>
      </c>
      <c r="AJ182" t="s">
        <v>2</v>
      </c>
      <c r="AK182" t="s">
        <v>11</v>
      </c>
    </row>
    <row r="183" spans="1:37">
      <c r="A183">
        <v>257680</v>
      </c>
      <c r="B183" s="1">
        <v>45366</v>
      </c>
      <c r="C183" t="s">
        <v>287</v>
      </c>
      <c r="D183" t="s">
        <v>288</v>
      </c>
      <c r="E183" t="s">
        <v>2</v>
      </c>
      <c r="F183" t="s">
        <v>289</v>
      </c>
      <c r="G183" t="s">
        <v>137</v>
      </c>
      <c r="H183">
        <v>94510</v>
      </c>
      <c r="I183" t="s">
        <v>372</v>
      </c>
      <c r="J183" t="s">
        <v>373</v>
      </c>
      <c r="K183" t="s">
        <v>2</v>
      </c>
      <c r="L183" t="s">
        <v>374</v>
      </c>
      <c r="M183" t="s">
        <v>137</v>
      </c>
      <c r="N183" t="s">
        <v>375</v>
      </c>
      <c r="O183" t="s">
        <v>294</v>
      </c>
      <c r="P183">
        <v>2278859</v>
      </c>
      <c r="Q183" t="s">
        <v>38</v>
      </c>
      <c r="R183">
        <v>415753</v>
      </c>
      <c r="S183" t="s">
        <v>140</v>
      </c>
      <c r="T183" s="2">
        <v>1</v>
      </c>
      <c r="U183">
        <v>0</v>
      </c>
      <c r="V183" t="s">
        <v>153</v>
      </c>
      <c r="W183">
        <v>0</v>
      </c>
      <c r="X183">
        <v>0</v>
      </c>
      <c r="Y183">
        <v>0</v>
      </c>
      <c r="Z183" t="s">
        <v>88</v>
      </c>
      <c r="AA183" t="s">
        <v>107</v>
      </c>
      <c r="AB183" t="s">
        <v>10</v>
      </c>
      <c r="AC183">
        <v>0</v>
      </c>
      <c r="AD183">
        <v>0</v>
      </c>
      <c r="AE183" t="s">
        <v>376</v>
      </c>
      <c r="AF183">
        <v>65.53</v>
      </c>
      <c r="AG183">
        <v>0</v>
      </c>
      <c r="AH183">
        <v>16.98</v>
      </c>
      <c r="AI183">
        <v>82.51</v>
      </c>
      <c r="AJ183" t="s">
        <v>2</v>
      </c>
      <c r="AK183" t="s">
        <v>11</v>
      </c>
    </row>
    <row r="184" spans="1:37">
      <c r="A184">
        <v>257681</v>
      </c>
      <c r="B184" s="1">
        <v>45366</v>
      </c>
      <c r="C184" t="s">
        <v>49</v>
      </c>
      <c r="D184" t="s">
        <v>50</v>
      </c>
      <c r="E184" t="s">
        <v>51</v>
      </c>
      <c r="F184" t="s">
        <v>52</v>
      </c>
      <c r="G184" t="s">
        <v>53</v>
      </c>
      <c r="H184">
        <v>85281</v>
      </c>
      <c r="I184" t="s">
        <v>379</v>
      </c>
      <c r="J184" t="s">
        <v>380</v>
      </c>
      <c r="K184" t="s">
        <v>2</v>
      </c>
      <c r="L184" t="s">
        <v>124</v>
      </c>
      <c r="M184" t="s">
        <v>53</v>
      </c>
      <c r="N184" t="s">
        <v>381</v>
      </c>
      <c r="O184" t="s">
        <v>54</v>
      </c>
      <c r="P184">
        <v>2278717</v>
      </c>
      <c r="Q184" t="s">
        <v>46</v>
      </c>
      <c r="R184">
        <v>415678</v>
      </c>
      <c r="S184" t="s">
        <v>140</v>
      </c>
      <c r="T184" s="2">
        <v>2</v>
      </c>
      <c r="U184">
        <v>0</v>
      </c>
      <c r="V184" t="s">
        <v>153</v>
      </c>
      <c r="W184">
        <v>0</v>
      </c>
      <c r="X184">
        <v>0</v>
      </c>
      <c r="Y184">
        <v>0</v>
      </c>
      <c r="Z184" t="s">
        <v>9</v>
      </c>
      <c r="AA184" t="s">
        <v>2</v>
      </c>
      <c r="AB184" t="s">
        <v>10</v>
      </c>
      <c r="AC184">
        <v>0</v>
      </c>
      <c r="AD184">
        <v>0</v>
      </c>
      <c r="AE184" t="s">
        <v>382</v>
      </c>
      <c r="AF184">
        <v>152.19999999999999</v>
      </c>
      <c r="AG184">
        <v>0</v>
      </c>
      <c r="AH184">
        <v>19.68</v>
      </c>
      <c r="AI184">
        <v>171.88</v>
      </c>
      <c r="AJ184" t="s">
        <v>2</v>
      </c>
      <c r="AK184" t="s">
        <v>11</v>
      </c>
    </row>
    <row r="185" spans="1:37">
      <c r="A185">
        <v>257681</v>
      </c>
      <c r="B185" s="1">
        <v>45366</v>
      </c>
      <c r="C185" t="s">
        <v>49</v>
      </c>
      <c r="D185" t="s">
        <v>50</v>
      </c>
      <c r="E185" t="s">
        <v>51</v>
      </c>
      <c r="F185" t="s">
        <v>52</v>
      </c>
      <c r="G185" t="s">
        <v>53</v>
      </c>
      <c r="H185">
        <v>85281</v>
      </c>
      <c r="I185" t="s">
        <v>379</v>
      </c>
      <c r="J185" t="s">
        <v>380</v>
      </c>
      <c r="K185" t="s">
        <v>2</v>
      </c>
      <c r="L185" t="s">
        <v>124</v>
      </c>
      <c r="M185" t="s">
        <v>53</v>
      </c>
      <c r="N185" t="s">
        <v>381</v>
      </c>
      <c r="O185" t="s">
        <v>54</v>
      </c>
      <c r="P185">
        <v>2278717</v>
      </c>
      <c r="Q185" t="s">
        <v>46</v>
      </c>
      <c r="R185">
        <v>415678</v>
      </c>
      <c r="S185" t="s">
        <v>140</v>
      </c>
      <c r="T185" s="2">
        <v>2</v>
      </c>
      <c r="U185">
        <v>0</v>
      </c>
      <c r="V185" t="s">
        <v>153</v>
      </c>
      <c r="W185">
        <v>2</v>
      </c>
      <c r="X185">
        <v>2</v>
      </c>
      <c r="Y185">
        <v>0</v>
      </c>
      <c r="Z185" t="s">
        <v>383</v>
      </c>
      <c r="AA185" t="s">
        <v>384</v>
      </c>
      <c r="AB185" t="s">
        <v>14</v>
      </c>
      <c r="AC185">
        <v>76.099999999999994</v>
      </c>
      <c r="AD185">
        <v>152.19999999999999</v>
      </c>
      <c r="AE185" t="s">
        <v>382</v>
      </c>
      <c r="AF185">
        <v>152.19999999999999</v>
      </c>
      <c r="AG185">
        <v>0</v>
      </c>
      <c r="AH185">
        <v>19.68</v>
      </c>
      <c r="AI185">
        <v>171.88</v>
      </c>
      <c r="AJ185" t="s">
        <v>2</v>
      </c>
      <c r="AK185" t="s">
        <v>11</v>
      </c>
    </row>
    <row r="186" spans="1:37">
      <c r="A186">
        <v>257681</v>
      </c>
      <c r="B186" s="1">
        <v>45366</v>
      </c>
      <c r="C186" t="s">
        <v>49</v>
      </c>
      <c r="D186" t="s">
        <v>50</v>
      </c>
      <c r="E186" t="s">
        <v>51</v>
      </c>
      <c r="F186" t="s">
        <v>52</v>
      </c>
      <c r="G186" t="s">
        <v>53</v>
      </c>
      <c r="H186">
        <v>85281</v>
      </c>
      <c r="I186" t="s">
        <v>379</v>
      </c>
      <c r="J186" t="s">
        <v>380</v>
      </c>
      <c r="K186" t="s">
        <v>2</v>
      </c>
      <c r="L186" t="s">
        <v>124</v>
      </c>
      <c r="M186" t="s">
        <v>53</v>
      </c>
      <c r="N186" t="s">
        <v>381</v>
      </c>
      <c r="O186" t="s">
        <v>54</v>
      </c>
      <c r="P186">
        <v>2278717</v>
      </c>
      <c r="Q186" t="s">
        <v>46</v>
      </c>
      <c r="R186">
        <v>415678</v>
      </c>
      <c r="S186" t="s">
        <v>140</v>
      </c>
      <c r="T186" s="2">
        <v>2</v>
      </c>
      <c r="U186">
        <v>0</v>
      </c>
      <c r="V186" t="s">
        <v>153</v>
      </c>
      <c r="W186">
        <v>0</v>
      </c>
      <c r="X186">
        <v>0</v>
      </c>
      <c r="Y186">
        <v>0</v>
      </c>
      <c r="Z186" t="s">
        <v>88</v>
      </c>
      <c r="AA186" t="s">
        <v>144</v>
      </c>
      <c r="AB186" t="s">
        <v>10</v>
      </c>
      <c r="AC186">
        <v>0</v>
      </c>
      <c r="AD186">
        <v>0</v>
      </c>
      <c r="AE186" t="s">
        <v>382</v>
      </c>
      <c r="AF186">
        <v>152.19999999999999</v>
      </c>
      <c r="AG186">
        <v>0</v>
      </c>
      <c r="AH186">
        <v>19.68</v>
      </c>
      <c r="AI186">
        <v>171.88</v>
      </c>
      <c r="AJ186" t="s">
        <v>2</v>
      </c>
      <c r="AK186" t="s">
        <v>11</v>
      </c>
    </row>
    <row r="187" spans="1:37">
      <c r="A187">
        <v>257682</v>
      </c>
      <c r="B187" s="1">
        <v>45366</v>
      </c>
      <c r="C187" t="s">
        <v>185</v>
      </c>
      <c r="D187" t="s">
        <v>186</v>
      </c>
      <c r="E187" t="s">
        <v>2</v>
      </c>
      <c r="F187" t="s">
        <v>187</v>
      </c>
      <c r="G187" t="s">
        <v>137</v>
      </c>
      <c r="H187">
        <v>90703</v>
      </c>
      <c r="I187" t="s">
        <v>385</v>
      </c>
      <c r="J187" t="s">
        <v>386</v>
      </c>
      <c r="K187" t="s">
        <v>387</v>
      </c>
      <c r="L187" t="s">
        <v>388</v>
      </c>
      <c r="M187" t="s">
        <v>137</v>
      </c>
      <c r="N187" t="s">
        <v>389</v>
      </c>
      <c r="O187" t="s">
        <v>192</v>
      </c>
      <c r="P187">
        <v>2278683</v>
      </c>
      <c r="Q187" t="s">
        <v>38</v>
      </c>
      <c r="R187">
        <v>415668</v>
      </c>
      <c r="S187" t="s">
        <v>84</v>
      </c>
      <c r="T187" s="2">
        <v>5</v>
      </c>
      <c r="U187">
        <v>0</v>
      </c>
      <c r="V187" t="s">
        <v>153</v>
      </c>
      <c r="W187">
        <v>0</v>
      </c>
      <c r="X187">
        <v>0</v>
      </c>
      <c r="Y187">
        <v>0</v>
      </c>
      <c r="Z187" t="s">
        <v>9</v>
      </c>
      <c r="AA187" t="s">
        <v>2</v>
      </c>
      <c r="AB187" t="s">
        <v>10</v>
      </c>
      <c r="AC187">
        <v>0</v>
      </c>
      <c r="AD187">
        <v>0</v>
      </c>
      <c r="AE187">
        <v>582744796729</v>
      </c>
      <c r="AF187">
        <v>1950.25</v>
      </c>
      <c r="AG187">
        <v>0</v>
      </c>
      <c r="AH187">
        <v>114.52</v>
      </c>
      <c r="AI187">
        <v>2064.77</v>
      </c>
      <c r="AJ187" t="s">
        <v>2</v>
      </c>
      <c r="AK187" t="s">
        <v>11</v>
      </c>
    </row>
    <row r="188" spans="1:37">
      <c r="A188">
        <v>257682</v>
      </c>
      <c r="B188" s="1">
        <v>45366</v>
      </c>
      <c r="C188" t="s">
        <v>185</v>
      </c>
      <c r="D188" t="s">
        <v>186</v>
      </c>
      <c r="E188" t="s">
        <v>2</v>
      </c>
      <c r="F188" t="s">
        <v>187</v>
      </c>
      <c r="G188" t="s">
        <v>137</v>
      </c>
      <c r="H188">
        <v>90703</v>
      </c>
      <c r="I188" t="s">
        <v>385</v>
      </c>
      <c r="J188" t="s">
        <v>386</v>
      </c>
      <c r="K188" t="s">
        <v>387</v>
      </c>
      <c r="L188" t="s">
        <v>388</v>
      </c>
      <c r="M188" t="s">
        <v>137</v>
      </c>
      <c r="N188" t="s">
        <v>389</v>
      </c>
      <c r="O188" t="s">
        <v>192</v>
      </c>
      <c r="P188">
        <v>2278683</v>
      </c>
      <c r="Q188" t="s">
        <v>38</v>
      </c>
      <c r="R188">
        <v>415668</v>
      </c>
      <c r="S188" t="s">
        <v>84</v>
      </c>
      <c r="T188" s="2">
        <v>5</v>
      </c>
      <c r="U188">
        <v>0</v>
      </c>
      <c r="V188" t="s">
        <v>153</v>
      </c>
      <c r="W188">
        <v>2</v>
      </c>
      <c r="X188">
        <v>2</v>
      </c>
      <c r="Y188">
        <v>0</v>
      </c>
      <c r="Z188" t="s">
        <v>390</v>
      </c>
      <c r="AA188" t="s">
        <v>391</v>
      </c>
      <c r="AB188" t="s">
        <v>14</v>
      </c>
      <c r="AC188">
        <v>390.05</v>
      </c>
      <c r="AD188">
        <v>780.1</v>
      </c>
      <c r="AE188">
        <v>582744796729</v>
      </c>
      <c r="AF188">
        <v>1950.25</v>
      </c>
      <c r="AG188">
        <v>0</v>
      </c>
      <c r="AH188">
        <v>114.52</v>
      </c>
      <c r="AI188">
        <v>2064.77</v>
      </c>
      <c r="AJ188" t="s">
        <v>2</v>
      </c>
      <c r="AK188" t="s">
        <v>11</v>
      </c>
    </row>
    <row r="189" spans="1:37">
      <c r="A189">
        <v>257682</v>
      </c>
      <c r="B189" s="1">
        <v>45366</v>
      </c>
      <c r="C189" t="s">
        <v>185</v>
      </c>
      <c r="D189" t="s">
        <v>186</v>
      </c>
      <c r="E189" t="s">
        <v>2</v>
      </c>
      <c r="F189" t="s">
        <v>187</v>
      </c>
      <c r="G189" t="s">
        <v>137</v>
      </c>
      <c r="H189">
        <v>90703</v>
      </c>
      <c r="I189" t="s">
        <v>385</v>
      </c>
      <c r="J189" t="s">
        <v>386</v>
      </c>
      <c r="K189" t="s">
        <v>387</v>
      </c>
      <c r="L189" t="s">
        <v>388</v>
      </c>
      <c r="M189" t="s">
        <v>137</v>
      </c>
      <c r="N189" t="s">
        <v>389</v>
      </c>
      <c r="O189" t="s">
        <v>192</v>
      </c>
      <c r="P189">
        <v>2278683</v>
      </c>
      <c r="Q189" t="s">
        <v>38</v>
      </c>
      <c r="R189">
        <v>415668</v>
      </c>
      <c r="S189" t="s">
        <v>84</v>
      </c>
      <c r="T189" s="2">
        <v>5</v>
      </c>
      <c r="U189">
        <v>0</v>
      </c>
      <c r="V189" t="s">
        <v>153</v>
      </c>
      <c r="W189">
        <v>0</v>
      </c>
      <c r="X189">
        <v>0</v>
      </c>
      <c r="Y189">
        <v>0</v>
      </c>
      <c r="Z189" t="s">
        <v>88</v>
      </c>
      <c r="AA189" t="s">
        <v>107</v>
      </c>
      <c r="AB189" t="s">
        <v>10</v>
      </c>
      <c r="AC189">
        <v>0</v>
      </c>
      <c r="AD189">
        <v>0</v>
      </c>
      <c r="AE189">
        <v>582744796729</v>
      </c>
      <c r="AF189">
        <v>1950.25</v>
      </c>
      <c r="AG189">
        <v>0</v>
      </c>
      <c r="AH189">
        <v>114.52</v>
      </c>
      <c r="AI189">
        <v>2064.77</v>
      </c>
      <c r="AJ189" t="s">
        <v>2</v>
      </c>
      <c r="AK189" t="s">
        <v>11</v>
      </c>
    </row>
    <row r="190" spans="1:37">
      <c r="A190">
        <v>257682</v>
      </c>
      <c r="B190" s="1">
        <v>45366</v>
      </c>
      <c r="C190" t="s">
        <v>185</v>
      </c>
      <c r="D190" t="s">
        <v>186</v>
      </c>
      <c r="E190" t="s">
        <v>2</v>
      </c>
      <c r="F190" t="s">
        <v>187</v>
      </c>
      <c r="G190" t="s">
        <v>137</v>
      </c>
      <c r="H190">
        <v>90703</v>
      </c>
      <c r="I190" t="s">
        <v>385</v>
      </c>
      <c r="J190" t="s">
        <v>386</v>
      </c>
      <c r="K190" t="s">
        <v>387</v>
      </c>
      <c r="L190" t="s">
        <v>388</v>
      </c>
      <c r="M190" t="s">
        <v>137</v>
      </c>
      <c r="N190" t="s">
        <v>389</v>
      </c>
      <c r="O190" t="s">
        <v>192</v>
      </c>
      <c r="P190">
        <v>2278683</v>
      </c>
      <c r="Q190" t="s">
        <v>38</v>
      </c>
      <c r="R190">
        <v>415668</v>
      </c>
      <c r="S190" t="s">
        <v>84</v>
      </c>
      <c r="T190" s="2">
        <v>5</v>
      </c>
      <c r="U190">
        <v>0</v>
      </c>
      <c r="V190" t="s">
        <v>153</v>
      </c>
      <c r="W190">
        <v>3</v>
      </c>
      <c r="X190">
        <v>3</v>
      </c>
      <c r="Y190">
        <v>0</v>
      </c>
      <c r="Z190" t="s">
        <v>392</v>
      </c>
      <c r="AA190" t="s">
        <v>393</v>
      </c>
      <c r="AB190" t="s">
        <v>14</v>
      </c>
      <c r="AC190">
        <v>390.05</v>
      </c>
      <c r="AD190">
        <v>1170.1500000000001</v>
      </c>
      <c r="AE190">
        <v>582744796729</v>
      </c>
      <c r="AF190">
        <v>1950.25</v>
      </c>
      <c r="AG190">
        <v>0</v>
      </c>
      <c r="AH190">
        <v>114.52</v>
      </c>
      <c r="AI190">
        <v>2064.77</v>
      </c>
      <c r="AJ190" t="s">
        <v>2</v>
      </c>
      <c r="AK190" t="s">
        <v>11</v>
      </c>
    </row>
    <row r="191" spans="1:37">
      <c r="A191">
        <v>257682</v>
      </c>
      <c r="B191" s="1">
        <v>45366</v>
      </c>
      <c r="C191" t="s">
        <v>185</v>
      </c>
      <c r="D191" t="s">
        <v>186</v>
      </c>
      <c r="E191" t="s">
        <v>2</v>
      </c>
      <c r="F191" t="s">
        <v>187</v>
      </c>
      <c r="G191" t="s">
        <v>137</v>
      </c>
      <c r="H191">
        <v>90703</v>
      </c>
      <c r="I191" t="s">
        <v>385</v>
      </c>
      <c r="J191" t="s">
        <v>386</v>
      </c>
      <c r="K191" t="s">
        <v>387</v>
      </c>
      <c r="L191" t="s">
        <v>388</v>
      </c>
      <c r="M191" t="s">
        <v>137</v>
      </c>
      <c r="N191" t="s">
        <v>389</v>
      </c>
      <c r="O191" t="s">
        <v>192</v>
      </c>
      <c r="P191">
        <v>2278683</v>
      </c>
      <c r="Q191" t="s">
        <v>38</v>
      </c>
      <c r="R191">
        <v>415668</v>
      </c>
      <c r="S191" t="s">
        <v>84</v>
      </c>
      <c r="T191" s="2">
        <v>5</v>
      </c>
      <c r="U191">
        <v>0</v>
      </c>
      <c r="V191" t="s">
        <v>153</v>
      </c>
      <c r="W191">
        <v>0</v>
      </c>
      <c r="X191">
        <v>0</v>
      </c>
      <c r="Y191">
        <v>0</v>
      </c>
      <c r="Z191" t="s">
        <v>88</v>
      </c>
      <c r="AA191" t="s">
        <v>107</v>
      </c>
      <c r="AB191" t="s">
        <v>10</v>
      </c>
      <c r="AC191">
        <v>0</v>
      </c>
      <c r="AD191">
        <v>0</v>
      </c>
      <c r="AE191">
        <v>582744796729</v>
      </c>
      <c r="AF191">
        <v>1950.25</v>
      </c>
      <c r="AG191">
        <v>0</v>
      </c>
      <c r="AH191">
        <v>114.52</v>
      </c>
      <c r="AI191">
        <v>2064.77</v>
      </c>
      <c r="AJ191" t="s">
        <v>2</v>
      </c>
      <c r="AK191" t="s">
        <v>11</v>
      </c>
    </row>
    <row r="192" spans="1:37">
      <c r="A192">
        <v>257683</v>
      </c>
      <c r="B192" s="1">
        <v>45366</v>
      </c>
      <c r="C192" t="s">
        <v>394</v>
      </c>
      <c r="D192" t="s">
        <v>395</v>
      </c>
      <c r="E192" t="s">
        <v>396</v>
      </c>
      <c r="F192" t="s">
        <v>230</v>
      </c>
      <c r="G192" t="s">
        <v>137</v>
      </c>
      <c r="H192">
        <v>95834</v>
      </c>
      <c r="I192" t="s">
        <v>397</v>
      </c>
      <c r="J192" t="s">
        <v>398</v>
      </c>
      <c r="K192" t="s">
        <v>2</v>
      </c>
      <c r="L192" t="s">
        <v>230</v>
      </c>
      <c r="M192" t="s">
        <v>137</v>
      </c>
      <c r="N192" t="s">
        <v>399</v>
      </c>
      <c r="O192" t="s">
        <v>400</v>
      </c>
      <c r="P192">
        <v>2278286</v>
      </c>
      <c r="Q192" t="s">
        <v>38</v>
      </c>
      <c r="R192">
        <v>415516</v>
      </c>
      <c r="S192" t="s">
        <v>140</v>
      </c>
      <c r="T192" s="2">
        <v>1</v>
      </c>
      <c r="U192">
        <v>0</v>
      </c>
      <c r="V192" t="s">
        <v>153</v>
      </c>
      <c r="W192">
        <v>0</v>
      </c>
      <c r="X192">
        <v>0</v>
      </c>
      <c r="Y192">
        <v>0</v>
      </c>
      <c r="Z192" t="s">
        <v>9</v>
      </c>
      <c r="AA192" t="s">
        <v>2</v>
      </c>
      <c r="AB192" t="s">
        <v>10</v>
      </c>
      <c r="AC192">
        <v>0</v>
      </c>
      <c r="AD192">
        <v>0</v>
      </c>
      <c r="AE192" t="s">
        <v>401</v>
      </c>
      <c r="AF192">
        <v>125.51</v>
      </c>
      <c r="AG192">
        <v>0</v>
      </c>
      <c r="AH192">
        <v>15.83</v>
      </c>
      <c r="AI192">
        <v>141.34</v>
      </c>
      <c r="AJ192" t="s">
        <v>2</v>
      </c>
      <c r="AK192" t="s">
        <v>11</v>
      </c>
    </row>
    <row r="193" spans="1:37">
      <c r="A193">
        <v>257683</v>
      </c>
      <c r="B193" s="1">
        <v>45366</v>
      </c>
      <c r="C193" t="s">
        <v>394</v>
      </c>
      <c r="D193" t="s">
        <v>395</v>
      </c>
      <c r="E193" t="s">
        <v>396</v>
      </c>
      <c r="F193" t="s">
        <v>230</v>
      </c>
      <c r="G193" t="s">
        <v>137</v>
      </c>
      <c r="H193">
        <v>95834</v>
      </c>
      <c r="I193" t="s">
        <v>397</v>
      </c>
      <c r="J193" t="s">
        <v>398</v>
      </c>
      <c r="K193" t="s">
        <v>2</v>
      </c>
      <c r="L193" t="s">
        <v>230</v>
      </c>
      <c r="M193" t="s">
        <v>137</v>
      </c>
      <c r="N193" t="s">
        <v>399</v>
      </c>
      <c r="O193" t="s">
        <v>400</v>
      </c>
      <c r="P193">
        <v>2278286</v>
      </c>
      <c r="Q193" t="s">
        <v>38</v>
      </c>
      <c r="R193">
        <v>415516</v>
      </c>
      <c r="S193" t="s">
        <v>140</v>
      </c>
      <c r="T193" s="2">
        <v>1</v>
      </c>
      <c r="U193">
        <v>0</v>
      </c>
      <c r="V193" t="s">
        <v>153</v>
      </c>
      <c r="W193">
        <v>1</v>
      </c>
      <c r="X193">
        <v>1</v>
      </c>
      <c r="Y193">
        <v>0</v>
      </c>
      <c r="Z193" t="s">
        <v>402</v>
      </c>
      <c r="AA193" t="s">
        <v>403</v>
      </c>
      <c r="AB193" t="s">
        <v>14</v>
      </c>
      <c r="AC193">
        <v>125.51</v>
      </c>
      <c r="AD193">
        <v>125.51</v>
      </c>
      <c r="AE193" t="s">
        <v>401</v>
      </c>
      <c r="AF193">
        <v>125.51</v>
      </c>
      <c r="AG193">
        <v>0</v>
      </c>
      <c r="AH193">
        <v>15.83</v>
      </c>
      <c r="AI193">
        <v>141.34</v>
      </c>
      <c r="AJ193" t="s">
        <v>2</v>
      </c>
      <c r="AK193" t="s">
        <v>11</v>
      </c>
    </row>
    <row r="194" spans="1:37">
      <c r="A194">
        <v>257683</v>
      </c>
      <c r="B194" s="1">
        <v>45366</v>
      </c>
      <c r="C194" t="s">
        <v>394</v>
      </c>
      <c r="D194" t="s">
        <v>395</v>
      </c>
      <c r="E194" t="s">
        <v>396</v>
      </c>
      <c r="F194" t="s">
        <v>230</v>
      </c>
      <c r="G194" t="s">
        <v>137</v>
      </c>
      <c r="H194">
        <v>95834</v>
      </c>
      <c r="I194" t="s">
        <v>397</v>
      </c>
      <c r="J194" t="s">
        <v>398</v>
      </c>
      <c r="K194" t="s">
        <v>2</v>
      </c>
      <c r="L194" t="s">
        <v>230</v>
      </c>
      <c r="M194" t="s">
        <v>137</v>
      </c>
      <c r="N194" t="s">
        <v>399</v>
      </c>
      <c r="O194" t="s">
        <v>400</v>
      </c>
      <c r="P194">
        <v>2278286</v>
      </c>
      <c r="Q194" t="s">
        <v>38</v>
      </c>
      <c r="R194">
        <v>415516</v>
      </c>
      <c r="S194" t="s">
        <v>140</v>
      </c>
      <c r="T194" s="2">
        <v>1</v>
      </c>
      <c r="U194">
        <v>0</v>
      </c>
      <c r="V194" t="s">
        <v>153</v>
      </c>
      <c r="W194">
        <v>0</v>
      </c>
      <c r="X194">
        <v>0</v>
      </c>
      <c r="Y194">
        <v>0</v>
      </c>
      <c r="Z194" t="s">
        <v>88</v>
      </c>
      <c r="AA194" t="s">
        <v>298</v>
      </c>
      <c r="AB194" t="s">
        <v>10</v>
      </c>
      <c r="AC194">
        <v>0</v>
      </c>
      <c r="AD194">
        <v>0</v>
      </c>
      <c r="AE194" t="s">
        <v>401</v>
      </c>
      <c r="AF194">
        <v>125.51</v>
      </c>
      <c r="AG194">
        <v>0</v>
      </c>
      <c r="AH194">
        <v>15.83</v>
      </c>
      <c r="AI194">
        <v>141.34</v>
      </c>
      <c r="AJ194" t="s">
        <v>2</v>
      </c>
      <c r="AK194" t="s">
        <v>11</v>
      </c>
    </row>
    <row r="195" spans="1:37">
      <c r="A195">
        <v>257684</v>
      </c>
      <c r="B195" s="1">
        <v>45366</v>
      </c>
      <c r="C195" t="s">
        <v>287</v>
      </c>
      <c r="D195" t="s">
        <v>288</v>
      </c>
      <c r="E195" t="s">
        <v>2</v>
      </c>
      <c r="F195" t="s">
        <v>289</v>
      </c>
      <c r="G195" t="s">
        <v>137</v>
      </c>
      <c r="H195">
        <v>94510</v>
      </c>
      <c r="I195" t="s">
        <v>404</v>
      </c>
      <c r="J195" t="s">
        <v>405</v>
      </c>
      <c r="K195" t="s">
        <v>2</v>
      </c>
      <c r="L195" t="s">
        <v>406</v>
      </c>
      <c r="M195" t="s">
        <v>137</v>
      </c>
      <c r="N195" t="s">
        <v>407</v>
      </c>
      <c r="O195" t="s">
        <v>294</v>
      </c>
      <c r="P195">
        <v>2278534</v>
      </c>
      <c r="Q195" t="s">
        <v>38</v>
      </c>
      <c r="R195">
        <v>415601</v>
      </c>
      <c r="S195" t="s">
        <v>140</v>
      </c>
      <c r="T195" s="2">
        <v>1</v>
      </c>
      <c r="U195">
        <v>0</v>
      </c>
      <c r="V195" t="s">
        <v>153</v>
      </c>
      <c r="W195">
        <v>0</v>
      </c>
      <c r="X195">
        <v>0</v>
      </c>
      <c r="Y195">
        <v>0</v>
      </c>
      <c r="Z195" t="s">
        <v>9</v>
      </c>
      <c r="AA195" t="s">
        <v>2</v>
      </c>
      <c r="AB195" t="s">
        <v>10</v>
      </c>
      <c r="AC195">
        <v>0</v>
      </c>
      <c r="AD195">
        <v>0</v>
      </c>
      <c r="AE195" t="s">
        <v>408</v>
      </c>
      <c r="AF195">
        <v>453.21</v>
      </c>
      <c r="AG195">
        <v>0</v>
      </c>
      <c r="AH195">
        <v>24.25</v>
      </c>
      <c r="AI195">
        <v>477.46</v>
      </c>
      <c r="AJ195" t="s">
        <v>2</v>
      </c>
      <c r="AK195" t="s">
        <v>11</v>
      </c>
    </row>
    <row r="196" spans="1:37">
      <c r="A196">
        <v>257684</v>
      </c>
      <c r="B196" s="1">
        <v>45366</v>
      </c>
      <c r="C196" t="s">
        <v>287</v>
      </c>
      <c r="D196" t="s">
        <v>288</v>
      </c>
      <c r="E196" t="s">
        <v>2</v>
      </c>
      <c r="F196" t="s">
        <v>289</v>
      </c>
      <c r="G196" t="s">
        <v>137</v>
      </c>
      <c r="H196">
        <v>94510</v>
      </c>
      <c r="I196" t="s">
        <v>404</v>
      </c>
      <c r="J196" t="s">
        <v>405</v>
      </c>
      <c r="K196" t="s">
        <v>2</v>
      </c>
      <c r="L196" t="s">
        <v>406</v>
      </c>
      <c r="M196" t="s">
        <v>137</v>
      </c>
      <c r="N196" t="s">
        <v>407</v>
      </c>
      <c r="O196" t="s">
        <v>294</v>
      </c>
      <c r="P196">
        <v>2278534</v>
      </c>
      <c r="Q196" t="s">
        <v>38</v>
      </c>
      <c r="R196">
        <v>415601</v>
      </c>
      <c r="S196" t="s">
        <v>140</v>
      </c>
      <c r="T196" s="2">
        <v>1</v>
      </c>
      <c r="U196">
        <v>0</v>
      </c>
      <c r="V196" t="s">
        <v>153</v>
      </c>
      <c r="W196">
        <v>0</v>
      </c>
      <c r="X196">
        <v>0</v>
      </c>
      <c r="Y196">
        <v>0</v>
      </c>
      <c r="Z196" t="s">
        <v>88</v>
      </c>
      <c r="AA196" t="s">
        <v>311</v>
      </c>
      <c r="AB196" t="s">
        <v>10</v>
      </c>
      <c r="AC196">
        <v>0</v>
      </c>
      <c r="AD196">
        <v>0</v>
      </c>
      <c r="AE196" t="s">
        <v>408</v>
      </c>
      <c r="AF196">
        <v>453.21</v>
      </c>
      <c r="AG196">
        <v>0</v>
      </c>
      <c r="AH196">
        <v>24.25</v>
      </c>
      <c r="AI196">
        <v>477.46</v>
      </c>
      <c r="AJ196" t="s">
        <v>2</v>
      </c>
      <c r="AK196" t="s">
        <v>11</v>
      </c>
    </row>
    <row r="197" spans="1:37">
      <c r="A197">
        <v>257684</v>
      </c>
      <c r="B197" s="1">
        <v>45366</v>
      </c>
      <c r="C197" t="s">
        <v>287</v>
      </c>
      <c r="D197" t="s">
        <v>288</v>
      </c>
      <c r="E197" t="s">
        <v>2</v>
      </c>
      <c r="F197" t="s">
        <v>289</v>
      </c>
      <c r="G197" t="s">
        <v>137</v>
      </c>
      <c r="H197">
        <v>94510</v>
      </c>
      <c r="I197" t="s">
        <v>404</v>
      </c>
      <c r="J197" t="s">
        <v>405</v>
      </c>
      <c r="K197" t="s">
        <v>2</v>
      </c>
      <c r="L197" t="s">
        <v>406</v>
      </c>
      <c r="M197" t="s">
        <v>137</v>
      </c>
      <c r="N197" t="s">
        <v>407</v>
      </c>
      <c r="O197" t="s">
        <v>294</v>
      </c>
      <c r="P197">
        <v>2278534</v>
      </c>
      <c r="Q197" t="s">
        <v>38</v>
      </c>
      <c r="R197">
        <v>415601</v>
      </c>
      <c r="S197" t="s">
        <v>140</v>
      </c>
      <c r="T197" s="2">
        <v>1</v>
      </c>
      <c r="U197">
        <v>0</v>
      </c>
      <c r="V197" t="s">
        <v>153</v>
      </c>
      <c r="W197">
        <v>1</v>
      </c>
      <c r="X197">
        <v>1</v>
      </c>
      <c r="Y197">
        <v>0</v>
      </c>
      <c r="Z197" t="s">
        <v>409</v>
      </c>
      <c r="AA197" t="s">
        <v>410</v>
      </c>
      <c r="AB197" t="s">
        <v>14</v>
      </c>
      <c r="AC197">
        <v>453.21170000000001</v>
      </c>
      <c r="AD197">
        <v>453.21</v>
      </c>
      <c r="AE197" t="s">
        <v>408</v>
      </c>
      <c r="AF197">
        <v>453.21</v>
      </c>
      <c r="AG197">
        <v>0</v>
      </c>
      <c r="AH197">
        <v>24.25</v>
      </c>
      <c r="AI197">
        <v>477.46</v>
      </c>
      <c r="AJ197" t="s">
        <v>2</v>
      </c>
      <c r="AK197" t="s">
        <v>11</v>
      </c>
    </row>
    <row r="198" spans="1:37">
      <c r="A198">
        <v>257684</v>
      </c>
      <c r="B198" s="1">
        <v>45366</v>
      </c>
      <c r="C198" t="s">
        <v>287</v>
      </c>
      <c r="D198" t="s">
        <v>288</v>
      </c>
      <c r="E198" t="s">
        <v>2</v>
      </c>
      <c r="F198" t="s">
        <v>289</v>
      </c>
      <c r="G198" t="s">
        <v>137</v>
      </c>
      <c r="H198">
        <v>94510</v>
      </c>
      <c r="I198" t="s">
        <v>404</v>
      </c>
      <c r="J198" t="s">
        <v>405</v>
      </c>
      <c r="K198" t="s">
        <v>2</v>
      </c>
      <c r="L198" t="s">
        <v>406</v>
      </c>
      <c r="M198" t="s">
        <v>137</v>
      </c>
      <c r="N198" t="s">
        <v>407</v>
      </c>
      <c r="O198" t="s">
        <v>294</v>
      </c>
      <c r="P198">
        <v>2278534</v>
      </c>
      <c r="Q198" t="s">
        <v>38</v>
      </c>
      <c r="R198">
        <v>415601</v>
      </c>
      <c r="S198" t="s">
        <v>140</v>
      </c>
      <c r="T198" s="2">
        <v>1</v>
      </c>
      <c r="U198">
        <v>0</v>
      </c>
      <c r="V198" t="s">
        <v>153</v>
      </c>
      <c r="W198">
        <v>0</v>
      </c>
      <c r="X198">
        <v>0</v>
      </c>
      <c r="Y198">
        <v>0</v>
      </c>
      <c r="Z198" t="s">
        <v>88</v>
      </c>
      <c r="AA198" t="s">
        <v>107</v>
      </c>
      <c r="AB198" t="s">
        <v>10</v>
      </c>
      <c r="AC198">
        <v>0</v>
      </c>
      <c r="AD198">
        <v>0</v>
      </c>
      <c r="AE198" t="s">
        <v>408</v>
      </c>
      <c r="AF198">
        <v>453.21</v>
      </c>
      <c r="AG198">
        <v>0</v>
      </c>
      <c r="AH198">
        <v>24.25</v>
      </c>
      <c r="AI198">
        <v>477.46</v>
      </c>
      <c r="AJ198" t="s">
        <v>2</v>
      </c>
      <c r="AK198" t="s">
        <v>11</v>
      </c>
    </row>
    <row r="199" spans="1:37">
      <c r="A199">
        <v>257684</v>
      </c>
      <c r="B199" s="1">
        <v>45366</v>
      </c>
      <c r="C199" t="s">
        <v>287</v>
      </c>
      <c r="D199" t="s">
        <v>288</v>
      </c>
      <c r="E199" t="s">
        <v>2</v>
      </c>
      <c r="F199" t="s">
        <v>289</v>
      </c>
      <c r="G199" t="s">
        <v>137</v>
      </c>
      <c r="H199">
        <v>94510</v>
      </c>
      <c r="I199" t="s">
        <v>404</v>
      </c>
      <c r="J199" t="s">
        <v>405</v>
      </c>
      <c r="K199" t="s">
        <v>2</v>
      </c>
      <c r="L199" t="s">
        <v>406</v>
      </c>
      <c r="M199" t="s">
        <v>137</v>
      </c>
      <c r="N199" t="s">
        <v>407</v>
      </c>
      <c r="O199" t="s">
        <v>294</v>
      </c>
      <c r="P199">
        <v>2278534</v>
      </c>
      <c r="Q199" t="s">
        <v>38</v>
      </c>
      <c r="R199">
        <v>415601</v>
      </c>
      <c r="S199" t="s">
        <v>140</v>
      </c>
      <c r="T199" s="2">
        <v>1</v>
      </c>
      <c r="U199">
        <v>0</v>
      </c>
      <c r="V199" t="s">
        <v>153</v>
      </c>
      <c r="W199">
        <v>0</v>
      </c>
      <c r="X199">
        <v>0</v>
      </c>
      <c r="Y199">
        <v>0</v>
      </c>
      <c r="Z199" t="s">
        <v>88</v>
      </c>
      <c r="AA199" t="s">
        <v>2</v>
      </c>
      <c r="AB199" t="s">
        <v>10</v>
      </c>
      <c r="AC199">
        <v>0</v>
      </c>
      <c r="AD199">
        <v>0</v>
      </c>
      <c r="AE199" t="s">
        <v>408</v>
      </c>
      <c r="AF199">
        <v>453.21</v>
      </c>
      <c r="AG199">
        <v>0</v>
      </c>
      <c r="AH199">
        <v>24.25</v>
      </c>
      <c r="AI199">
        <v>477.46</v>
      </c>
      <c r="AJ199" t="s">
        <v>2</v>
      </c>
      <c r="AK199" t="s">
        <v>11</v>
      </c>
    </row>
    <row r="200" spans="1:37">
      <c r="A200">
        <v>257685</v>
      </c>
      <c r="B200" s="1">
        <v>45366</v>
      </c>
      <c r="C200" t="s">
        <v>411</v>
      </c>
      <c r="D200" t="s">
        <v>412</v>
      </c>
      <c r="E200" t="s">
        <v>413</v>
      </c>
      <c r="F200" t="s">
        <v>414</v>
      </c>
      <c r="G200" t="s">
        <v>415</v>
      </c>
      <c r="H200">
        <v>89434</v>
      </c>
      <c r="I200" t="s">
        <v>411</v>
      </c>
      <c r="J200" t="s">
        <v>412</v>
      </c>
      <c r="K200" t="s">
        <v>413</v>
      </c>
      <c r="L200" t="s">
        <v>414</v>
      </c>
      <c r="M200" t="s">
        <v>415</v>
      </c>
      <c r="N200">
        <v>89434</v>
      </c>
      <c r="O200" t="s">
        <v>416</v>
      </c>
      <c r="P200" t="s">
        <v>417</v>
      </c>
      <c r="Q200" t="s">
        <v>46</v>
      </c>
      <c r="R200">
        <v>415588</v>
      </c>
      <c r="S200" t="s">
        <v>418</v>
      </c>
      <c r="T200" s="2">
        <v>2</v>
      </c>
      <c r="U200">
        <v>0</v>
      </c>
      <c r="V200" t="s">
        <v>284</v>
      </c>
      <c r="W200">
        <v>0</v>
      </c>
      <c r="X200">
        <v>0</v>
      </c>
      <c r="Y200">
        <v>0</v>
      </c>
      <c r="Z200" t="s">
        <v>9</v>
      </c>
      <c r="AA200" t="s">
        <v>2</v>
      </c>
      <c r="AB200" t="s">
        <v>10</v>
      </c>
      <c r="AC200">
        <v>0</v>
      </c>
      <c r="AD200">
        <v>0</v>
      </c>
      <c r="AE200" t="s">
        <v>2</v>
      </c>
      <c r="AF200">
        <v>474.36</v>
      </c>
      <c r="AG200">
        <v>0</v>
      </c>
      <c r="AH200">
        <v>0</v>
      </c>
      <c r="AI200">
        <v>474.36</v>
      </c>
      <c r="AJ200" t="s">
        <v>2</v>
      </c>
      <c r="AK200" t="s">
        <v>11</v>
      </c>
    </row>
    <row r="201" spans="1:37">
      <c r="A201">
        <v>257685</v>
      </c>
      <c r="B201" s="1">
        <v>45366</v>
      </c>
      <c r="C201" t="s">
        <v>411</v>
      </c>
      <c r="D201" t="s">
        <v>412</v>
      </c>
      <c r="E201" t="s">
        <v>413</v>
      </c>
      <c r="F201" t="s">
        <v>414</v>
      </c>
      <c r="G201" t="s">
        <v>415</v>
      </c>
      <c r="H201">
        <v>89434</v>
      </c>
      <c r="I201" t="s">
        <v>411</v>
      </c>
      <c r="J201" t="s">
        <v>412</v>
      </c>
      <c r="K201" t="s">
        <v>413</v>
      </c>
      <c r="L201" t="s">
        <v>414</v>
      </c>
      <c r="M201" t="s">
        <v>415</v>
      </c>
      <c r="N201">
        <v>89434</v>
      </c>
      <c r="O201" t="s">
        <v>416</v>
      </c>
      <c r="P201" t="s">
        <v>417</v>
      </c>
      <c r="Q201" t="s">
        <v>46</v>
      </c>
      <c r="R201">
        <v>415588</v>
      </c>
      <c r="S201" t="s">
        <v>418</v>
      </c>
      <c r="T201" s="2">
        <v>2</v>
      </c>
      <c r="U201">
        <v>0</v>
      </c>
      <c r="V201" t="s">
        <v>284</v>
      </c>
      <c r="W201">
        <v>1</v>
      </c>
      <c r="X201">
        <v>1</v>
      </c>
      <c r="Y201">
        <v>0</v>
      </c>
      <c r="Z201" t="s">
        <v>419</v>
      </c>
      <c r="AA201" t="s">
        <v>420</v>
      </c>
      <c r="AB201" t="s">
        <v>14</v>
      </c>
      <c r="AC201">
        <v>210.82550000000001</v>
      </c>
      <c r="AD201">
        <v>210.83</v>
      </c>
      <c r="AE201" t="s">
        <v>2</v>
      </c>
      <c r="AF201">
        <v>474.36</v>
      </c>
      <c r="AG201">
        <v>0</v>
      </c>
      <c r="AH201">
        <v>0</v>
      </c>
      <c r="AI201">
        <v>474.36</v>
      </c>
      <c r="AJ201" t="s">
        <v>2</v>
      </c>
      <c r="AK201" t="s">
        <v>11</v>
      </c>
    </row>
    <row r="202" spans="1:37">
      <c r="A202">
        <v>257685</v>
      </c>
      <c r="B202" s="1">
        <v>45366</v>
      </c>
      <c r="C202" t="s">
        <v>411</v>
      </c>
      <c r="D202" t="s">
        <v>412</v>
      </c>
      <c r="E202" t="s">
        <v>413</v>
      </c>
      <c r="F202" t="s">
        <v>414</v>
      </c>
      <c r="G202" t="s">
        <v>415</v>
      </c>
      <c r="H202">
        <v>89434</v>
      </c>
      <c r="I202" t="s">
        <v>411</v>
      </c>
      <c r="J202" t="s">
        <v>412</v>
      </c>
      <c r="K202" t="s">
        <v>413</v>
      </c>
      <c r="L202" t="s">
        <v>414</v>
      </c>
      <c r="M202" t="s">
        <v>415</v>
      </c>
      <c r="N202">
        <v>89434</v>
      </c>
      <c r="O202" t="s">
        <v>416</v>
      </c>
      <c r="P202" t="s">
        <v>417</v>
      </c>
      <c r="Q202" t="s">
        <v>46</v>
      </c>
      <c r="R202">
        <v>415588</v>
      </c>
      <c r="S202" t="s">
        <v>418</v>
      </c>
      <c r="T202" s="2">
        <v>2</v>
      </c>
      <c r="U202">
        <v>0</v>
      </c>
      <c r="V202" t="s">
        <v>284</v>
      </c>
      <c r="W202">
        <v>0</v>
      </c>
      <c r="X202">
        <v>0</v>
      </c>
      <c r="Y202">
        <v>0</v>
      </c>
      <c r="Z202" t="s">
        <v>88</v>
      </c>
      <c r="AA202" t="s">
        <v>251</v>
      </c>
      <c r="AB202" t="s">
        <v>10</v>
      </c>
      <c r="AC202">
        <v>0</v>
      </c>
      <c r="AD202">
        <v>0</v>
      </c>
      <c r="AE202" t="s">
        <v>2</v>
      </c>
      <c r="AF202">
        <v>474.36</v>
      </c>
      <c r="AG202">
        <v>0</v>
      </c>
      <c r="AH202">
        <v>0</v>
      </c>
      <c r="AI202">
        <v>474.36</v>
      </c>
      <c r="AJ202" t="s">
        <v>2</v>
      </c>
      <c r="AK202" t="s">
        <v>11</v>
      </c>
    </row>
    <row r="203" spans="1:37">
      <c r="A203">
        <v>257685</v>
      </c>
      <c r="B203" s="1">
        <v>45366</v>
      </c>
      <c r="C203" t="s">
        <v>411</v>
      </c>
      <c r="D203" t="s">
        <v>412</v>
      </c>
      <c r="E203" t="s">
        <v>413</v>
      </c>
      <c r="F203" t="s">
        <v>414</v>
      </c>
      <c r="G203" t="s">
        <v>415</v>
      </c>
      <c r="H203">
        <v>89434</v>
      </c>
      <c r="I203" t="s">
        <v>411</v>
      </c>
      <c r="J203" t="s">
        <v>412</v>
      </c>
      <c r="K203" t="s">
        <v>413</v>
      </c>
      <c r="L203" t="s">
        <v>414</v>
      </c>
      <c r="M203" t="s">
        <v>415</v>
      </c>
      <c r="N203">
        <v>89434</v>
      </c>
      <c r="O203" t="s">
        <v>416</v>
      </c>
      <c r="P203" t="s">
        <v>417</v>
      </c>
      <c r="Q203" t="s">
        <v>46</v>
      </c>
      <c r="R203">
        <v>415588</v>
      </c>
      <c r="S203" t="s">
        <v>418</v>
      </c>
      <c r="T203" s="2">
        <v>2</v>
      </c>
      <c r="U203">
        <v>0</v>
      </c>
      <c r="V203" t="s">
        <v>284</v>
      </c>
      <c r="W203">
        <v>1</v>
      </c>
      <c r="X203">
        <v>1</v>
      </c>
      <c r="Y203">
        <v>0</v>
      </c>
      <c r="Z203" t="s">
        <v>421</v>
      </c>
      <c r="AA203" t="s">
        <v>422</v>
      </c>
      <c r="AB203" t="s">
        <v>14</v>
      </c>
      <c r="AC203">
        <v>263.53190000000001</v>
      </c>
      <c r="AD203">
        <v>263.52999999999997</v>
      </c>
      <c r="AE203" t="s">
        <v>2</v>
      </c>
      <c r="AF203">
        <v>474.36</v>
      </c>
      <c r="AG203">
        <v>0</v>
      </c>
      <c r="AH203">
        <v>0</v>
      </c>
      <c r="AI203">
        <v>474.36</v>
      </c>
      <c r="AJ203" t="s">
        <v>2</v>
      </c>
      <c r="AK203" t="s">
        <v>11</v>
      </c>
    </row>
    <row r="204" spans="1:37">
      <c r="A204">
        <v>257685</v>
      </c>
      <c r="B204" s="1">
        <v>45366</v>
      </c>
      <c r="C204" t="s">
        <v>411</v>
      </c>
      <c r="D204" t="s">
        <v>412</v>
      </c>
      <c r="E204" t="s">
        <v>413</v>
      </c>
      <c r="F204" t="s">
        <v>414</v>
      </c>
      <c r="G204" t="s">
        <v>415</v>
      </c>
      <c r="H204">
        <v>89434</v>
      </c>
      <c r="I204" t="s">
        <v>411</v>
      </c>
      <c r="J204" t="s">
        <v>412</v>
      </c>
      <c r="K204" t="s">
        <v>413</v>
      </c>
      <c r="L204" t="s">
        <v>414</v>
      </c>
      <c r="M204" t="s">
        <v>415</v>
      </c>
      <c r="N204">
        <v>89434</v>
      </c>
      <c r="O204" t="s">
        <v>416</v>
      </c>
      <c r="P204" t="s">
        <v>417</v>
      </c>
      <c r="Q204" t="s">
        <v>46</v>
      </c>
      <c r="R204">
        <v>415588</v>
      </c>
      <c r="S204" t="s">
        <v>418</v>
      </c>
      <c r="T204" s="2">
        <v>2</v>
      </c>
      <c r="U204">
        <v>0</v>
      </c>
      <c r="V204" t="s">
        <v>284</v>
      </c>
      <c r="W204">
        <v>0</v>
      </c>
      <c r="X204">
        <v>0</v>
      </c>
      <c r="Y204">
        <v>0</v>
      </c>
      <c r="Z204" t="s">
        <v>88</v>
      </c>
      <c r="AA204" t="s">
        <v>251</v>
      </c>
      <c r="AB204" t="s">
        <v>10</v>
      </c>
      <c r="AC204">
        <v>0</v>
      </c>
      <c r="AD204">
        <v>0</v>
      </c>
      <c r="AE204" t="s">
        <v>2</v>
      </c>
      <c r="AF204">
        <v>474.36</v>
      </c>
      <c r="AG204">
        <v>0</v>
      </c>
      <c r="AH204">
        <v>0</v>
      </c>
      <c r="AI204">
        <v>474.36</v>
      </c>
      <c r="AJ204" t="s">
        <v>2</v>
      </c>
      <c r="AK204" t="s">
        <v>11</v>
      </c>
    </row>
    <row r="205" spans="1:37">
      <c r="A205">
        <v>257685</v>
      </c>
      <c r="B205" s="1">
        <v>45366</v>
      </c>
      <c r="C205" t="s">
        <v>411</v>
      </c>
      <c r="D205" t="s">
        <v>412</v>
      </c>
      <c r="E205" t="s">
        <v>413</v>
      </c>
      <c r="F205" t="s">
        <v>414</v>
      </c>
      <c r="G205" t="s">
        <v>415</v>
      </c>
      <c r="H205">
        <v>89434</v>
      </c>
      <c r="I205" t="s">
        <v>411</v>
      </c>
      <c r="J205" t="s">
        <v>412</v>
      </c>
      <c r="K205" t="s">
        <v>413</v>
      </c>
      <c r="L205" t="s">
        <v>414</v>
      </c>
      <c r="M205" t="s">
        <v>415</v>
      </c>
      <c r="N205">
        <v>89434</v>
      </c>
      <c r="O205" t="s">
        <v>416</v>
      </c>
      <c r="P205" t="s">
        <v>417</v>
      </c>
      <c r="Q205" t="s">
        <v>46</v>
      </c>
      <c r="R205">
        <v>415588</v>
      </c>
      <c r="S205" t="s">
        <v>418</v>
      </c>
      <c r="T205" s="2">
        <v>2</v>
      </c>
      <c r="U205">
        <v>0</v>
      </c>
      <c r="V205" t="s">
        <v>284</v>
      </c>
      <c r="W205">
        <v>0</v>
      </c>
      <c r="X205">
        <v>0</v>
      </c>
      <c r="Y205">
        <v>0</v>
      </c>
      <c r="Z205" t="s">
        <v>88</v>
      </c>
      <c r="AA205" t="s">
        <v>423</v>
      </c>
      <c r="AB205" t="s">
        <v>10</v>
      </c>
      <c r="AC205">
        <v>0</v>
      </c>
      <c r="AD205">
        <v>0</v>
      </c>
      <c r="AE205" t="s">
        <v>2</v>
      </c>
      <c r="AF205">
        <v>474.36</v>
      </c>
      <c r="AG205">
        <v>0</v>
      </c>
      <c r="AH205">
        <v>0</v>
      </c>
      <c r="AI205">
        <v>474.36</v>
      </c>
      <c r="AJ205" t="s">
        <v>2</v>
      </c>
      <c r="AK205" t="s">
        <v>11</v>
      </c>
    </row>
    <row r="206" spans="1:37">
      <c r="A206">
        <v>257686</v>
      </c>
      <c r="B206" s="1">
        <v>45366</v>
      </c>
      <c r="C206" t="s">
        <v>424</v>
      </c>
      <c r="D206" t="s">
        <v>425</v>
      </c>
      <c r="E206" t="s">
        <v>426</v>
      </c>
      <c r="F206" t="s">
        <v>427</v>
      </c>
      <c r="G206" t="s">
        <v>103</v>
      </c>
      <c r="H206">
        <v>10013</v>
      </c>
      <c r="I206" t="s">
        <v>428</v>
      </c>
      <c r="J206" t="s">
        <v>429</v>
      </c>
      <c r="K206" t="s">
        <v>2</v>
      </c>
      <c r="L206" t="s">
        <v>430</v>
      </c>
      <c r="M206" t="s">
        <v>35</v>
      </c>
      <c r="N206">
        <v>64030</v>
      </c>
      <c r="O206" t="s">
        <v>431</v>
      </c>
      <c r="P206">
        <v>1054873</v>
      </c>
      <c r="Q206" t="s">
        <v>21</v>
      </c>
      <c r="R206">
        <v>415608</v>
      </c>
      <c r="S206" t="s">
        <v>84</v>
      </c>
      <c r="T206" s="2">
        <v>1</v>
      </c>
      <c r="U206">
        <v>0</v>
      </c>
      <c r="V206" t="s">
        <v>260</v>
      </c>
      <c r="W206">
        <v>0</v>
      </c>
      <c r="X206">
        <v>0</v>
      </c>
      <c r="Y206">
        <v>0</v>
      </c>
      <c r="Z206" t="s">
        <v>9</v>
      </c>
      <c r="AA206" t="s">
        <v>2</v>
      </c>
      <c r="AB206" t="s">
        <v>10</v>
      </c>
      <c r="AC206">
        <v>0</v>
      </c>
      <c r="AD206">
        <v>0</v>
      </c>
      <c r="AE206">
        <v>726182084597</v>
      </c>
      <c r="AF206">
        <v>2078.61</v>
      </c>
      <c r="AG206">
        <v>0</v>
      </c>
      <c r="AH206">
        <v>71.739999999999995</v>
      </c>
      <c r="AI206">
        <v>2150.35</v>
      </c>
      <c r="AJ206" t="s">
        <v>2</v>
      </c>
      <c r="AK206" t="s">
        <v>11</v>
      </c>
    </row>
    <row r="207" spans="1:37">
      <c r="A207">
        <v>257686</v>
      </c>
      <c r="B207" s="1">
        <v>45366</v>
      </c>
      <c r="C207" t="s">
        <v>424</v>
      </c>
      <c r="D207" t="s">
        <v>425</v>
      </c>
      <c r="E207" t="s">
        <v>426</v>
      </c>
      <c r="F207" t="s">
        <v>427</v>
      </c>
      <c r="G207" t="s">
        <v>103</v>
      </c>
      <c r="H207">
        <v>10013</v>
      </c>
      <c r="I207" t="s">
        <v>428</v>
      </c>
      <c r="J207" t="s">
        <v>429</v>
      </c>
      <c r="K207" t="s">
        <v>2</v>
      </c>
      <c r="L207" t="s">
        <v>430</v>
      </c>
      <c r="M207" t="s">
        <v>35</v>
      </c>
      <c r="N207">
        <v>64030</v>
      </c>
      <c r="O207" t="s">
        <v>431</v>
      </c>
      <c r="P207">
        <v>1054873</v>
      </c>
      <c r="Q207" t="s">
        <v>21</v>
      </c>
      <c r="R207">
        <v>415608</v>
      </c>
      <c r="S207" t="s">
        <v>84</v>
      </c>
      <c r="T207" s="2">
        <v>1</v>
      </c>
      <c r="U207">
        <v>0</v>
      </c>
      <c r="V207" t="s">
        <v>260</v>
      </c>
      <c r="W207">
        <v>3</v>
      </c>
      <c r="X207">
        <v>1</v>
      </c>
      <c r="Y207">
        <v>2</v>
      </c>
      <c r="Z207" t="s">
        <v>432</v>
      </c>
      <c r="AA207" t="s">
        <v>433</v>
      </c>
      <c r="AB207" t="s">
        <v>14</v>
      </c>
      <c r="AC207">
        <v>2078.6091999999999</v>
      </c>
      <c r="AD207">
        <v>2078.61</v>
      </c>
      <c r="AE207">
        <v>726182084597</v>
      </c>
      <c r="AF207">
        <v>2078.61</v>
      </c>
      <c r="AG207">
        <v>0</v>
      </c>
      <c r="AH207">
        <v>71.739999999999995</v>
      </c>
      <c r="AI207">
        <v>2150.35</v>
      </c>
      <c r="AJ207" t="s">
        <v>2</v>
      </c>
      <c r="AK207" t="s">
        <v>11</v>
      </c>
    </row>
    <row r="208" spans="1:37">
      <c r="A208">
        <v>257686</v>
      </c>
      <c r="B208" s="1">
        <v>45366</v>
      </c>
      <c r="C208" t="s">
        <v>424</v>
      </c>
      <c r="D208" t="s">
        <v>425</v>
      </c>
      <c r="E208" t="s">
        <v>426</v>
      </c>
      <c r="F208" t="s">
        <v>427</v>
      </c>
      <c r="G208" t="s">
        <v>103</v>
      </c>
      <c r="H208">
        <v>10013</v>
      </c>
      <c r="I208" t="s">
        <v>428</v>
      </c>
      <c r="J208" t="s">
        <v>429</v>
      </c>
      <c r="K208" t="s">
        <v>2</v>
      </c>
      <c r="L208" t="s">
        <v>430</v>
      </c>
      <c r="M208" t="s">
        <v>35</v>
      </c>
      <c r="N208">
        <v>64030</v>
      </c>
      <c r="O208" t="s">
        <v>431</v>
      </c>
      <c r="P208">
        <v>1054873</v>
      </c>
      <c r="Q208" t="s">
        <v>21</v>
      </c>
      <c r="R208">
        <v>415608</v>
      </c>
      <c r="S208" t="s">
        <v>84</v>
      </c>
      <c r="T208" s="2">
        <v>1</v>
      </c>
      <c r="U208">
        <v>0</v>
      </c>
      <c r="V208" t="s">
        <v>260</v>
      </c>
      <c r="W208">
        <v>0</v>
      </c>
      <c r="X208">
        <v>0</v>
      </c>
      <c r="Y208">
        <v>0</v>
      </c>
      <c r="Z208" t="s">
        <v>88</v>
      </c>
      <c r="AA208" t="s">
        <v>434</v>
      </c>
      <c r="AB208" t="s">
        <v>10</v>
      </c>
      <c r="AC208">
        <v>0</v>
      </c>
      <c r="AD208">
        <v>0</v>
      </c>
      <c r="AE208">
        <v>726182084597</v>
      </c>
      <c r="AF208">
        <v>2078.61</v>
      </c>
      <c r="AG208">
        <v>0</v>
      </c>
      <c r="AH208">
        <v>71.739999999999995</v>
      </c>
      <c r="AI208">
        <v>2150.35</v>
      </c>
      <c r="AJ208" t="s">
        <v>2</v>
      </c>
      <c r="AK208" t="s">
        <v>11</v>
      </c>
    </row>
    <row r="209" spans="1:37">
      <c r="A209">
        <v>257687</v>
      </c>
      <c r="B209" s="1">
        <v>45366</v>
      </c>
      <c r="C209" t="s">
        <v>424</v>
      </c>
      <c r="D209" t="s">
        <v>425</v>
      </c>
      <c r="E209" t="s">
        <v>426</v>
      </c>
      <c r="F209" t="s">
        <v>427</v>
      </c>
      <c r="G209" t="s">
        <v>103</v>
      </c>
      <c r="H209">
        <v>10013</v>
      </c>
      <c r="I209" t="s">
        <v>435</v>
      </c>
      <c r="J209" t="s">
        <v>436</v>
      </c>
      <c r="K209" t="s">
        <v>437</v>
      </c>
      <c r="L209" t="s">
        <v>438</v>
      </c>
      <c r="M209" t="s">
        <v>439</v>
      </c>
      <c r="N209">
        <v>67226</v>
      </c>
      <c r="O209" t="s">
        <v>431</v>
      </c>
      <c r="P209">
        <v>1054875</v>
      </c>
      <c r="Q209" t="s">
        <v>21</v>
      </c>
      <c r="R209">
        <v>415639</v>
      </c>
      <c r="S209" t="s">
        <v>84</v>
      </c>
      <c r="T209" s="2">
        <v>1</v>
      </c>
      <c r="U209">
        <v>0</v>
      </c>
      <c r="V209" t="s">
        <v>260</v>
      </c>
      <c r="W209">
        <v>0</v>
      </c>
      <c r="X209">
        <v>0</v>
      </c>
      <c r="Y209">
        <v>0</v>
      </c>
      <c r="Z209" t="s">
        <v>9</v>
      </c>
      <c r="AA209" t="s">
        <v>2</v>
      </c>
      <c r="AB209" t="s">
        <v>10</v>
      </c>
      <c r="AC209">
        <v>0</v>
      </c>
      <c r="AD209">
        <v>0</v>
      </c>
      <c r="AE209">
        <v>726182084884</v>
      </c>
      <c r="AF209">
        <v>205.42</v>
      </c>
      <c r="AG209">
        <v>0</v>
      </c>
      <c r="AH209">
        <v>42.82</v>
      </c>
      <c r="AI209">
        <v>248.24</v>
      </c>
      <c r="AJ209" t="s">
        <v>2</v>
      </c>
      <c r="AK209" t="s">
        <v>11</v>
      </c>
    </row>
    <row r="210" spans="1:37">
      <c r="A210">
        <v>257687</v>
      </c>
      <c r="B210" s="1">
        <v>45366</v>
      </c>
      <c r="C210" t="s">
        <v>424</v>
      </c>
      <c r="D210" t="s">
        <v>425</v>
      </c>
      <c r="E210" t="s">
        <v>426</v>
      </c>
      <c r="F210" t="s">
        <v>427</v>
      </c>
      <c r="G210" t="s">
        <v>103</v>
      </c>
      <c r="H210">
        <v>10013</v>
      </c>
      <c r="I210" t="s">
        <v>435</v>
      </c>
      <c r="J210" t="s">
        <v>436</v>
      </c>
      <c r="K210" t="s">
        <v>437</v>
      </c>
      <c r="L210" t="s">
        <v>438</v>
      </c>
      <c r="M210" t="s">
        <v>439</v>
      </c>
      <c r="N210">
        <v>67226</v>
      </c>
      <c r="O210" t="s">
        <v>431</v>
      </c>
      <c r="P210">
        <v>1054875</v>
      </c>
      <c r="Q210" t="s">
        <v>21</v>
      </c>
      <c r="R210">
        <v>415639</v>
      </c>
      <c r="S210" t="s">
        <v>84</v>
      </c>
      <c r="T210" s="2">
        <v>1</v>
      </c>
      <c r="U210">
        <v>0</v>
      </c>
      <c r="V210" t="s">
        <v>260</v>
      </c>
      <c r="W210">
        <v>1</v>
      </c>
      <c r="X210">
        <v>0</v>
      </c>
      <c r="Y210">
        <v>1</v>
      </c>
      <c r="Z210" t="s">
        <v>440</v>
      </c>
      <c r="AA210" t="s">
        <v>441</v>
      </c>
      <c r="AB210" t="s">
        <v>14</v>
      </c>
      <c r="AC210">
        <v>159.73679999999999</v>
      </c>
      <c r="AD210">
        <v>0</v>
      </c>
      <c r="AE210">
        <v>726182084884</v>
      </c>
      <c r="AF210">
        <v>205.42</v>
      </c>
      <c r="AG210">
        <v>0</v>
      </c>
      <c r="AH210">
        <v>42.82</v>
      </c>
      <c r="AI210">
        <v>248.24</v>
      </c>
      <c r="AJ210" t="s">
        <v>2</v>
      </c>
      <c r="AK210" t="s">
        <v>11</v>
      </c>
    </row>
    <row r="211" spans="1:37">
      <c r="A211">
        <v>257687</v>
      </c>
      <c r="B211" s="1">
        <v>45366</v>
      </c>
      <c r="C211" t="s">
        <v>424</v>
      </c>
      <c r="D211" t="s">
        <v>425</v>
      </c>
      <c r="E211" t="s">
        <v>426</v>
      </c>
      <c r="F211" t="s">
        <v>427</v>
      </c>
      <c r="G211" t="s">
        <v>103</v>
      </c>
      <c r="H211">
        <v>10013</v>
      </c>
      <c r="I211" t="s">
        <v>435</v>
      </c>
      <c r="J211" t="s">
        <v>436</v>
      </c>
      <c r="K211" t="s">
        <v>437</v>
      </c>
      <c r="L211" t="s">
        <v>438</v>
      </c>
      <c r="M211" t="s">
        <v>439</v>
      </c>
      <c r="N211">
        <v>67226</v>
      </c>
      <c r="O211" t="s">
        <v>431</v>
      </c>
      <c r="P211">
        <v>1054875</v>
      </c>
      <c r="Q211" t="s">
        <v>21</v>
      </c>
      <c r="R211">
        <v>415639</v>
      </c>
      <c r="S211" t="s">
        <v>84</v>
      </c>
      <c r="T211" s="2">
        <v>1</v>
      </c>
      <c r="U211">
        <v>0</v>
      </c>
      <c r="V211" t="s">
        <v>260</v>
      </c>
      <c r="W211">
        <v>0</v>
      </c>
      <c r="X211">
        <v>0</v>
      </c>
      <c r="Y211">
        <v>0</v>
      </c>
      <c r="Z211" t="s">
        <v>88</v>
      </c>
      <c r="AA211" t="s">
        <v>442</v>
      </c>
      <c r="AB211" t="s">
        <v>10</v>
      </c>
      <c r="AC211">
        <v>0</v>
      </c>
      <c r="AD211">
        <v>0</v>
      </c>
      <c r="AE211">
        <v>726182084884</v>
      </c>
      <c r="AF211">
        <v>205.42</v>
      </c>
      <c r="AG211">
        <v>0</v>
      </c>
      <c r="AH211">
        <v>42.82</v>
      </c>
      <c r="AI211">
        <v>248.24</v>
      </c>
      <c r="AJ211" t="s">
        <v>2</v>
      </c>
      <c r="AK211" t="s">
        <v>11</v>
      </c>
    </row>
    <row r="212" spans="1:37">
      <c r="A212">
        <v>257687</v>
      </c>
      <c r="B212" s="1">
        <v>45366</v>
      </c>
      <c r="C212" t="s">
        <v>424</v>
      </c>
      <c r="D212" t="s">
        <v>425</v>
      </c>
      <c r="E212" t="s">
        <v>426</v>
      </c>
      <c r="F212" t="s">
        <v>427</v>
      </c>
      <c r="G212" t="s">
        <v>103</v>
      </c>
      <c r="H212">
        <v>10013</v>
      </c>
      <c r="I212" t="s">
        <v>435</v>
      </c>
      <c r="J212" t="s">
        <v>436</v>
      </c>
      <c r="K212" t="s">
        <v>437</v>
      </c>
      <c r="L212" t="s">
        <v>438</v>
      </c>
      <c r="M212" t="s">
        <v>439</v>
      </c>
      <c r="N212">
        <v>67226</v>
      </c>
      <c r="O212" t="s">
        <v>431</v>
      </c>
      <c r="P212">
        <v>1054875</v>
      </c>
      <c r="Q212" t="s">
        <v>21</v>
      </c>
      <c r="R212">
        <v>415639</v>
      </c>
      <c r="S212" t="s">
        <v>84</v>
      </c>
      <c r="T212" s="2">
        <v>1</v>
      </c>
      <c r="U212">
        <v>0</v>
      </c>
      <c r="V212" t="s">
        <v>260</v>
      </c>
      <c r="W212">
        <v>1</v>
      </c>
      <c r="X212">
        <v>0</v>
      </c>
      <c r="Y212">
        <v>1</v>
      </c>
      <c r="Z212" t="s">
        <v>443</v>
      </c>
      <c r="AA212" t="s">
        <v>444</v>
      </c>
      <c r="AB212" t="s">
        <v>14</v>
      </c>
      <c r="AC212">
        <v>209.53630000000001</v>
      </c>
      <c r="AD212">
        <v>0</v>
      </c>
      <c r="AE212">
        <v>726182084884</v>
      </c>
      <c r="AF212">
        <v>205.42</v>
      </c>
      <c r="AG212">
        <v>0</v>
      </c>
      <c r="AH212">
        <v>42.82</v>
      </c>
      <c r="AI212">
        <v>248.24</v>
      </c>
      <c r="AJ212" t="s">
        <v>2</v>
      </c>
      <c r="AK212" t="s">
        <v>11</v>
      </c>
    </row>
    <row r="213" spans="1:37">
      <c r="A213">
        <v>257687</v>
      </c>
      <c r="B213" s="1">
        <v>45366</v>
      </c>
      <c r="C213" t="s">
        <v>424</v>
      </c>
      <c r="D213" t="s">
        <v>425</v>
      </c>
      <c r="E213" t="s">
        <v>426</v>
      </c>
      <c r="F213" t="s">
        <v>427</v>
      </c>
      <c r="G213" t="s">
        <v>103</v>
      </c>
      <c r="H213">
        <v>10013</v>
      </c>
      <c r="I213" t="s">
        <v>435</v>
      </c>
      <c r="J213" t="s">
        <v>436</v>
      </c>
      <c r="K213" t="s">
        <v>437</v>
      </c>
      <c r="L213" t="s">
        <v>438</v>
      </c>
      <c r="M213" t="s">
        <v>439</v>
      </c>
      <c r="N213">
        <v>67226</v>
      </c>
      <c r="O213" t="s">
        <v>431</v>
      </c>
      <c r="P213">
        <v>1054875</v>
      </c>
      <c r="Q213" t="s">
        <v>21</v>
      </c>
      <c r="R213">
        <v>415639</v>
      </c>
      <c r="S213" t="s">
        <v>84</v>
      </c>
      <c r="T213" s="2">
        <v>1</v>
      </c>
      <c r="U213">
        <v>0</v>
      </c>
      <c r="V213" t="s">
        <v>260</v>
      </c>
      <c r="W213">
        <v>0</v>
      </c>
      <c r="X213">
        <v>0</v>
      </c>
      <c r="Y213">
        <v>0</v>
      </c>
      <c r="Z213" t="s">
        <v>88</v>
      </c>
      <c r="AA213" t="s">
        <v>445</v>
      </c>
      <c r="AB213" t="s">
        <v>10</v>
      </c>
      <c r="AC213">
        <v>0</v>
      </c>
      <c r="AD213">
        <v>0</v>
      </c>
      <c r="AE213">
        <v>726182084884</v>
      </c>
      <c r="AF213">
        <v>205.42</v>
      </c>
      <c r="AG213">
        <v>0</v>
      </c>
      <c r="AH213">
        <v>42.82</v>
      </c>
      <c r="AI213">
        <v>248.24</v>
      </c>
      <c r="AJ213" t="s">
        <v>2</v>
      </c>
      <c r="AK213" t="s">
        <v>11</v>
      </c>
    </row>
    <row r="214" spans="1:37">
      <c r="A214">
        <v>257687</v>
      </c>
      <c r="B214" s="1">
        <v>45366</v>
      </c>
      <c r="C214" t="s">
        <v>424</v>
      </c>
      <c r="D214" t="s">
        <v>425</v>
      </c>
      <c r="E214" t="s">
        <v>426</v>
      </c>
      <c r="F214" t="s">
        <v>427</v>
      </c>
      <c r="G214" t="s">
        <v>103</v>
      </c>
      <c r="H214">
        <v>10013</v>
      </c>
      <c r="I214" t="s">
        <v>435</v>
      </c>
      <c r="J214" t="s">
        <v>436</v>
      </c>
      <c r="K214" t="s">
        <v>437</v>
      </c>
      <c r="L214" t="s">
        <v>438</v>
      </c>
      <c r="M214" t="s">
        <v>439</v>
      </c>
      <c r="N214">
        <v>67226</v>
      </c>
      <c r="O214" t="s">
        <v>431</v>
      </c>
      <c r="P214">
        <v>1054875</v>
      </c>
      <c r="Q214" t="s">
        <v>21</v>
      </c>
      <c r="R214">
        <v>415639</v>
      </c>
      <c r="S214" t="s">
        <v>84</v>
      </c>
      <c r="T214" s="2">
        <v>1</v>
      </c>
      <c r="U214">
        <v>0</v>
      </c>
      <c r="V214" t="s">
        <v>260</v>
      </c>
      <c r="W214">
        <v>1</v>
      </c>
      <c r="X214">
        <v>1</v>
      </c>
      <c r="Y214">
        <v>0</v>
      </c>
      <c r="Z214" t="s">
        <v>446</v>
      </c>
      <c r="AA214" t="s">
        <v>447</v>
      </c>
      <c r="AB214" t="s">
        <v>14</v>
      </c>
      <c r="AC214">
        <v>205.422</v>
      </c>
      <c r="AD214">
        <v>205.42</v>
      </c>
      <c r="AE214">
        <v>726182084884</v>
      </c>
      <c r="AF214">
        <v>205.42</v>
      </c>
      <c r="AG214">
        <v>0</v>
      </c>
      <c r="AH214">
        <v>42.82</v>
      </c>
      <c r="AI214">
        <v>248.24</v>
      </c>
      <c r="AJ214" t="s">
        <v>2</v>
      </c>
      <c r="AK214" t="s">
        <v>11</v>
      </c>
    </row>
    <row r="215" spans="1:37">
      <c r="A215">
        <v>257687</v>
      </c>
      <c r="B215" s="1">
        <v>45366</v>
      </c>
      <c r="C215" t="s">
        <v>424</v>
      </c>
      <c r="D215" t="s">
        <v>425</v>
      </c>
      <c r="E215" t="s">
        <v>426</v>
      </c>
      <c r="F215" t="s">
        <v>427</v>
      </c>
      <c r="G215" t="s">
        <v>103</v>
      </c>
      <c r="H215">
        <v>10013</v>
      </c>
      <c r="I215" t="s">
        <v>435</v>
      </c>
      <c r="J215" t="s">
        <v>436</v>
      </c>
      <c r="K215" t="s">
        <v>437</v>
      </c>
      <c r="L215" t="s">
        <v>438</v>
      </c>
      <c r="M215" t="s">
        <v>439</v>
      </c>
      <c r="N215">
        <v>67226</v>
      </c>
      <c r="O215" t="s">
        <v>431</v>
      </c>
      <c r="P215">
        <v>1054875</v>
      </c>
      <c r="Q215" t="s">
        <v>21</v>
      </c>
      <c r="R215">
        <v>415639</v>
      </c>
      <c r="S215" t="s">
        <v>84</v>
      </c>
      <c r="T215" s="2">
        <v>1</v>
      </c>
      <c r="U215">
        <v>0</v>
      </c>
      <c r="V215" t="s">
        <v>260</v>
      </c>
      <c r="W215">
        <v>0</v>
      </c>
      <c r="X215">
        <v>0</v>
      </c>
      <c r="Y215">
        <v>0</v>
      </c>
      <c r="Z215" t="s">
        <v>88</v>
      </c>
      <c r="AA215" t="s">
        <v>448</v>
      </c>
      <c r="AB215" t="s">
        <v>10</v>
      </c>
      <c r="AC215">
        <v>0</v>
      </c>
      <c r="AD215">
        <v>0</v>
      </c>
      <c r="AE215">
        <v>726182084884</v>
      </c>
      <c r="AF215">
        <v>205.42</v>
      </c>
      <c r="AG215">
        <v>0</v>
      </c>
      <c r="AH215">
        <v>42.82</v>
      </c>
      <c r="AI215">
        <v>248.24</v>
      </c>
      <c r="AJ215" t="s">
        <v>2</v>
      </c>
      <c r="AK215" t="s">
        <v>11</v>
      </c>
    </row>
    <row r="216" spans="1:37">
      <c r="A216">
        <v>257687</v>
      </c>
      <c r="B216" s="1">
        <v>45366</v>
      </c>
      <c r="C216" t="s">
        <v>424</v>
      </c>
      <c r="D216" t="s">
        <v>425</v>
      </c>
      <c r="E216" t="s">
        <v>426</v>
      </c>
      <c r="F216" t="s">
        <v>427</v>
      </c>
      <c r="G216" t="s">
        <v>103</v>
      </c>
      <c r="H216">
        <v>10013</v>
      </c>
      <c r="I216" t="s">
        <v>435</v>
      </c>
      <c r="J216" t="s">
        <v>436</v>
      </c>
      <c r="K216" t="s">
        <v>437</v>
      </c>
      <c r="L216" t="s">
        <v>438</v>
      </c>
      <c r="M216" t="s">
        <v>439</v>
      </c>
      <c r="N216">
        <v>67226</v>
      </c>
      <c r="O216" t="s">
        <v>431</v>
      </c>
      <c r="P216">
        <v>1054875</v>
      </c>
      <c r="Q216" t="s">
        <v>21</v>
      </c>
      <c r="R216">
        <v>415639</v>
      </c>
      <c r="S216" t="s">
        <v>84</v>
      </c>
      <c r="T216" s="2">
        <v>1</v>
      </c>
      <c r="U216">
        <v>0</v>
      </c>
      <c r="V216" t="s">
        <v>260</v>
      </c>
      <c r="W216">
        <v>0</v>
      </c>
      <c r="X216">
        <v>0</v>
      </c>
      <c r="Y216">
        <v>0</v>
      </c>
      <c r="Z216" t="s">
        <v>88</v>
      </c>
      <c r="AA216" t="s">
        <v>2</v>
      </c>
      <c r="AB216" t="s">
        <v>10</v>
      </c>
      <c r="AC216">
        <v>0</v>
      </c>
      <c r="AD216">
        <v>0</v>
      </c>
      <c r="AE216">
        <v>726182084884</v>
      </c>
      <c r="AF216">
        <v>205.42</v>
      </c>
      <c r="AG216">
        <v>0</v>
      </c>
      <c r="AH216">
        <v>42.82</v>
      </c>
      <c r="AI216">
        <v>248.24</v>
      </c>
      <c r="AJ216" t="s">
        <v>2</v>
      </c>
      <c r="AK216" t="s">
        <v>11</v>
      </c>
    </row>
    <row r="217" spans="1:37">
      <c r="A217">
        <v>257687</v>
      </c>
      <c r="B217" s="1">
        <v>45366</v>
      </c>
      <c r="C217" t="s">
        <v>424</v>
      </c>
      <c r="D217" t="s">
        <v>425</v>
      </c>
      <c r="E217" t="s">
        <v>426</v>
      </c>
      <c r="F217" t="s">
        <v>427</v>
      </c>
      <c r="G217" t="s">
        <v>103</v>
      </c>
      <c r="H217">
        <v>10013</v>
      </c>
      <c r="I217" t="s">
        <v>435</v>
      </c>
      <c r="J217" t="s">
        <v>436</v>
      </c>
      <c r="K217" t="s">
        <v>437</v>
      </c>
      <c r="L217" t="s">
        <v>438</v>
      </c>
      <c r="M217" t="s">
        <v>439</v>
      </c>
      <c r="N217">
        <v>67226</v>
      </c>
      <c r="O217" t="s">
        <v>431</v>
      </c>
      <c r="P217">
        <v>1054875</v>
      </c>
      <c r="Q217" t="s">
        <v>21</v>
      </c>
      <c r="R217">
        <v>415639</v>
      </c>
      <c r="S217" t="s">
        <v>84</v>
      </c>
      <c r="T217" s="2">
        <v>1</v>
      </c>
      <c r="U217">
        <v>0</v>
      </c>
      <c r="V217" t="s">
        <v>260</v>
      </c>
      <c r="W217">
        <v>0</v>
      </c>
      <c r="X217">
        <v>0</v>
      </c>
      <c r="Y217">
        <v>0</v>
      </c>
      <c r="Z217" t="s">
        <v>88</v>
      </c>
      <c r="AA217" t="s">
        <v>449</v>
      </c>
      <c r="AB217" t="s">
        <v>10</v>
      </c>
      <c r="AC217">
        <v>0</v>
      </c>
      <c r="AD217">
        <v>0</v>
      </c>
      <c r="AE217">
        <v>726182084884</v>
      </c>
      <c r="AF217">
        <v>205.42</v>
      </c>
      <c r="AG217">
        <v>0</v>
      </c>
      <c r="AH217">
        <v>42.82</v>
      </c>
      <c r="AI217">
        <v>248.24</v>
      </c>
      <c r="AJ217" t="s">
        <v>2</v>
      </c>
      <c r="AK217" t="s">
        <v>11</v>
      </c>
    </row>
    <row r="218" spans="1:37">
      <c r="A218">
        <v>257689</v>
      </c>
      <c r="B218" s="1">
        <v>45366</v>
      </c>
      <c r="C218" t="s">
        <v>450</v>
      </c>
      <c r="D218" t="s">
        <v>451</v>
      </c>
      <c r="E218" t="s">
        <v>452</v>
      </c>
      <c r="F218" t="s">
        <v>453</v>
      </c>
      <c r="G218" t="s">
        <v>255</v>
      </c>
      <c r="H218">
        <v>60517</v>
      </c>
      <c r="I218" t="s">
        <v>454</v>
      </c>
      <c r="J218" t="s">
        <v>455</v>
      </c>
      <c r="K218" t="s">
        <v>2</v>
      </c>
      <c r="L218" t="s">
        <v>456</v>
      </c>
      <c r="M218" t="s">
        <v>255</v>
      </c>
      <c r="N218" t="s">
        <v>457</v>
      </c>
      <c r="O218" t="s">
        <v>458</v>
      </c>
      <c r="P218">
        <v>2278790</v>
      </c>
      <c r="Q218" t="s">
        <v>38</v>
      </c>
      <c r="R218">
        <v>415709</v>
      </c>
      <c r="S218" t="s">
        <v>84</v>
      </c>
      <c r="T218" s="2">
        <v>1</v>
      </c>
      <c r="U218">
        <v>0</v>
      </c>
      <c r="V218" t="s">
        <v>153</v>
      </c>
      <c r="W218">
        <v>0</v>
      </c>
      <c r="X218">
        <v>0</v>
      </c>
      <c r="Y218">
        <v>0</v>
      </c>
      <c r="Z218" t="s">
        <v>9</v>
      </c>
      <c r="AA218" t="s">
        <v>2</v>
      </c>
      <c r="AB218" t="s">
        <v>10</v>
      </c>
      <c r="AC218">
        <v>0</v>
      </c>
      <c r="AD218">
        <v>0</v>
      </c>
      <c r="AE218">
        <v>726182085218</v>
      </c>
      <c r="AF218">
        <v>65.36</v>
      </c>
      <c r="AG218">
        <v>0</v>
      </c>
      <c r="AH218">
        <v>34.42</v>
      </c>
      <c r="AI218">
        <v>99.78</v>
      </c>
      <c r="AJ218" t="s">
        <v>2</v>
      </c>
      <c r="AK218" t="s">
        <v>11</v>
      </c>
    </row>
    <row r="219" spans="1:37">
      <c r="A219">
        <v>257689</v>
      </c>
      <c r="B219" s="1">
        <v>45366</v>
      </c>
      <c r="C219" t="s">
        <v>450</v>
      </c>
      <c r="D219" t="s">
        <v>451</v>
      </c>
      <c r="E219" t="s">
        <v>452</v>
      </c>
      <c r="F219" t="s">
        <v>453</v>
      </c>
      <c r="G219" t="s">
        <v>255</v>
      </c>
      <c r="H219">
        <v>60517</v>
      </c>
      <c r="I219" t="s">
        <v>454</v>
      </c>
      <c r="J219" t="s">
        <v>455</v>
      </c>
      <c r="K219" t="s">
        <v>2</v>
      </c>
      <c r="L219" t="s">
        <v>456</v>
      </c>
      <c r="M219" t="s">
        <v>255</v>
      </c>
      <c r="N219" t="s">
        <v>457</v>
      </c>
      <c r="O219" t="s">
        <v>458</v>
      </c>
      <c r="P219">
        <v>2278790</v>
      </c>
      <c r="Q219" t="s">
        <v>38</v>
      </c>
      <c r="R219">
        <v>415709</v>
      </c>
      <c r="S219" t="s">
        <v>84</v>
      </c>
      <c r="T219" s="2">
        <v>1</v>
      </c>
      <c r="U219">
        <v>0</v>
      </c>
      <c r="V219" t="s">
        <v>153</v>
      </c>
      <c r="W219">
        <v>1</v>
      </c>
      <c r="X219">
        <v>1</v>
      </c>
      <c r="Y219">
        <v>0</v>
      </c>
      <c r="Z219" t="s">
        <v>459</v>
      </c>
      <c r="AA219" t="s">
        <v>460</v>
      </c>
      <c r="AB219" t="s">
        <v>14</v>
      </c>
      <c r="AC219">
        <v>65.36</v>
      </c>
      <c r="AD219">
        <v>65.36</v>
      </c>
      <c r="AE219">
        <v>726182085218</v>
      </c>
      <c r="AF219">
        <v>65.36</v>
      </c>
      <c r="AG219">
        <v>0</v>
      </c>
      <c r="AH219">
        <v>34.42</v>
      </c>
      <c r="AI219">
        <v>99.78</v>
      </c>
      <c r="AJ219" t="s">
        <v>2</v>
      </c>
      <c r="AK219" t="s">
        <v>11</v>
      </c>
    </row>
    <row r="220" spans="1:37">
      <c r="A220">
        <v>257689</v>
      </c>
      <c r="B220" s="1">
        <v>45366</v>
      </c>
      <c r="C220" t="s">
        <v>450</v>
      </c>
      <c r="D220" t="s">
        <v>451</v>
      </c>
      <c r="E220" t="s">
        <v>452</v>
      </c>
      <c r="F220" t="s">
        <v>453</v>
      </c>
      <c r="G220" t="s">
        <v>255</v>
      </c>
      <c r="H220">
        <v>60517</v>
      </c>
      <c r="I220" t="s">
        <v>454</v>
      </c>
      <c r="J220" t="s">
        <v>455</v>
      </c>
      <c r="K220" t="s">
        <v>2</v>
      </c>
      <c r="L220" t="s">
        <v>456</v>
      </c>
      <c r="M220" t="s">
        <v>255</v>
      </c>
      <c r="N220" t="s">
        <v>457</v>
      </c>
      <c r="O220" t="s">
        <v>458</v>
      </c>
      <c r="P220">
        <v>2278790</v>
      </c>
      <c r="Q220" t="s">
        <v>38</v>
      </c>
      <c r="R220">
        <v>415709</v>
      </c>
      <c r="S220" t="s">
        <v>84</v>
      </c>
      <c r="T220" s="2">
        <v>1</v>
      </c>
      <c r="U220">
        <v>0</v>
      </c>
      <c r="V220" t="s">
        <v>153</v>
      </c>
      <c r="W220">
        <v>0</v>
      </c>
      <c r="X220">
        <v>0</v>
      </c>
      <c r="Y220">
        <v>0</v>
      </c>
      <c r="Z220" t="s">
        <v>88</v>
      </c>
      <c r="AA220" t="s">
        <v>317</v>
      </c>
      <c r="AB220" t="s">
        <v>10</v>
      </c>
      <c r="AC220">
        <v>0</v>
      </c>
      <c r="AD220">
        <v>0</v>
      </c>
      <c r="AE220">
        <v>726182085218</v>
      </c>
      <c r="AF220">
        <v>65.36</v>
      </c>
      <c r="AG220">
        <v>0</v>
      </c>
      <c r="AH220">
        <v>34.42</v>
      </c>
      <c r="AI220">
        <v>99.78</v>
      </c>
      <c r="AJ220" t="s">
        <v>2</v>
      </c>
      <c r="AK220" t="s">
        <v>11</v>
      </c>
    </row>
    <row r="221" spans="1:37">
      <c r="A221">
        <v>257690</v>
      </c>
      <c r="B221" s="1">
        <v>45366</v>
      </c>
      <c r="C221" t="s">
        <v>241</v>
      </c>
      <c r="D221" t="s">
        <v>242</v>
      </c>
      <c r="E221" t="s">
        <v>2</v>
      </c>
      <c r="F221" t="s">
        <v>243</v>
      </c>
      <c r="G221" t="s">
        <v>60</v>
      </c>
      <c r="H221">
        <v>1821</v>
      </c>
      <c r="I221" t="s">
        <v>461</v>
      </c>
      <c r="J221" t="s">
        <v>462</v>
      </c>
      <c r="K221" t="s">
        <v>2</v>
      </c>
      <c r="L221" t="s">
        <v>463</v>
      </c>
      <c r="M221" t="s">
        <v>60</v>
      </c>
      <c r="N221" t="s">
        <v>464</v>
      </c>
      <c r="O221" t="s">
        <v>248</v>
      </c>
      <c r="P221">
        <v>2278791</v>
      </c>
      <c r="Q221" t="s">
        <v>38</v>
      </c>
      <c r="R221">
        <v>415708</v>
      </c>
      <c r="S221" t="s">
        <v>84</v>
      </c>
      <c r="T221" s="2">
        <v>2</v>
      </c>
      <c r="U221">
        <v>0</v>
      </c>
      <c r="V221" t="s">
        <v>153</v>
      </c>
      <c r="W221">
        <v>0</v>
      </c>
      <c r="X221">
        <v>0</v>
      </c>
      <c r="Y221">
        <v>0</v>
      </c>
      <c r="Z221" t="s">
        <v>9</v>
      </c>
      <c r="AA221" t="s">
        <v>2</v>
      </c>
      <c r="AB221" t="s">
        <v>10</v>
      </c>
      <c r="AC221">
        <v>0</v>
      </c>
      <c r="AD221">
        <v>0</v>
      </c>
      <c r="AE221">
        <v>726182085181</v>
      </c>
      <c r="AF221">
        <v>376.9</v>
      </c>
      <c r="AG221">
        <v>0</v>
      </c>
      <c r="AH221">
        <v>27.72</v>
      </c>
      <c r="AI221">
        <v>404.62</v>
      </c>
      <c r="AJ221" t="s">
        <v>2</v>
      </c>
      <c r="AK221" t="s">
        <v>11</v>
      </c>
    </row>
    <row r="222" spans="1:37">
      <c r="A222">
        <v>257690</v>
      </c>
      <c r="B222" s="1">
        <v>45366</v>
      </c>
      <c r="C222" t="s">
        <v>241</v>
      </c>
      <c r="D222" t="s">
        <v>242</v>
      </c>
      <c r="E222" t="s">
        <v>2</v>
      </c>
      <c r="F222" t="s">
        <v>243</v>
      </c>
      <c r="G222" t="s">
        <v>60</v>
      </c>
      <c r="H222">
        <v>1821</v>
      </c>
      <c r="I222" t="s">
        <v>461</v>
      </c>
      <c r="J222" t="s">
        <v>462</v>
      </c>
      <c r="K222" t="s">
        <v>2</v>
      </c>
      <c r="L222" t="s">
        <v>463</v>
      </c>
      <c r="M222" t="s">
        <v>60</v>
      </c>
      <c r="N222" t="s">
        <v>464</v>
      </c>
      <c r="O222" t="s">
        <v>248</v>
      </c>
      <c r="P222">
        <v>2278791</v>
      </c>
      <c r="Q222" t="s">
        <v>38</v>
      </c>
      <c r="R222">
        <v>415708</v>
      </c>
      <c r="S222" t="s">
        <v>84</v>
      </c>
      <c r="T222" s="2">
        <v>2</v>
      </c>
      <c r="U222">
        <v>0</v>
      </c>
      <c r="V222" t="s">
        <v>153</v>
      </c>
      <c r="W222">
        <v>1</v>
      </c>
      <c r="X222">
        <v>1</v>
      </c>
      <c r="Y222">
        <v>0</v>
      </c>
      <c r="Z222" t="s">
        <v>465</v>
      </c>
      <c r="AA222" t="s">
        <v>466</v>
      </c>
      <c r="AB222" t="s">
        <v>14</v>
      </c>
      <c r="AC222">
        <v>188.45</v>
      </c>
      <c r="AD222">
        <v>188.45</v>
      </c>
      <c r="AE222">
        <v>726182085181</v>
      </c>
      <c r="AF222">
        <v>376.9</v>
      </c>
      <c r="AG222">
        <v>0</v>
      </c>
      <c r="AH222">
        <v>27.72</v>
      </c>
      <c r="AI222">
        <v>404.62</v>
      </c>
      <c r="AJ222" t="s">
        <v>2</v>
      </c>
      <c r="AK222" t="s">
        <v>11</v>
      </c>
    </row>
    <row r="223" spans="1:37">
      <c r="A223">
        <v>257690</v>
      </c>
      <c r="B223" s="1">
        <v>45366</v>
      </c>
      <c r="C223" t="s">
        <v>241</v>
      </c>
      <c r="D223" t="s">
        <v>242</v>
      </c>
      <c r="E223" t="s">
        <v>2</v>
      </c>
      <c r="F223" t="s">
        <v>243</v>
      </c>
      <c r="G223" t="s">
        <v>60</v>
      </c>
      <c r="H223">
        <v>1821</v>
      </c>
      <c r="I223" t="s">
        <v>461</v>
      </c>
      <c r="J223" t="s">
        <v>462</v>
      </c>
      <c r="K223" t="s">
        <v>2</v>
      </c>
      <c r="L223" t="s">
        <v>463</v>
      </c>
      <c r="M223" t="s">
        <v>60</v>
      </c>
      <c r="N223" t="s">
        <v>464</v>
      </c>
      <c r="O223" t="s">
        <v>248</v>
      </c>
      <c r="P223">
        <v>2278791</v>
      </c>
      <c r="Q223" t="s">
        <v>38</v>
      </c>
      <c r="R223">
        <v>415708</v>
      </c>
      <c r="S223" t="s">
        <v>84</v>
      </c>
      <c r="T223" s="2">
        <v>2</v>
      </c>
      <c r="U223">
        <v>0</v>
      </c>
      <c r="V223" t="s">
        <v>153</v>
      </c>
      <c r="W223">
        <v>0</v>
      </c>
      <c r="X223">
        <v>0</v>
      </c>
      <c r="Y223">
        <v>0</v>
      </c>
      <c r="Z223" t="s">
        <v>88</v>
      </c>
      <c r="AA223" t="s">
        <v>144</v>
      </c>
      <c r="AB223" t="s">
        <v>10</v>
      </c>
      <c r="AC223">
        <v>0</v>
      </c>
      <c r="AD223">
        <v>0</v>
      </c>
      <c r="AE223">
        <v>726182085181</v>
      </c>
      <c r="AF223">
        <v>376.9</v>
      </c>
      <c r="AG223">
        <v>0</v>
      </c>
      <c r="AH223">
        <v>27.72</v>
      </c>
      <c r="AI223">
        <v>404.62</v>
      </c>
      <c r="AJ223" t="s">
        <v>2</v>
      </c>
      <c r="AK223" t="s">
        <v>11</v>
      </c>
    </row>
    <row r="224" spans="1:37">
      <c r="A224">
        <v>257690</v>
      </c>
      <c r="B224" s="1">
        <v>45366</v>
      </c>
      <c r="C224" t="s">
        <v>241</v>
      </c>
      <c r="D224" t="s">
        <v>242</v>
      </c>
      <c r="E224" t="s">
        <v>2</v>
      </c>
      <c r="F224" t="s">
        <v>243</v>
      </c>
      <c r="G224" t="s">
        <v>60</v>
      </c>
      <c r="H224">
        <v>1821</v>
      </c>
      <c r="I224" t="s">
        <v>461</v>
      </c>
      <c r="J224" t="s">
        <v>462</v>
      </c>
      <c r="K224" t="s">
        <v>2</v>
      </c>
      <c r="L224" t="s">
        <v>463</v>
      </c>
      <c r="M224" t="s">
        <v>60</v>
      </c>
      <c r="N224" t="s">
        <v>464</v>
      </c>
      <c r="O224" t="s">
        <v>248</v>
      </c>
      <c r="P224">
        <v>2278791</v>
      </c>
      <c r="Q224" t="s">
        <v>38</v>
      </c>
      <c r="R224">
        <v>415708</v>
      </c>
      <c r="S224" t="s">
        <v>84</v>
      </c>
      <c r="T224" s="2">
        <v>2</v>
      </c>
      <c r="U224">
        <v>0</v>
      </c>
      <c r="V224" t="s">
        <v>153</v>
      </c>
      <c r="W224">
        <v>1</v>
      </c>
      <c r="X224">
        <v>1</v>
      </c>
      <c r="Y224">
        <v>0</v>
      </c>
      <c r="Z224" t="s">
        <v>467</v>
      </c>
      <c r="AA224" t="s">
        <v>468</v>
      </c>
      <c r="AB224" t="s">
        <v>14</v>
      </c>
      <c r="AC224">
        <v>188.45</v>
      </c>
      <c r="AD224">
        <v>188.45</v>
      </c>
      <c r="AE224">
        <v>726182085181</v>
      </c>
      <c r="AF224">
        <v>376.9</v>
      </c>
      <c r="AG224">
        <v>0</v>
      </c>
      <c r="AH224">
        <v>27.72</v>
      </c>
      <c r="AI224">
        <v>404.62</v>
      </c>
      <c r="AJ224" t="s">
        <v>2</v>
      </c>
      <c r="AK224" t="s">
        <v>11</v>
      </c>
    </row>
    <row r="225" spans="1:37">
      <c r="A225">
        <v>257690</v>
      </c>
      <c r="B225" s="1">
        <v>45366</v>
      </c>
      <c r="C225" t="s">
        <v>241</v>
      </c>
      <c r="D225" t="s">
        <v>242</v>
      </c>
      <c r="E225" t="s">
        <v>2</v>
      </c>
      <c r="F225" t="s">
        <v>243</v>
      </c>
      <c r="G225" t="s">
        <v>60</v>
      </c>
      <c r="H225">
        <v>1821</v>
      </c>
      <c r="I225" t="s">
        <v>461</v>
      </c>
      <c r="J225" t="s">
        <v>462</v>
      </c>
      <c r="K225" t="s">
        <v>2</v>
      </c>
      <c r="L225" t="s">
        <v>463</v>
      </c>
      <c r="M225" t="s">
        <v>60</v>
      </c>
      <c r="N225" t="s">
        <v>464</v>
      </c>
      <c r="O225" t="s">
        <v>248</v>
      </c>
      <c r="P225">
        <v>2278791</v>
      </c>
      <c r="Q225" t="s">
        <v>38</v>
      </c>
      <c r="R225">
        <v>415708</v>
      </c>
      <c r="S225" t="s">
        <v>84</v>
      </c>
      <c r="T225" s="2">
        <v>2</v>
      </c>
      <c r="U225">
        <v>0</v>
      </c>
      <c r="V225" t="s">
        <v>153</v>
      </c>
      <c r="W225">
        <v>0</v>
      </c>
      <c r="X225">
        <v>0</v>
      </c>
      <c r="Y225">
        <v>0</v>
      </c>
      <c r="Z225" t="s">
        <v>88</v>
      </c>
      <c r="AA225" t="s">
        <v>144</v>
      </c>
      <c r="AB225" t="s">
        <v>10</v>
      </c>
      <c r="AC225">
        <v>0</v>
      </c>
      <c r="AD225">
        <v>0</v>
      </c>
      <c r="AE225">
        <v>726182085181</v>
      </c>
      <c r="AF225">
        <v>376.9</v>
      </c>
      <c r="AG225">
        <v>0</v>
      </c>
      <c r="AH225">
        <v>27.72</v>
      </c>
      <c r="AI225">
        <v>404.62</v>
      </c>
      <c r="AJ225" t="s">
        <v>2</v>
      </c>
      <c r="AK225" t="s">
        <v>11</v>
      </c>
    </row>
    <row r="226" spans="1:37">
      <c r="A226">
        <v>257691</v>
      </c>
      <c r="B226" s="1">
        <v>45366</v>
      </c>
      <c r="C226" t="s">
        <v>469</v>
      </c>
      <c r="D226" t="s">
        <v>470</v>
      </c>
      <c r="E226" t="s">
        <v>471</v>
      </c>
      <c r="F226" t="s">
        <v>472</v>
      </c>
      <c r="G226" t="s">
        <v>473</v>
      </c>
      <c r="H226">
        <v>70123</v>
      </c>
      <c r="I226" t="s">
        <v>474</v>
      </c>
      <c r="J226" t="s">
        <v>475</v>
      </c>
      <c r="K226" t="s">
        <v>2</v>
      </c>
      <c r="L226" t="s">
        <v>476</v>
      </c>
      <c r="M226" t="s">
        <v>473</v>
      </c>
      <c r="N226" t="s">
        <v>477</v>
      </c>
      <c r="O226" t="s">
        <v>478</v>
      </c>
      <c r="P226">
        <v>2278743</v>
      </c>
      <c r="Q226" t="s">
        <v>38</v>
      </c>
      <c r="R226">
        <v>415694</v>
      </c>
      <c r="S226" t="s">
        <v>84</v>
      </c>
      <c r="T226" s="2">
        <v>1</v>
      </c>
      <c r="U226">
        <v>0</v>
      </c>
      <c r="V226" t="s">
        <v>153</v>
      </c>
      <c r="W226">
        <v>0</v>
      </c>
      <c r="X226">
        <v>0</v>
      </c>
      <c r="Y226">
        <v>0</v>
      </c>
      <c r="Z226" t="s">
        <v>9</v>
      </c>
      <c r="AA226" t="s">
        <v>2</v>
      </c>
      <c r="AB226" t="s">
        <v>10</v>
      </c>
      <c r="AC226">
        <v>0</v>
      </c>
      <c r="AD226">
        <v>0</v>
      </c>
      <c r="AE226">
        <v>726182084987</v>
      </c>
      <c r="AF226">
        <v>164.82</v>
      </c>
      <c r="AG226">
        <v>0</v>
      </c>
      <c r="AH226">
        <v>23.87</v>
      </c>
      <c r="AI226">
        <v>188.69</v>
      </c>
      <c r="AJ226" t="s">
        <v>2</v>
      </c>
      <c r="AK226" t="s">
        <v>11</v>
      </c>
    </row>
    <row r="227" spans="1:37">
      <c r="A227">
        <v>257691</v>
      </c>
      <c r="B227" s="1">
        <v>45366</v>
      </c>
      <c r="C227" t="s">
        <v>469</v>
      </c>
      <c r="D227" t="s">
        <v>470</v>
      </c>
      <c r="E227" t="s">
        <v>471</v>
      </c>
      <c r="F227" t="s">
        <v>472</v>
      </c>
      <c r="G227" t="s">
        <v>473</v>
      </c>
      <c r="H227">
        <v>70123</v>
      </c>
      <c r="I227" t="s">
        <v>474</v>
      </c>
      <c r="J227" t="s">
        <v>475</v>
      </c>
      <c r="K227" t="s">
        <v>2</v>
      </c>
      <c r="L227" t="s">
        <v>476</v>
      </c>
      <c r="M227" t="s">
        <v>473</v>
      </c>
      <c r="N227" t="s">
        <v>477</v>
      </c>
      <c r="O227" t="s">
        <v>478</v>
      </c>
      <c r="P227">
        <v>2278743</v>
      </c>
      <c r="Q227" t="s">
        <v>38</v>
      </c>
      <c r="R227">
        <v>415694</v>
      </c>
      <c r="S227" t="s">
        <v>84</v>
      </c>
      <c r="T227" s="2">
        <v>1</v>
      </c>
      <c r="U227">
        <v>0</v>
      </c>
      <c r="V227" t="s">
        <v>153</v>
      </c>
      <c r="W227">
        <v>1</v>
      </c>
      <c r="X227">
        <v>1</v>
      </c>
      <c r="Y227">
        <v>0</v>
      </c>
      <c r="Z227" t="s">
        <v>479</v>
      </c>
      <c r="AA227" t="s">
        <v>480</v>
      </c>
      <c r="AB227" t="s">
        <v>14</v>
      </c>
      <c r="AC227">
        <v>164.82</v>
      </c>
      <c r="AD227">
        <v>164.82</v>
      </c>
      <c r="AE227">
        <v>726182084987</v>
      </c>
      <c r="AF227">
        <v>164.82</v>
      </c>
      <c r="AG227">
        <v>0</v>
      </c>
      <c r="AH227">
        <v>23.87</v>
      </c>
      <c r="AI227">
        <v>188.69</v>
      </c>
      <c r="AJ227" t="s">
        <v>2</v>
      </c>
      <c r="AK227" t="s">
        <v>11</v>
      </c>
    </row>
    <row r="228" spans="1:37">
      <c r="A228">
        <v>257691</v>
      </c>
      <c r="B228" s="1">
        <v>45366</v>
      </c>
      <c r="C228" t="s">
        <v>469</v>
      </c>
      <c r="D228" t="s">
        <v>470</v>
      </c>
      <c r="E228" t="s">
        <v>471</v>
      </c>
      <c r="F228" t="s">
        <v>472</v>
      </c>
      <c r="G228" t="s">
        <v>473</v>
      </c>
      <c r="H228">
        <v>70123</v>
      </c>
      <c r="I228" t="s">
        <v>474</v>
      </c>
      <c r="J228" t="s">
        <v>475</v>
      </c>
      <c r="K228" t="s">
        <v>2</v>
      </c>
      <c r="L228" t="s">
        <v>476</v>
      </c>
      <c r="M228" t="s">
        <v>473</v>
      </c>
      <c r="N228" t="s">
        <v>477</v>
      </c>
      <c r="O228" t="s">
        <v>478</v>
      </c>
      <c r="P228">
        <v>2278743</v>
      </c>
      <c r="Q228" t="s">
        <v>38</v>
      </c>
      <c r="R228">
        <v>415694</v>
      </c>
      <c r="S228" t="s">
        <v>84</v>
      </c>
      <c r="T228" s="2">
        <v>1</v>
      </c>
      <c r="U228">
        <v>0</v>
      </c>
      <c r="V228" t="s">
        <v>153</v>
      </c>
      <c r="W228">
        <v>0</v>
      </c>
      <c r="X228">
        <v>0</v>
      </c>
      <c r="Y228">
        <v>0</v>
      </c>
      <c r="Z228" t="s">
        <v>88</v>
      </c>
      <c r="AA228" t="s">
        <v>317</v>
      </c>
      <c r="AB228" t="s">
        <v>10</v>
      </c>
      <c r="AC228">
        <v>0</v>
      </c>
      <c r="AD228">
        <v>0</v>
      </c>
      <c r="AE228">
        <v>726182084987</v>
      </c>
      <c r="AF228">
        <v>164.82</v>
      </c>
      <c r="AG228">
        <v>0</v>
      </c>
      <c r="AH228">
        <v>23.87</v>
      </c>
      <c r="AI228">
        <v>188.69</v>
      </c>
      <c r="AJ228" t="s">
        <v>2</v>
      </c>
      <c r="AK228" t="s">
        <v>11</v>
      </c>
    </row>
    <row r="229" spans="1:37">
      <c r="A229">
        <v>257692</v>
      </c>
      <c r="B229" s="1">
        <v>45366</v>
      </c>
      <c r="C229" t="s">
        <v>481</v>
      </c>
      <c r="D229" t="s">
        <v>482</v>
      </c>
      <c r="E229" t="s">
        <v>2</v>
      </c>
      <c r="F229" t="s">
        <v>483</v>
      </c>
      <c r="G229" t="s">
        <v>35</v>
      </c>
      <c r="H229">
        <v>65802</v>
      </c>
      <c r="I229" t="s">
        <v>484</v>
      </c>
      <c r="J229" t="s">
        <v>485</v>
      </c>
      <c r="K229" t="s">
        <v>2</v>
      </c>
      <c r="L229" t="s">
        <v>483</v>
      </c>
      <c r="M229" t="s">
        <v>35</v>
      </c>
      <c r="N229" t="s">
        <v>486</v>
      </c>
      <c r="O229" t="s">
        <v>487</v>
      </c>
      <c r="P229">
        <v>2278662</v>
      </c>
      <c r="Q229" t="s">
        <v>38</v>
      </c>
      <c r="R229">
        <v>415658</v>
      </c>
      <c r="S229" t="s">
        <v>84</v>
      </c>
      <c r="T229" s="2">
        <v>5</v>
      </c>
      <c r="U229">
        <v>0</v>
      </c>
      <c r="V229" t="s">
        <v>153</v>
      </c>
      <c r="W229">
        <v>0</v>
      </c>
      <c r="X229">
        <v>0</v>
      </c>
      <c r="Y229">
        <v>0</v>
      </c>
      <c r="Z229" t="s">
        <v>9</v>
      </c>
      <c r="AA229" t="s">
        <v>2</v>
      </c>
      <c r="AB229" t="s">
        <v>10</v>
      </c>
      <c r="AC229">
        <v>0</v>
      </c>
      <c r="AD229">
        <v>0</v>
      </c>
      <c r="AE229">
        <v>706810567449</v>
      </c>
      <c r="AF229">
        <v>783.7</v>
      </c>
      <c r="AG229">
        <v>0</v>
      </c>
      <c r="AH229">
        <v>109.44</v>
      </c>
      <c r="AI229">
        <v>893.14</v>
      </c>
      <c r="AJ229" t="s">
        <v>2</v>
      </c>
      <c r="AK229" t="s">
        <v>11</v>
      </c>
    </row>
    <row r="230" spans="1:37">
      <c r="A230">
        <v>257692</v>
      </c>
      <c r="B230" s="1">
        <v>45366</v>
      </c>
      <c r="C230" t="s">
        <v>481</v>
      </c>
      <c r="D230" t="s">
        <v>482</v>
      </c>
      <c r="E230" t="s">
        <v>2</v>
      </c>
      <c r="F230" t="s">
        <v>483</v>
      </c>
      <c r="G230" t="s">
        <v>35</v>
      </c>
      <c r="H230">
        <v>65802</v>
      </c>
      <c r="I230" t="s">
        <v>484</v>
      </c>
      <c r="J230" t="s">
        <v>485</v>
      </c>
      <c r="K230" t="s">
        <v>2</v>
      </c>
      <c r="L230" t="s">
        <v>483</v>
      </c>
      <c r="M230" t="s">
        <v>35</v>
      </c>
      <c r="N230" t="s">
        <v>486</v>
      </c>
      <c r="O230" t="s">
        <v>487</v>
      </c>
      <c r="P230">
        <v>2278662</v>
      </c>
      <c r="Q230" t="s">
        <v>38</v>
      </c>
      <c r="R230">
        <v>415658</v>
      </c>
      <c r="S230" t="s">
        <v>84</v>
      </c>
      <c r="T230" s="2">
        <v>5</v>
      </c>
      <c r="U230">
        <v>0</v>
      </c>
      <c r="V230" t="s">
        <v>153</v>
      </c>
      <c r="W230">
        <v>5</v>
      </c>
      <c r="X230">
        <v>5</v>
      </c>
      <c r="Y230">
        <v>0</v>
      </c>
      <c r="Z230" t="s">
        <v>77</v>
      </c>
      <c r="AA230" t="s">
        <v>78</v>
      </c>
      <c r="AB230" t="s">
        <v>14</v>
      </c>
      <c r="AC230">
        <v>156.74</v>
      </c>
      <c r="AD230">
        <v>783.7</v>
      </c>
      <c r="AE230">
        <v>706810567449</v>
      </c>
      <c r="AF230">
        <v>783.7</v>
      </c>
      <c r="AG230">
        <v>0</v>
      </c>
      <c r="AH230">
        <v>109.44</v>
      </c>
      <c r="AI230">
        <v>893.14</v>
      </c>
      <c r="AJ230" t="s">
        <v>2</v>
      </c>
      <c r="AK230" t="s">
        <v>11</v>
      </c>
    </row>
    <row r="231" spans="1:37">
      <c r="A231">
        <v>257692</v>
      </c>
      <c r="B231" s="1">
        <v>45366</v>
      </c>
      <c r="C231" t="s">
        <v>481</v>
      </c>
      <c r="D231" t="s">
        <v>482</v>
      </c>
      <c r="E231" t="s">
        <v>2</v>
      </c>
      <c r="F231" t="s">
        <v>483</v>
      </c>
      <c r="G231" t="s">
        <v>35</v>
      </c>
      <c r="H231">
        <v>65802</v>
      </c>
      <c r="I231" t="s">
        <v>484</v>
      </c>
      <c r="J231" t="s">
        <v>485</v>
      </c>
      <c r="K231" t="s">
        <v>2</v>
      </c>
      <c r="L231" t="s">
        <v>483</v>
      </c>
      <c r="M231" t="s">
        <v>35</v>
      </c>
      <c r="N231" t="s">
        <v>486</v>
      </c>
      <c r="O231" t="s">
        <v>487</v>
      </c>
      <c r="P231">
        <v>2278662</v>
      </c>
      <c r="Q231" t="s">
        <v>38</v>
      </c>
      <c r="R231">
        <v>415658</v>
      </c>
      <c r="S231" t="s">
        <v>84</v>
      </c>
      <c r="T231" s="2">
        <v>5</v>
      </c>
      <c r="U231">
        <v>0</v>
      </c>
      <c r="V231" t="s">
        <v>153</v>
      </c>
      <c r="W231">
        <v>0</v>
      </c>
      <c r="X231">
        <v>0</v>
      </c>
      <c r="Y231">
        <v>0</v>
      </c>
      <c r="Z231" t="s">
        <v>88</v>
      </c>
      <c r="AA231" t="s">
        <v>488</v>
      </c>
      <c r="AB231" t="s">
        <v>10</v>
      </c>
      <c r="AC231">
        <v>0</v>
      </c>
      <c r="AD231">
        <v>0</v>
      </c>
      <c r="AE231">
        <v>706810567449</v>
      </c>
      <c r="AF231">
        <v>783.7</v>
      </c>
      <c r="AG231">
        <v>0</v>
      </c>
      <c r="AH231">
        <v>109.44</v>
      </c>
      <c r="AI231">
        <v>893.14</v>
      </c>
      <c r="AJ231" t="s">
        <v>2</v>
      </c>
      <c r="AK231" t="s">
        <v>11</v>
      </c>
    </row>
    <row r="232" spans="1:37">
      <c r="A232">
        <v>257693</v>
      </c>
      <c r="B232" s="1">
        <v>45366</v>
      </c>
      <c r="C232" t="s">
        <v>489</v>
      </c>
      <c r="D232" t="s">
        <v>490</v>
      </c>
      <c r="E232" t="s">
        <v>491</v>
      </c>
      <c r="F232" t="s">
        <v>492</v>
      </c>
      <c r="G232" t="s">
        <v>493</v>
      </c>
      <c r="H232">
        <v>20794</v>
      </c>
      <c r="I232" t="s">
        <v>494</v>
      </c>
      <c r="J232" t="s">
        <v>495</v>
      </c>
      <c r="K232" t="s">
        <v>2</v>
      </c>
      <c r="L232" t="s">
        <v>496</v>
      </c>
      <c r="M232" t="s">
        <v>497</v>
      </c>
      <c r="N232" t="s">
        <v>498</v>
      </c>
      <c r="O232" t="s">
        <v>499</v>
      </c>
      <c r="P232">
        <v>2278608</v>
      </c>
      <c r="Q232" t="s">
        <v>38</v>
      </c>
      <c r="R232">
        <v>415625</v>
      </c>
      <c r="S232" t="s">
        <v>84</v>
      </c>
      <c r="T232" s="2">
        <v>1</v>
      </c>
      <c r="U232">
        <v>0</v>
      </c>
      <c r="V232" t="s">
        <v>153</v>
      </c>
      <c r="W232">
        <v>0</v>
      </c>
      <c r="X232">
        <v>0</v>
      </c>
      <c r="Y232">
        <v>0</v>
      </c>
      <c r="Z232" t="s">
        <v>9</v>
      </c>
      <c r="AA232" t="s">
        <v>2</v>
      </c>
      <c r="AB232" t="s">
        <v>10</v>
      </c>
      <c r="AC232">
        <v>0</v>
      </c>
      <c r="AD232">
        <v>0</v>
      </c>
      <c r="AE232">
        <v>726182084976</v>
      </c>
      <c r="AF232">
        <v>188.45</v>
      </c>
      <c r="AG232">
        <v>0</v>
      </c>
      <c r="AH232">
        <v>29.3</v>
      </c>
      <c r="AI232">
        <v>217.75</v>
      </c>
      <c r="AJ232" t="s">
        <v>2</v>
      </c>
      <c r="AK232" t="s">
        <v>11</v>
      </c>
    </row>
    <row r="233" spans="1:37">
      <c r="A233">
        <v>257693</v>
      </c>
      <c r="B233" s="1">
        <v>45366</v>
      </c>
      <c r="C233" t="s">
        <v>489</v>
      </c>
      <c r="D233" t="s">
        <v>490</v>
      </c>
      <c r="E233" t="s">
        <v>491</v>
      </c>
      <c r="F233" t="s">
        <v>492</v>
      </c>
      <c r="G233" t="s">
        <v>493</v>
      </c>
      <c r="H233">
        <v>20794</v>
      </c>
      <c r="I233" t="s">
        <v>494</v>
      </c>
      <c r="J233" t="s">
        <v>495</v>
      </c>
      <c r="K233" t="s">
        <v>2</v>
      </c>
      <c r="L233" t="s">
        <v>496</v>
      </c>
      <c r="M233" t="s">
        <v>497</v>
      </c>
      <c r="N233" t="s">
        <v>498</v>
      </c>
      <c r="O233" t="s">
        <v>499</v>
      </c>
      <c r="P233">
        <v>2278608</v>
      </c>
      <c r="Q233" t="s">
        <v>38</v>
      </c>
      <c r="R233">
        <v>415625</v>
      </c>
      <c r="S233" t="s">
        <v>84</v>
      </c>
      <c r="T233" s="2">
        <v>1</v>
      </c>
      <c r="U233">
        <v>0</v>
      </c>
      <c r="V233" t="s">
        <v>153</v>
      </c>
      <c r="W233">
        <v>1</v>
      </c>
      <c r="X233">
        <v>1</v>
      </c>
      <c r="Y233">
        <v>0</v>
      </c>
      <c r="Z233" t="s">
        <v>500</v>
      </c>
      <c r="AA233" t="s">
        <v>501</v>
      </c>
      <c r="AB233" t="s">
        <v>14</v>
      </c>
      <c r="AC233">
        <v>188.45</v>
      </c>
      <c r="AD233">
        <v>188.45</v>
      </c>
      <c r="AE233">
        <v>726182084976</v>
      </c>
      <c r="AF233">
        <v>188.45</v>
      </c>
      <c r="AG233">
        <v>0</v>
      </c>
      <c r="AH233">
        <v>29.3</v>
      </c>
      <c r="AI233">
        <v>217.75</v>
      </c>
      <c r="AJ233" t="s">
        <v>2</v>
      </c>
      <c r="AK233" t="s">
        <v>11</v>
      </c>
    </row>
    <row r="234" spans="1:37">
      <c r="A234">
        <v>257693</v>
      </c>
      <c r="B234" s="1">
        <v>45366</v>
      </c>
      <c r="C234" t="s">
        <v>489</v>
      </c>
      <c r="D234" t="s">
        <v>490</v>
      </c>
      <c r="E234" t="s">
        <v>491</v>
      </c>
      <c r="F234" t="s">
        <v>492</v>
      </c>
      <c r="G234" t="s">
        <v>493</v>
      </c>
      <c r="H234">
        <v>20794</v>
      </c>
      <c r="I234" t="s">
        <v>494</v>
      </c>
      <c r="J234" t="s">
        <v>495</v>
      </c>
      <c r="K234" t="s">
        <v>2</v>
      </c>
      <c r="L234" t="s">
        <v>496</v>
      </c>
      <c r="M234" t="s">
        <v>497</v>
      </c>
      <c r="N234" t="s">
        <v>498</v>
      </c>
      <c r="O234" t="s">
        <v>499</v>
      </c>
      <c r="P234">
        <v>2278608</v>
      </c>
      <c r="Q234" t="s">
        <v>38</v>
      </c>
      <c r="R234">
        <v>415625</v>
      </c>
      <c r="S234" t="s">
        <v>84</v>
      </c>
      <c r="T234" s="2">
        <v>1</v>
      </c>
      <c r="U234">
        <v>0</v>
      </c>
      <c r="V234" t="s">
        <v>153</v>
      </c>
      <c r="W234">
        <v>0</v>
      </c>
      <c r="X234">
        <v>0</v>
      </c>
      <c r="Y234">
        <v>0</v>
      </c>
      <c r="Z234" t="s">
        <v>88</v>
      </c>
      <c r="AA234" t="s">
        <v>144</v>
      </c>
      <c r="AB234" t="s">
        <v>10</v>
      </c>
      <c r="AC234">
        <v>0</v>
      </c>
      <c r="AD234">
        <v>0</v>
      </c>
      <c r="AE234">
        <v>726182084976</v>
      </c>
      <c r="AF234">
        <v>188.45</v>
      </c>
      <c r="AG234">
        <v>0</v>
      </c>
      <c r="AH234">
        <v>29.3</v>
      </c>
      <c r="AI234">
        <v>217.75</v>
      </c>
      <c r="AJ234" t="s">
        <v>2</v>
      </c>
      <c r="AK234" t="s">
        <v>11</v>
      </c>
    </row>
    <row r="235" spans="1:37">
      <c r="A235">
        <v>257694</v>
      </c>
      <c r="B235" s="1">
        <v>45366</v>
      </c>
      <c r="C235" t="s">
        <v>502</v>
      </c>
      <c r="D235" t="s">
        <v>503</v>
      </c>
      <c r="E235" t="s">
        <v>2</v>
      </c>
      <c r="F235" t="s">
        <v>504</v>
      </c>
      <c r="G235" t="s">
        <v>103</v>
      </c>
      <c r="H235">
        <v>14623</v>
      </c>
      <c r="I235" t="s">
        <v>505</v>
      </c>
      <c r="J235" t="s">
        <v>506</v>
      </c>
      <c r="K235" t="s">
        <v>2</v>
      </c>
      <c r="L235" t="s">
        <v>507</v>
      </c>
      <c r="M235" t="s">
        <v>103</v>
      </c>
      <c r="N235" t="s">
        <v>508</v>
      </c>
      <c r="O235" t="s">
        <v>509</v>
      </c>
      <c r="P235">
        <v>2278475</v>
      </c>
      <c r="Q235" t="s">
        <v>38</v>
      </c>
      <c r="R235">
        <v>415594</v>
      </c>
      <c r="S235" t="s">
        <v>84</v>
      </c>
      <c r="T235" s="2">
        <v>3</v>
      </c>
      <c r="U235">
        <v>0</v>
      </c>
      <c r="V235" t="s">
        <v>153</v>
      </c>
      <c r="W235">
        <v>0</v>
      </c>
      <c r="X235">
        <v>0</v>
      </c>
      <c r="Y235">
        <v>0</v>
      </c>
      <c r="Z235" t="s">
        <v>9</v>
      </c>
      <c r="AA235" t="s">
        <v>2</v>
      </c>
      <c r="AB235" t="s">
        <v>10</v>
      </c>
      <c r="AC235">
        <v>0</v>
      </c>
      <c r="AD235">
        <v>0</v>
      </c>
      <c r="AE235">
        <v>726182084965</v>
      </c>
      <c r="AF235">
        <v>295.39</v>
      </c>
      <c r="AG235">
        <v>0</v>
      </c>
      <c r="AH235">
        <v>18.12</v>
      </c>
      <c r="AI235">
        <v>313.51</v>
      </c>
      <c r="AJ235" t="s">
        <v>2</v>
      </c>
      <c r="AK235" t="s">
        <v>11</v>
      </c>
    </row>
    <row r="236" spans="1:37">
      <c r="A236">
        <v>257694</v>
      </c>
      <c r="B236" s="1">
        <v>45366</v>
      </c>
      <c r="C236" t="s">
        <v>502</v>
      </c>
      <c r="D236" t="s">
        <v>503</v>
      </c>
      <c r="E236" t="s">
        <v>2</v>
      </c>
      <c r="F236" t="s">
        <v>504</v>
      </c>
      <c r="G236" t="s">
        <v>103</v>
      </c>
      <c r="H236">
        <v>14623</v>
      </c>
      <c r="I236" t="s">
        <v>505</v>
      </c>
      <c r="J236" t="s">
        <v>506</v>
      </c>
      <c r="K236" t="s">
        <v>2</v>
      </c>
      <c r="L236" t="s">
        <v>507</v>
      </c>
      <c r="M236" t="s">
        <v>103</v>
      </c>
      <c r="N236" t="s">
        <v>508</v>
      </c>
      <c r="O236" t="s">
        <v>509</v>
      </c>
      <c r="P236">
        <v>2278475</v>
      </c>
      <c r="Q236" t="s">
        <v>38</v>
      </c>
      <c r="R236">
        <v>415594</v>
      </c>
      <c r="S236" t="s">
        <v>84</v>
      </c>
      <c r="T236" s="2">
        <v>3</v>
      </c>
      <c r="U236">
        <v>0</v>
      </c>
      <c r="V236" t="s">
        <v>153</v>
      </c>
      <c r="W236">
        <v>1</v>
      </c>
      <c r="X236">
        <v>1</v>
      </c>
      <c r="Y236">
        <v>0</v>
      </c>
      <c r="Z236" t="s">
        <v>510</v>
      </c>
      <c r="AA236" t="s">
        <v>511</v>
      </c>
      <c r="AB236" t="s">
        <v>14</v>
      </c>
      <c r="AC236">
        <v>82.39</v>
      </c>
      <c r="AD236">
        <v>82.39</v>
      </c>
      <c r="AE236">
        <v>726182084965</v>
      </c>
      <c r="AF236">
        <v>295.39</v>
      </c>
      <c r="AG236">
        <v>0</v>
      </c>
      <c r="AH236">
        <v>18.12</v>
      </c>
      <c r="AI236">
        <v>313.51</v>
      </c>
      <c r="AJ236" t="s">
        <v>2</v>
      </c>
      <c r="AK236" t="s">
        <v>11</v>
      </c>
    </row>
    <row r="237" spans="1:37">
      <c r="A237">
        <v>257694</v>
      </c>
      <c r="B237" s="1">
        <v>45366</v>
      </c>
      <c r="C237" t="s">
        <v>502</v>
      </c>
      <c r="D237" t="s">
        <v>503</v>
      </c>
      <c r="E237" t="s">
        <v>2</v>
      </c>
      <c r="F237" t="s">
        <v>504</v>
      </c>
      <c r="G237" t="s">
        <v>103</v>
      </c>
      <c r="H237">
        <v>14623</v>
      </c>
      <c r="I237" t="s">
        <v>505</v>
      </c>
      <c r="J237" t="s">
        <v>506</v>
      </c>
      <c r="K237" t="s">
        <v>2</v>
      </c>
      <c r="L237" t="s">
        <v>507</v>
      </c>
      <c r="M237" t="s">
        <v>103</v>
      </c>
      <c r="N237" t="s">
        <v>508</v>
      </c>
      <c r="O237" t="s">
        <v>509</v>
      </c>
      <c r="P237">
        <v>2278475</v>
      </c>
      <c r="Q237" t="s">
        <v>38</v>
      </c>
      <c r="R237">
        <v>415594</v>
      </c>
      <c r="S237" t="s">
        <v>84</v>
      </c>
      <c r="T237" s="2">
        <v>3</v>
      </c>
      <c r="U237">
        <v>0</v>
      </c>
      <c r="V237" t="s">
        <v>153</v>
      </c>
      <c r="W237">
        <v>0</v>
      </c>
      <c r="X237">
        <v>0</v>
      </c>
      <c r="Y237">
        <v>0</v>
      </c>
      <c r="Z237" t="s">
        <v>88</v>
      </c>
      <c r="AA237" t="s">
        <v>251</v>
      </c>
      <c r="AB237" t="s">
        <v>10</v>
      </c>
      <c r="AC237">
        <v>0</v>
      </c>
      <c r="AD237">
        <v>0</v>
      </c>
      <c r="AE237">
        <v>726182084965</v>
      </c>
      <c r="AF237">
        <v>295.39</v>
      </c>
      <c r="AG237">
        <v>0</v>
      </c>
      <c r="AH237">
        <v>18.12</v>
      </c>
      <c r="AI237">
        <v>313.51</v>
      </c>
      <c r="AJ237" t="s">
        <v>2</v>
      </c>
      <c r="AK237" t="s">
        <v>11</v>
      </c>
    </row>
    <row r="238" spans="1:37">
      <c r="A238">
        <v>257694</v>
      </c>
      <c r="B238" s="1">
        <v>45366</v>
      </c>
      <c r="C238" t="s">
        <v>502</v>
      </c>
      <c r="D238" t="s">
        <v>503</v>
      </c>
      <c r="E238" t="s">
        <v>2</v>
      </c>
      <c r="F238" t="s">
        <v>504</v>
      </c>
      <c r="G238" t="s">
        <v>103</v>
      </c>
      <c r="H238">
        <v>14623</v>
      </c>
      <c r="I238" t="s">
        <v>505</v>
      </c>
      <c r="J238" t="s">
        <v>506</v>
      </c>
      <c r="K238" t="s">
        <v>2</v>
      </c>
      <c r="L238" t="s">
        <v>507</v>
      </c>
      <c r="M238" t="s">
        <v>103</v>
      </c>
      <c r="N238" t="s">
        <v>508</v>
      </c>
      <c r="O238" t="s">
        <v>509</v>
      </c>
      <c r="P238">
        <v>2278475</v>
      </c>
      <c r="Q238" t="s">
        <v>38</v>
      </c>
      <c r="R238">
        <v>415594</v>
      </c>
      <c r="S238" t="s">
        <v>84</v>
      </c>
      <c r="T238" s="2">
        <v>3</v>
      </c>
      <c r="U238">
        <v>0</v>
      </c>
      <c r="V238" t="s">
        <v>153</v>
      </c>
      <c r="W238">
        <v>1</v>
      </c>
      <c r="X238">
        <v>1</v>
      </c>
      <c r="Y238">
        <v>0</v>
      </c>
      <c r="Z238" t="s">
        <v>512</v>
      </c>
      <c r="AA238" t="s">
        <v>513</v>
      </c>
      <c r="AB238" t="s">
        <v>14</v>
      </c>
      <c r="AC238">
        <v>106.5</v>
      </c>
      <c r="AD238">
        <v>106.5</v>
      </c>
      <c r="AE238">
        <v>726182084965</v>
      </c>
      <c r="AF238">
        <v>295.39</v>
      </c>
      <c r="AG238">
        <v>0</v>
      </c>
      <c r="AH238">
        <v>18.12</v>
      </c>
      <c r="AI238">
        <v>313.51</v>
      </c>
      <c r="AJ238" t="s">
        <v>2</v>
      </c>
      <c r="AK238" t="s">
        <v>11</v>
      </c>
    </row>
    <row r="239" spans="1:37">
      <c r="A239">
        <v>257694</v>
      </c>
      <c r="B239" s="1">
        <v>45366</v>
      </c>
      <c r="C239" t="s">
        <v>502</v>
      </c>
      <c r="D239" t="s">
        <v>503</v>
      </c>
      <c r="E239" t="s">
        <v>2</v>
      </c>
      <c r="F239" t="s">
        <v>504</v>
      </c>
      <c r="G239" t="s">
        <v>103</v>
      </c>
      <c r="H239">
        <v>14623</v>
      </c>
      <c r="I239" t="s">
        <v>505</v>
      </c>
      <c r="J239" t="s">
        <v>506</v>
      </c>
      <c r="K239" t="s">
        <v>2</v>
      </c>
      <c r="L239" t="s">
        <v>507</v>
      </c>
      <c r="M239" t="s">
        <v>103</v>
      </c>
      <c r="N239" t="s">
        <v>508</v>
      </c>
      <c r="O239" t="s">
        <v>509</v>
      </c>
      <c r="P239">
        <v>2278475</v>
      </c>
      <c r="Q239" t="s">
        <v>38</v>
      </c>
      <c r="R239">
        <v>415594</v>
      </c>
      <c r="S239" t="s">
        <v>84</v>
      </c>
      <c r="T239" s="2">
        <v>3</v>
      </c>
      <c r="U239">
        <v>0</v>
      </c>
      <c r="V239" t="s">
        <v>153</v>
      </c>
      <c r="W239">
        <v>0</v>
      </c>
      <c r="X239">
        <v>0</v>
      </c>
      <c r="Y239">
        <v>0</v>
      </c>
      <c r="Z239" t="s">
        <v>88</v>
      </c>
      <c r="AA239" t="s">
        <v>251</v>
      </c>
      <c r="AB239" t="s">
        <v>10</v>
      </c>
      <c r="AC239">
        <v>0</v>
      </c>
      <c r="AD239">
        <v>0</v>
      </c>
      <c r="AE239">
        <v>726182084965</v>
      </c>
      <c r="AF239">
        <v>295.39</v>
      </c>
      <c r="AG239">
        <v>0</v>
      </c>
      <c r="AH239">
        <v>18.12</v>
      </c>
      <c r="AI239">
        <v>313.51</v>
      </c>
      <c r="AJ239" t="s">
        <v>2</v>
      </c>
      <c r="AK239" t="s">
        <v>11</v>
      </c>
    </row>
    <row r="240" spans="1:37">
      <c r="A240">
        <v>257694</v>
      </c>
      <c r="B240" s="1">
        <v>45366</v>
      </c>
      <c r="C240" t="s">
        <v>502</v>
      </c>
      <c r="D240" t="s">
        <v>503</v>
      </c>
      <c r="E240" t="s">
        <v>2</v>
      </c>
      <c r="F240" t="s">
        <v>504</v>
      </c>
      <c r="G240" t="s">
        <v>103</v>
      </c>
      <c r="H240">
        <v>14623</v>
      </c>
      <c r="I240" t="s">
        <v>505</v>
      </c>
      <c r="J240" t="s">
        <v>506</v>
      </c>
      <c r="K240" t="s">
        <v>2</v>
      </c>
      <c r="L240" t="s">
        <v>507</v>
      </c>
      <c r="M240" t="s">
        <v>103</v>
      </c>
      <c r="N240" t="s">
        <v>508</v>
      </c>
      <c r="O240" t="s">
        <v>509</v>
      </c>
      <c r="P240">
        <v>2278475</v>
      </c>
      <c r="Q240" t="s">
        <v>38</v>
      </c>
      <c r="R240">
        <v>415594</v>
      </c>
      <c r="S240" t="s">
        <v>84</v>
      </c>
      <c r="T240" s="2">
        <v>3</v>
      </c>
      <c r="U240">
        <v>0</v>
      </c>
      <c r="V240" t="s">
        <v>153</v>
      </c>
      <c r="W240">
        <v>1</v>
      </c>
      <c r="X240">
        <v>1</v>
      </c>
      <c r="Y240">
        <v>0</v>
      </c>
      <c r="Z240" t="s">
        <v>514</v>
      </c>
      <c r="AA240" t="s">
        <v>515</v>
      </c>
      <c r="AB240" t="s">
        <v>14</v>
      </c>
      <c r="AC240">
        <v>106.5</v>
      </c>
      <c r="AD240">
        <v>106.5</v>
      </c>
      <c r="AE240">
        <v>726182084965</v>
      </c>
      <c r="AF240">
        <v>295.39</v>
      </c>
      <c r="AG240">
        <v>0</v>
      </c>
      <c r="AH240">
        <v>18.12</v>
      </c>
      <c r="AI240">
        <v>313.51</v>
      </c>
      <c r="AJ240" t="s">
        <v>2</v>
      </c>
      <c r="AK240" t="s">
        <v>11</v>
      </c>
    </row>
    <row r="241" spans="1:37">
      <c r="A241">
        <v>257694</v>
      </c>
      <c r="B241" s="1">
        <v>45366</v>
      </c>
      <c r="C241" t="s">
        <v>502</v>
      </c>
      <c r="D241" t="s">
        <v>503</v>
      </c>
      <c r="E241" t="s">
        <v>2</v>
      </c>
      <c r="F241" t="s">
        <v>504</v>
      </c>
      <c r="G241" t="s">
        <v>103</v>
      </c>
      <c r="H241">
        <v>14623</v>
      </c>
      <c r="I241" t="s">
        <v>505</v>
      </c>
      <c r="J241" t="s">
        <v>506</v>
      </c>
      <c r="K241" t="s">
        <v>2</v>
      </c>
      <c r="L241" t="s">
        <v>507</v>
      </c>
      <c r="M241" t="s">
        <v>103</v>
      </c>
      <c r="N241" t="s">
        <v>508</v>
      </c>
      <c r="O241" t="s">
        <v>509</v>
      </c>
      <c r="P241">
        <v>2278475</v>
      </c>
      <c r="Q241" t="s">
        <v>38</v>
      </c>
      <c r="R241">
        <v>415594</v>
      </c>
      <c r="S241" t="s">
        <v>84</v>
      </c>
      <c r="T241" s="2">
        <v>3</v>
      </c>
      <c r="U241">
        <v>0</v>
      </c>
      <c r="V241" t="s">
        <v>153</v>
      </c>
      <c r="W241">
        <v>0</v>
      </c>
      <c r="X241">
        <v>0</v>
      </c>
      <c r="Y241">
        <v>0</v>
      </c>
      <c r="Z241" t="s">
        <v>88</v>
      </c>
      <c r="AA241" t="s">
        <v>251</v>
      </c>
      <c r="AB241" t="s">
        <v>10</v>
      </c>
      <c r="AC241">
        <v>0</v>
      </c>
      <c r="AD241">
        <v>0</v>
      </c>
      <c r="AE241">
        <v>726182084965</v>
      </c>
      <c r="AF241">
        <v>295.39</v>
      </c>
      <c r="AG241">
        <v>0</v>
      </c>
      <c r="AH241">
        <v>18.12</v>
      </c>
      <c r="AI241">
        <v>313.51</v>
      </c>
      <c r="AJ241" t="s">
        <v>2</v>
      </c>
      <c r="AK241" t="s">
        <v>11</v>
      </c>
    </row>
    <row r="242" spans="1:37">
      <c r="A242">
        <v>257695</v>
      </c>
      <c r="B242" s="1">
        <v>45366</v>
      </c>
      <c r="C242" t="s">
        <v>489</v>
      </c>
      <c r="D242" t="s">
        <v>490</v>
      </c>
      <c r="E242" t="s">
        <v>491</v>
      </c>
      <c r="F242" t="s">
        <v>492</v>
      </c>
      <c r="G242" t="s">
        <v>493</v>
      </c>
      <c r="H242">
        <v>20794</v>
      </c>
      <c r="I242" t="s">
        <v>516</v>
      </c>
      <c r="J242" t="s">
        <v>517</v>
      </c>
      <c r="K242" t="s">
        <v>2</v>
      </c>
      <c r="L242" t="s">
        <v>518</v>
      </c>
      <c r="M242" t="s">
        <v>493</v>
      </c>
      <c r="N242" t="s">
        <v>519</v>
      </c>
      <c r="O242" t="s">
        <v>499</v>
      </c>
      <c r="P242">
        <v>2278476</v>
      </c>
      <c r="Q242" t="s">
        <v>38</v>
      </c>
      <c r="R242">
        <v>415591</v>
      </c>
      <c r="S242" t="s">
        <v>84</v>
      </c>
      <c r="T242" s="2">
        <v>1</v>
      </c>
      <c r="U242">
        <v>0</v>
      </c>
      <c r="V242" t="s">
        <v>153</v>
      </c>
      <c r="W242">
        <v>0</v>
      </c>
      <c r="X242">
        <v>0</v>
      </c>
      <c r="Y242">
        <v>0</v>
      </c>
      <c r="Z242" t="s">
        <v>9</v>
      </c>
      <c r="AA242" t="s">
        <v>2</v>
      </c>
      <c r="AB242" t="s">
        <v>10</v>
      </c>
      <c r="AC242">
        <v>0</v>
      </c>
      <c r="AD242">
        <v>0</v>
      </c>
      <c r="AE242">
        <v>726182085137</v>
      </c>
      <c r="AF242">
        <v>750.33</v>
      </c>
      <c r="AG242">
        <v>0</v>
      </c>
      <c r="AH242">
        <v>26.25</v>
      </c>
      <c r="AI242">
        <v>776.58</v>
      </c>
      <c r="AJ242" t="s">
        <v>2</v>
      </c>
      <c r="AK242" t="s">
        <v>11</v>
      </c>
    </row>
    <row r="243" spans="1:37">
      <c r="A243">
        <v>257695</v>
      </c>
      <c r="B243" s="1">
        <v>45366</v>
      </c>
      <c r="C243" t="s">
        <v>489</v>
      </c>
      <c r="D243" t="s">
        <v>490</v>
      </c>
      <c r="E243" t="s">
        <v>491</v>
      </c>
      <c r="F243" t="s">
        <v>492</v>
      </c>
      <c r="G243" t="s">
        <v>493</v>
      </c>
      <c r="H243">
        <v>20794</v>
      </c>
      <c r="I243" t="s">
        <v>516</v>
      </c>
      <c r="J243" t="s">
        <v>517</v>
      </c>
      <c r="K243" t="s">
        <v>2</v>
      </c>
      <c r="L243" t="s">
        <v>518</v>
      </c>
      <c r="M243" t="s">
        <v>493</v>
      </c>
      <c r="N243" t="s">
        <v>519</v>
      </c>
      <c r="O243" t="s">
        <v>499</v>
      </c>
      <c r="P243">
        <v>2278476</v>
      </c>
      <c r="Q243" t="s">
        <v>38</v>
      </c>
      <c r="R243">
        <v>415591</v>
      </c>
      <c r="S243" t="s">
        <v>84</v>
      </c>
      <c r="T243" s="2">
        <v>1</v>
      </c>
      <c r="U243">
        <v>0</v>
      </c>
      <c r="V243" t="s">
        <v>153</v>
      </c>
      <c r="W243">
        <v>1</v>
      </c>
      <c r="X243">
        <v>1</v>
      </c>
      <c r="Y243">
        <v>0</v>
      </c>
      <c r="Z243" t="s">
        <v>520</v>
      </c>
      <c r="AA243" t="s">
        <v>521</v>
      </c>
      <c r="AB243" t="s">
        <v>14</v>
      </c>
      <c r="AC243">
        <v>750.33</v>
      </c>
      <c r="AD243">
        <v>750.33</v>
      </c>
      <c r="AE243">
        <v>726182085137</v>
      </c>
      <c r="AF243">
        <v>750.33</v>
      </c>
      <c r="AG243">
        <v>0</v>
      </c>
      <c r="AH243">
        <v>26.25</v>
      </c>
      <c r="AI243">
        <v>776.58</v>
      </c>
      <c r="AJ243" t="s">
        <v>2</v>
      </c>
      <c r="AK243" t="s">
        <v>11</v>
      </c>
    </row>
    <row r="244" spans="1:37">
      <c r="A244">
        <v>257695</v>
      </c>
      <c r="B244" s="1">
        <v>45366</v>
      </c>
      <c r="C244" t="s">
        <v>489</v>
      </c>
      <c r="D244" t="s">
        <v>490</v>
      </c>
      <c r="E244" t="s">
        <v>491</v>
      </c>
      <c r="F244" t="s">
        <v>492</v>
      </c>
      <c r="G244" t="s">
        <v>493</v>
      </c>
      <c r="H244">
        <v>20794</v>
      </c>
      <c r="I244" t="s">
        <v>516</v>
      </c>
      <c r="J244" t="s">
        <v>517</v>
      </c>
      <c r="K244" t="s">
        <v>2</v>
      </c>
      <c r="L244" t="s">
        <v>518</v>
      </c>
      <c r="M244" t="s">
        <v>493</v>
      </c>
      <c r="N244" t="s">
        <v>519</v>
      </c>
      <c r="O244" t="s">
        <v>499</v>
      </c>
      <c r="P244">
        <v>2278476</v>
      </c>
      <c r="Q244" t="s">
        <v>38</v>
      </c>
      <c r="R244">
        <v>415591</v>
      </c>
      <c r="S244" t="s">
        <v>84</v>
      </c>
      <c r="T244" s="2">
        <v>1</v>
      </c>
      <c r="U244">
        <v>0</v>
      </c>
      <c r="V244" t="s">
        <v>153</v>
      </c>
      <c r="W244">
        <v>0</v>
      </c>
      <c r="X244">
        <v>0</v>
      </c>
      <c r="Y244">
        <v>0</v>
      </c>
      <c r="Z244" t="s">
        <v>88</v>
      </c>
      <c r="AA244" t="s">
        <v>116</v>
      </c>
      <c r="AB244" t="s">
        <v>10</v>
      </c>
      <c r="AC244">
        <v>0</v>
      </c>
      <c r="AD244">
        <v>0</v>
      </c>
      <c r="AE244">
        <v>726182085137</v>
      </c>
      <c r="AF244">
        <v>750.33</v>
      </c>
      <c r="AG244">
        <v>0</v>
      </c>
      <c r="AH244">
        <v>26.25</v>
      </c>
      <c r="AI244">
        <v>776.58</v>
      </c>
      <c r="AJ244" t="s">
        <v>2</v>
      </c>
      <c r="AK244" t="s">
        <v>11</v>
      </c>
    </row>
    <row r="245" spans="1:37">
      <c r="A245">
        <v>257696</v>
      </c>
      <c r="B245" s="1">
        <v>45366</v>
      </c>
      <c r="C245" t="s">
        <v>522</v>
      </c>
      <c r="D245" t="s">
        <v>523</v>
      </c>
      <c r="E245" t="s">
        <v>2</v>
      </c>
      <c r="F245" t="s">
        <v>34</v>
      </c>
      <c r="G245" t="s">
        <v>35</v>
      </c>
      <c r="H245">
        <v>63110</v>
      </c>
      <c r="I245" t="s">
        <v>524</v>
      </c>
      <c r="J245" t="s">
        <v>525</v>
      </c>
      <c r="K245" t="s">
        <v>2</v>
      </c>
      <c r="L245" t="s">
        <v>526</v>
      </c>
      <c r="M245" t="s">
        <v>255</v>
      </c>
      <c r="N245" t="s">
        <v>527</v>
      </c>
      <c r="O245" t="s">
        <v>528</v>
      </c>
      <c r="P245">
        <v>2278458</v>
      </c>
      <c r="Q245" t="s">
        <v>38</v>
      </c>
      <c r="R245">
        <v>415579</v>
      </c>
      <c r="S245" t="s">
        <v>84</v>
      </c>
      <c r="T245" s="2">
        <v>1</v>
      </c>
      <c r="U245">
        <v>0</v>
      </c>
      <c r="V245" t="s">
        <v>153</v>
      </c>
      <c r="W245">
        <v>0</v>
      </c>
      <c r="X245">
        <v>0</v>
      </c>
      <c r="Y245">
        <v>0</v>
      </c>
      <c r="Z245" t="s">
        <v>9</v>
      </c>
      <c r="AA245" t="s">
        <v>2</v>
      </c>
      <c r="AB245" t="s">
        <v>10</v>
      </c>
      <c r="AC245">
        <v>0</v>
      </c>
      <c r="AD245">
        <v>0</v>
      </c>
      <c r="AE245">
        <v>726182085034</v>
      </c>
      <c r="AF245">
        <v>21.64</v>
      </c>
      <c r="AG245">
        <v>0</v>
      </c>
      <c r="AH245">
        <v>13.8</v>
      </c>
      <c r="AI245">
        <v>35.44</v>
      </c>
      <c r="AJ245" t="s">
        <v>2</v>
      </c>
      <c r="AK245" t="s">
        <v>11</v>
      </c>
    </row>
    <row r="246" spans="1:37">
      <c r="A246">
        <v>257696</v>
      </c>
      <c r="B246" s="1">
        <v>45366</v>
      </c>
      <c r="C246" t="s">
        <v>522</v>
      </c>
      <c r="D246" t="s">
        <v>523</v>
      </c>
      <c r="E246" t="s">
        <v>2</v>
      </c>
      <c r="F246" t="s">
        <v>34</v>
      </c>
      <c r="G246" t="s">
        <v>35</v>
      </c>
      <c r="H246">
        <v>63110</v>
      </c>
      <c r="I246" t="s">
        <v>524</v>
      </c>
      <c r="J246" t="s">
        <v>525</v>
      </c>
      <c r="K246" t="s">
        <v>2</v>
      </c>
      <c r="L246" t="s">
        <v>526</v>
      </c>
      <c r="M246" t="s">
        <v>255</v>
      </c>
      <c r="N246" t="s">
        <v>527</v>
      </c>
      <c r="O246" t="s">
        <v>528</v>
      </c>
      <c r="P246">
        <v>2278458</v>
      </c>
      <c r="Q246" t="s">
        <v>38</v>
      </c>
      <c r="R246">
        <v>415579</v>
      </c>
      <c r="S246" t="s">
        <v>84</v>
      </c>
      <c r="T246" s="2">
        <v>1</v>
      </c>
      <c r="U246">
        <v>0</v>
      </c>
      <c r="V246" t="s">
        <v>153</v>
      </c>
      <c r="W246">
        <v>1</v>
      </c>
      <c r="X246">
        <v>1</v>
      </c>
      <c r="Y246">
        <v>0</v>
      </c>
      <c r="Z246" t="s">
        <v>529</v>
      </c>
      <c r="AA246" t="s">
        <v>530</v>
      </c>
      <c r="AB246" t="s">
        <v>14</v>
      </c>
      <c r="AC246">
        <v>21.64</v>
      </c>
      <c r="AD246">
        <v>21.64</v>
      </c>
      <c r="AE246">
        <v>726182085034</v>
      </c>
      <c r="AF246">
        <v>21.64</v>
      </c>
      <c r="AG246">
        <v>0</v>
      </c>
      <c r="AH246">
        <v>13.8</v>
      </c>
      <c r="AI246">
        <v>35.44</v>
      </c>
      <c r="AJ246" t="s">
        <v>2</v>
      </c>
      <c r="AK246" t="s">
        <v>11</v>
      </c>
    </row>
    <row r="247" spans="1:37">
      <c r="A247">
        <v>257696</v>
      </c>
      <c r="B247" s="1">
        <v>45366</v>
      </c>
      <c r="C247" t="s">
        <v>522</v>
      </c>
      <c r="D247" t="s">
        <v>523</v>
      </c>
      <c r="E247" t="s">
        <v>2</v>
      </c>
      <c r="F247" t="s">
        <v>34</v>
      </c>
      <c r="G247" t="s">
        <v>35</v>
      </c>
      <c r="H247">
        <v>63110</v>
      </c>
      <c r="I247" t="s">
        <v>524</v>
      </c>
      <c r="J247" t="s">
        <v>525</v>
      </c>
      <c r="K247" t="s">
        <v>2</v>
      </c>
      <c r="L247" t="s">
        <v>526</v>
      </c>
      <c r="M247" t="s">
        <v>255</v>
      </c>
      <c r="N247" t="s">
        <v>527</v>
      </c>
      <c r="O247" t="s">
        <v>528</v>
      </c>
      <c r="P247">
        <v>2278458</v>
      </c>
      <c r="Q247" t="s">
        <v>38</v>
      </c>
      <c r="R247">
        <v>415579</v>
      </c>
      <c r="S247" t="s">
        <v>84</v>
      </c>
      <c r="T247" s="2">
        <v>1</v>
      </c>
      <c r="U247">
        <v>0</v>
      </c>
      <c r="V247" t="s">
        <v>153</v>
      </c>
      <c r="W247">
        <v>0</v>
      </c>
      <c r="X247">
        <v>0</v>
      </c>
      <c r="Y247">
        <v>0</v>
      </c>
      <c r="Z247" t="s">
        <v>88</v>
      </c>
      <c r="AA247" t="s">
        <v>317</v>
      </c>
      <c r="AB247" t="s">
        <v>10</v>
      </c>
      <c r="AC247">
        <v>0</v>
      </c>
      <c r="AD247">
        <v>0</v>
      </c>
      <c r="AE247">
        <v>726182085034</v>
      </c>
      <c r="AF247">
        <v>21.64</v>
      </c>
      <c r="AG247">
        <v>0</v>
      </c>
      <c r="AH247">
        <v>13.8</v>
      </c>
      <c r="AI247">
        <v>35.44</v>
      </c>
      <c r="AJ247" t="s">
        <v>2</v>
      </c>
      <c r="AK247" t="s">
        <v>11</v>
      </c>
    </row>
    <row r="248" spans="1:37">
      <c r="A248">
        <v>257697</v>
      </c>
      <c r="B248" s="1">
        <v>45366</v>
      </c>
      <c r="C248" t="s">
        <v>531</v>
      </c>
      <c r="D248" t="s">
        <v>532</v>
      </c>
      <c r="E248" t="s">
        <v>533</v>
      </c>
      <c r="F248" t="s">
        <v>534</v>
      </c>
      <c r="G248" t="s">
        <v>535</v>
      </c>
      <c r="H248">
        <v>30144</v>
      </c>
      <c r="I248" t="s">
        <v>536</v>
      </c>
      <c r="J248" t="s">
        <v>537</v>
      </c>
      <c r="K248" t="s">
        <v>2</v>
      </c>
      <c r="L248" t="s">
        <v>538</v>
      </c>
      <c r="M248" t="s">
        <v>539</v>
      </c>
      <c r="N248" t="s">
        <v>540</v>
      </c>
      <c r="O248" t="s">
        <v>541</v>
      </c>
      <c r="P248">
        <v>2278324</v>
      </c>
      <c r="Q248" t="s">
        <v>38</v>
      </c>
      <c r="R248">
        <v>415527</v>
      </c>
      <c r="S248" t="s">
        <v>84</v>
      </c>
      <c r="T248" s="2">
        <v>1</v>
      </c>
      <c r="U248">
        <v>0</v>
      </c>
      <c r="V248" t="s">
        <v>153</v>
      </c>
      <c r="W248">
        <v>0</v>
      </c>
      <c r="X248">
        <v>0</v>
      </c>
      <c r="Y248">
        <v>0</v>
      </c>
      <c r="Z248" t="s">
        <v>9</v>
      </c>
      <c r="AA248" t="s">
        <v>2</v>
      </c>
      <c r="AB248" t="s">
        <v>10</v>
      </c>
      <c r="AC248">
        <v>0</v>
      </c>
      <c r="AD248">
        <v>0</v>
      </c>
      <c r="AE248">
        <v>726182085089</v>
      </c>
      <c r="AF248">
        <v>1195.29</v>
      </c>
      <c r="AG248">
        <v>0</v>
      </c>
      <c r="AH248">
        <v>76.34</v>
      </c>
      <c r="AI248">
        <v>1271.6300000000001</v>
      </c>
      <c r="AJ248" t="s">
        <v>2</v>
      </c>
      <c r="AK248" t="s">
        <v>11</v>
      </c>
    </row>
    <row r="249" spans="1:37">
      <c r="A249">
        <v>257697</v>
      </c>
      <c r="B249" s="1">
        <v>45366</v>
      </c>
      <c r="C249" t="s">
        <v>531</v>
      </c>
      <c r="D249" t="s">
        <v>532</v>
      </c>
      <c r="E249" t="s">
        <v>533</v>
      </c>
      <c r="F249" t="s">
        <v>534</v>
      </c>
      <c r="G249" t="s">
        <v>535</v>
      </c>
      <c r="H249">
        <v>30144</v>
      </c>
      <c r="I249" t="s">
        <v>536</v>
      </c>
      <c r="J249" t="s">
        <v>537</v>
      </c>
      <c r="K249" t="s">
        <v>2</v>
      </c>
      <c r="L249" t="s">
        <v>538</v>
      </c>
      <c r="M249" t="s">
        <v>539</v>
      </c>
      <c r="N249" t="s">
        <v>540</v>
      </c>
      <c r="O249" t="s">
        <v>541</v>
      </c>
      <c r="P249">
        <v>2278324</v>
      </c>
      <c r="Q249" t="s">
        <v>38</v>
      </c>
      <c r="R249">
        <v>415527</v>
      </c>
      <c r="S249" t="s">
        <v>84</v>
      </c>
      <c r="T249" s="2">
        <v>1</v>
      </c>
      <c r="U249">
        <v>0</v>
      </c>
      <c r="V249" t="s">
        <v>153</v>
      </c>
      <c r="W249">
        <v>1</v>
      </c>
      <c r="X249">
        <v>1</v>
      </c>
      <c r="Y249">
        <v>0</v>
      </c>
      <c r="Z249" t="s">
        <v>542</v>
      </c>
      <c r="AA249" t="s">
        <v>543</v>
      </c>
      <c r="AB249" t="s">
        <v>14</v>
      </c>
      <c r="AC249">
        <v>1195.29</v>
      </c>
      <c r="AD249">
        <v>1195.29</v>
      </c>
      <c r="AE249">
        <v>726182085089</v>
      </c>
      <c r="AF249">
        <v>1195.29</v>
      </c>
      <c r="AG249">
        <v>0</v>
      </c>
      <c r="AH249">
        <v>76.34</v>
      </c>
      <c r="AI249">
        <v>1271.6300000000001</v>
      </c>
      <c r="AJ249" t="s">
        <v>2</v>
      </c>
      <c r="AK249" t="s">
        <v>11</v>
      </c>
    </row>
    <row r="250" spans="1:37">
      <c r="A250">
        <v>257697</v>
      </c>
      <c r="B250" s="1">
        <v>45366</v>
      </c>
      <c r="C250" t="s">
        <v>531</v>
      </c>
      <c r="D250" t="s">
        <v>532</v>
      </c>
      <c r="E250" t="s">
        <v>533</v>
      </c>
      <c r="F250" t="s">
        <v>534</v>
      </c>
      <c r="G250" t="s">
        <v>535</v>
      </c>
      <c r="H250">
        <v>30144</v>
      </c>
      <c r="I250" t="s">
        <v>536</v>
      </c>
      <c r="J250" t="s">
        <v>537</v>
      </c>
      <c r="K250" t="s">
        <v>2</v>
      </c>
      <c r="L250" t="s">
        <v>538</v>
      </c>
      <c r="M250" t="s">
        <v>539</v>
      </c>
      <c r="N250" t="s">
        <v>540</v>
      </c>
      <c r="O250" t="s">
        <v>541</v>
      </c>
      <c r="P250">
        <v>2278324</v>
      </c>
      <c r="Q250" t="s">
        <v>38</v>
      </c>
      <c r="R250">
        <v>415527</v>
      </c>
      <c r="S250" t="s">
        <v>84</v>
      </c>
      <c r="T250" s="2">
        <v>1</v>
      </c>
      <c r="U250">
        <v>0</v>
      </c>
      <c r="V250" t="s">
        <v>153</v>
      </c>
      <c r="W250">
        <v>0</v>
      </c>
      <c r="X250">
        <v>0</v>
      </c>
      <c r="Y250">
        <v>0</v>
      </c>
      <c r="Z250" t="s">
        <v>88</v>
      </c>
      <c r="AA250" t="s">
        <v>298</v>
      </c>
      <c r="AB250" t="s">
        <v>10</v>
      </c>
      <c r="AC250">
        <v>0</v>
      </c>
      <c r="AD250">
        <v>0</v>
      </c>
      <c r="AE250">
        <v>726182085089</v>
      </c>
      <c r="AF250">
        <v>1195.29</v>
      </c>
      <c r="AG250">
        <v>0</v>
      </c>
      <c r="AH250">
        <v>76.34</v>
      </c>
      <c r="AI250">
        <v>1271.6300000000001</v>
      </c>
      <c r="AJ250" t="s">
        <v>2</v>
      </c>
      <c r="AK250" t="s">
        <v>11</v>
      </c>
    </row>
    <row r="251" spans="1:37">
      <c r="A251">
        <v>257698</v>
      </c>
      <c r="B251" s="1">
        <v>45366</v>
      </c>
      <c r="C251" t="s">
        <v>544</v>
      </c>
      <c r="D251" t="s">
        <v>545</v>
      </c>
      <c r="E251" t="s">
        <v>2</v>
      </c>
      <c r="F251" t="s">
        <v>546</v>
      </c>
      <c r="G251" t="s">
        <v>547</v>
      </c>
      <c r="H251">
        <v>29483</v>
      </c>
      <c r="I251" t="s">
        <v>548</v>
      </c>
      <c r="J251" t="s">
        <v>549</v>
      </c>
      <c r="K251" t="s">
        <v>2</v>
      </c>
      <c r="L251" t="s">
        <v>550</v>
      </c>
      <c r="M251" t="s">
        <v>547</v>
      </c>
      <c r="N251" t="s">
        <v>551</v>
      </c>
      <c r="O251" t="s">
        <v>552</v>
      </c>
      <c r="P251">
        <v>2278477</v>
      </c>
      <c r="Q251" t="s">
        <v>38</v>
      </c>
      <c r="R251">
        <v>415590</v>
      </c>
      <c r="S251" t="s">
        <v>84</v>
      </c>
      <c r="T251" s="2">
        <v>1</v>
      </c>
      <c r="U251">
        <v>0</v>
      </c>
      <c r="V251" t="s">
        <v>153</v>
      </c>
      <c r="W251">
        <v>0</v>
      </c>
      <c r="X251">
        <v>0</v>
      </c>
      <c r="Y251">
        <v>0</v>
      </c>
      <c r="Z251" t="s">
        <v>9</v>
      </c>
      <c r="AA251" t="s">
        <v>2</v>
      </c>
      <c r="AB251" t="s">
        <v>10</v>
      </c>
      <c r="AC251">
        <v>0</v>
      </c>
      <c r="AD251">
        <v>0</v>
      </c>
      <c r="AE251">
        <v>726182083991</v>
      </c>
      <c r="AF251">
        <v>209.04</v>
      </c>
      <c r="AG251">
        <v>0</v>
      </c>
      <c r="AH251">
        <v>52.19</v>
      </c>
      <c r="AI251">
        <v>261.23</v>
      </c>
      <c r="AJ251" t="s">
        <v>2</v>
      </c>
      <c r="AK251" t="s">
        <v>11</v>
      </c>
    </row>
    <row r="252" spans="1:37">
      <c r="A252">
        <v>257698</v>
      </c>
      <c r="B252" s="1">
        <v>45366</v>
      </c>
      <c r="C252" t="s">
        <v>544</v>
      </c>
      <c r="D252" t="s">
        <v>545</v>
      </c>
      <c r="E252" t="s">
        <v>2</v>
      </c>
      <c r="F252" t="s">
        <v>546</v>
      </c>
      <c r="G252" t="s">
        <v>547</v>
      </c>
      <c r="H252">
        <v>29483</v>
      </c>
      <c r="I252" t="s">
        <v>548</v>
      </c>
      <c r="J252" t="s">
        <v>549</v>
      </c>
      <c r="K252" t="s">
        <v>2</v>
      </c>
      <c r="L252" t="s">
        <v>550</v>
      </c>
      <c r="M252" t="s">
        <v>547</v>
      </c>
      <c r="N252" t="s">
        <v>551</v>
      </c>
      <c r="O252" t="s">
        <v>552</v>
      </c>
      <c r="P252">
        <v>2278477</v>
      </c>
      <c r="Q252" t="s">
        <v>38</v>
      </c>
      <c r="R252">
        <v>415590</v>
      </c>
      <c r="S252" t="s">
        <v>84</v>
      </c>
      <c r="T252" s="2">
        <v>1</v>
      </c>
      <c r="U252">
        <v>0</v>
      </c>
      <c r="V252" t="s">
        <v>153</v>
      </c>
      <c r="W252">
        <v>1</v>
      </c>
      <c r="X252">
        <v>1</v>
      </c>
      <c r="Y252">
        <v>0</v>
      </c>
      <c r="Z252" t="s">
        <v>419</v>
      </c>
      <c r="AA252" t="s">
        <v>420</v>
      </c>
      <c r="AB252" t="s">
        <v>14</v>
      </c>
      <c r="AC252">
        <v>209.04</v>
      </c>
      <c r="AD252">
        <v>209.04</v>
      </c>
      <c r="AE252">
        <v>726182083991</v>
      </c>
      <c r="AF252">
        <v>209.04</v>
      </c>
      <c r="AG252">
        <v>0</v>
      </c>
      <c r="AH252">
        <v>52.19</v>
      </c>
      <c r="AI252">
        <v>261.23</v>
      </c>
      <c r="AJ252" t="s">
        <v>2</v>
      </c>
      <c r="AK252" t="s">
        <v>11</v>
      </c>
    </row>
    <row r="253" spans="1:37">
      <c r="A253">
        <v>257698</v>
      </c>
      <c r="B253" s="1">
        <v>45366</v>
      </c>
      <c r="C253" t="s">
        <v>544</v>
      </c>
      <c r="D253" t="s">
        <v>545</v>
      </c>
      <c r="E253" t="s">
        <v>2</v>
      </c>
      <c r="F253" t="s">
        <v>546</v>
      </c>
      <c r="G253" t="s">
        <v>547</v>
      </c>
      <c r="H253">
        <v>29483</v>
      </c>
      <c r="I253" t="s">
        <v>548</v>
      </c>
      <c r="J253" t="s">
        <v>549</v>
      </c>
      <c r="K253" t="s">
        <v>2</v>
      </c>
      <c r="L253" t="s">
        <v>550</v>
      </c>
      <c r="M253" t="s">
        <v>547</v>
      </c>
      <c r="N253" t="s">
        <v>551</v>
      </c>
      <c r="O253" t="s">
        <v>552</v>
      </c>
      <c r="P253">
        <v>2278477</v>
      </c>
      <c r="Q253" t="s">
        <v>38</v>
      </c>
      <c r="R253">
        <v>415590</v>
      </c>
      <c r="S253" t="s">
        <v>84</v>
      </c>
      <c r="T253" s="2">
        <v>1</v>
      </c>
      <c r="U253">
        <v>0</v>
      </c>
      <c r="V253" t="s">
        <v>153</v>
      </c>
      <c r="W253">
        <v>0</v>
      </c>
      <c r="X253">
        <v>0</v>
      </c>
      <c r="Y253">
        <v>0</v>
      </c>
      <c r="Z253" t="s">
        <v>88</v>
      </c>
      <c r="AA253" t="s">
        <v>251</v>
      </c>
      <c r="AB253" t="s">
        <v>10</v>
      </c>
      <c r="AC253">
        <v>0</v>
      </c>
      <c r="AD253">
        <v>0</v>
      </c>
      <c r="AE253">
        <v>726182083991</v>
      </c>
      <c r="AF253">
        <v>209.04</v>
      </c>
      <c r="AG253">
        <v>0</v>
      </c>
      <c r="AH253">
        <v>52.19</v>
      </c>
      <c r="AI253">
        <v>261.23</v>
      </c>
      <c r="AJ253" t="s">
        <v>2</v>
      </c>
      <c r="AK253" t="s">
        <v>11</v>
      </c>
    </row>
    <row r="254" spans="1:37">
      <c r="A254">
        <v>257699</v>
      </c>
      <c r="B254" s="1">
        <v>45366</v>
      </c>
      <c r="C254" t="s">
        <v>553</v>
      </c>
      <c r="D254" t="s">
        <v>554</v>
      </c>
      <c r="E254" t="s">
        <v>2</v>
      </c>
      <c r="F254" t="s">
        <v>555</v>
      </c>
      <c r="G254" t="s">
        <v>28</v>
      </c>
      <c r="H254">
        <v>32703</v>
      </c>
      <c r="I254" t="s">
        <v>556</v>
      </c>
      <c r="J254" t="s">
        <v>557</v>
      </c>
      <c r="K254" t="s">
        <v>2</v>
      </c>
      <c r="L254" t="s">
        <v>558</v>
      </c>
      <c r="M254" t="s">
        <v>28</v>
      </c>
      <c r="N254">
        <v>32839</v>
      </c>
      <c r="O254" t="s">
        <v>559</v>
      </c>
      <c r="P254">
        <v>2278480</v>
      </c>
      <c r="Q254" t="s">
        <v>38</v>
      </c>
      <c r="R254">
        <v>415589</v>
      </c>
      <c r="S254" t="s">
        <v>84</v>
      </c>
      <c r="T254" s="2">
        <v>1</v>
      </c>
      <c r="U254">
        <v>0</v>
      </c>
      <c r="V254" t="s">
        <v>153</v>
      </c>
      <c r="W254">
        <v>0</v>
      </c>
      <c r="X254">
        <v>0</v>
      </c>
      <c r="Y254">
        <v>0</v>
      </c>
      <c r="Z254" t="s">
        <v>9</v>
      </c>
      <c r="AA254" t="s">
        <v>2</v>
      </c>
      <c r="AB254" t="s">
        <v>10</v>
      </c>
      <c r="AC254">
        <v>0</v>
      </c>
      <c r="AD254">
        <v>0</v>
      </c>
      <c r="AE254">
        <v>726182084038</v>
      </c>
      <c r="AF254">
        <v>230.25</v>
      </c>
      <c r="AG254">
        <v>0</v>
      </c>
      <c r="AH254">
        <v>17.850000000000001</v>
      </c>
      <c r="AI254">
        <v>248.1</v>
      </c>
      <c r="AJ254" t="s">
        <v>2</v>
      </c>
      <c r="AK254" t="s">
        <v>11</v>
      </c>
    </row>
    <row r="255" spans="1:37">
      <c r="A255">
        <v>257699</v>
      </c>
      <c r="B255" s="1">
        <v>45366</v>
      </c>
      <c r="C255" t="s">
        <v>553</v>
      </c>
      <c r="D255" t="s">
        <v>554</v>
      </c>
      <c r="E255" t="s">
        <v>2</v>
      </c>
      <c r="F255" t="s">
        <v>555</v>
      </c>
      <c r="G255" t="s">
        <v>28</v>
      </c>
      <c r="H255">
        <v>32703</v>
      </c>
      <c r="I255" t="s">
        <v>556</v>
      </c>
      <c r="J255" t="s">
        <v>557</v>
      </c>
      <c r="K255" t="s">
        <v>2</v>
      </c>
      <c r="L255" t="s">
        <v>558</v>
      </c>
      <c r="M255" t="s">
        <v>28</v>
      </c>
      <c r="N255">
        <v>32839</v>
      </c>
      <c r="O255" t="s">
        <v>559</v>
      </c>
      <c r="P255">
        <v>2278480</v>
      </c>
      <c r="Q255" t="s">
        <v>38</v>
      </c>
      <c r="R255">
        <v>415589</v>
      </c>
      <c r="S255" t="s">
        <v>84</v>
      </c>
      <c r="T255" s="2">
        <v>1</v>
      </c>
      <c r="U255">
        <v>0</v>
      </c>
      <c r="V255" t="s">
        <v>153</v>
      </c>
      <c r="W255">
        <v>1</v>
      </c>
      <c r="X255">
        <v>1</v>
      </c>
      <c r="Y255">
        <v>0</v>
      </c>
      <c r="Z255" t="s">
        <v>560</v>
      </c>
      <c r="AA255" t="s">
        <v>561</v>
      </c>
      <c r="AB255" t="s">
        <v>14</v>
      </c>
      <c r="AC255">
        <v>230.25</v>
      </c>
      <c r="AD255">
        <v>230.25</v>
      </c>
      <c r="AE255">
        <v>726182084038</v>
      </c>
      <c r="AF255">
        <v>230.25</v>
      </c>
      <c r="AG255">
        <v>0</v>
      </c>
      <c r="AH255">
        <v>17.850000000000001</v>
      </c>
      <c r="AI255">
        <v>248.1</v>
      </c>
      <c r="AJ255" t="s">
        <v>2</v>
      </c>
      <c r="AK255" t="s">
        <v>11</v>
      </c>
    </row>
    <row r="256" spans="1:37">
      <c r="A256">
        <v>257699</v>
      </c>
      <c r="B256" s="1">
        <v>45366</v>
      </c>
      <c r="C256" t="s">
        <v>553</v>
      </c>
      <c r="D256" t="s">
        <v>554</v>
      </c>
      <c r="E256" t="s">
        <v>2</v>
      </c>
      <c r="F256" t="s">
        <v>555</v>
      </c>
      <c r="G256" t="s">
        <v>28</v>
      </c>
      <c r="H256">
        <v>32703</v>
      </c>
      <c r="I256" t="s">
        <v>556</v>
      </c>
      <c r="J256" t="s">
        <v>557</v>
      </c>
      <c r="K256" t="s">
        <v>2</v>
      </c>
      <c r="L256" t="s">
        <v>558</v>
      </c>
      <c r="M256" t="s">
        <v>28</v>
      </c>
      <c r="N256">
        <v>32839</v>
      </c>
      <c r="O256" t="s">
        <v>559</v>
      </c>
      <c r="P256">
        <v>2278480</v>
      </c>
      <c r="Q256" t="s">
        <v>38</v>
      </c>
      <c r="R256">
        <v>415589</v>
      </c>
      <c r="S256" t="s">
        <v>84</v>
      </c>
      <c r="T256" s="2">
        <v>1</v>
      </c>
      <c r="U256">
        <v>0</v>
      </c>
      <c r="V256" t="s">
        <v>153</v>
      </c>
      <c r="W256">
        <v>0</v>
      </c>
      <c r="X256">
        <v>0</v>
      </c>
      <c r="Y256">
        <v>0</v>
      </c>
      <c r="Z256" t="s">
        <v>88</v>
      </c>
      <c r="AA256" t="s">
        <v>116</v>
      </c>
      <c r="AB256" t="s">
        <v>10</v>
      </c>
      <c r="AC256">
        <v>0</v>
      </c>
      <c r="AD256">
        <v>0</v>
      </c>
      <c r="AE256">
        <v>726182084038</v>
      </c>
      <c r="AF256">
        <v>230.25</v>
      </c>
      <c r="AG256">
        <v>0</v>
      </c>
      <c r="AH256">
        <v>17.850000000000001</v>
      </c>
      <c r="AI256">
        <v>248.1</v>
      </c>
      <c r="AJ256" t="s">
        <v>2</v>
      </c>
      <c r="AK256" t="s">
        <v>11</v>
      </c>
    </row>
    <row r="257" spans="1:37">
      <c r="A257">
        <v>257700</v>
      </c>
      <c r="B257" s="1">
        <v>45366</v>
      </c>
      <c r="C257" t="s">
        <v>562</v>
      </c>
      <c r="D257" t="s">
        <v>563</v>
      </c>
      <c r="E257" t="s">
        <v>564</v>
      </c>
      <c r="F257" t="s">
        <v>565</v>
      </c>
      <c r="G257" t="s">
        <v>566</v>
      </c>
      <c r="H257">
        <v>36607</v>
      </c>
      <c r="I257" t="s">
        <v>567</v>
      </c>
      <c r="J257" t="s">
        <v>568</v>
      </c>
      <c r="K257" t="s">
        <v>2</v>
      </c>
      <c r="L257" t="s">
        <v>565</v>
      </c>
      <c r="M257" t="s">
        <v>566</v>
      </c>
      <c r="N257">
        <v>36606</v>
      </c>
      <c r="O257" t="s">
        <v>569</v>
      </c>
      <c r="P257">
        <v>2278459</v>
      </c>
      <c r="Q257" t="s">
        <v>38</v>
      </c>
      <c r="R257">
        <v>415577</v>
      </c>
      <c r="S257" t="s">
        <v>84</v>
      </c>
      <c r="T257" s="2">
        <v>1</v>
      </c>
      <c r="U257">
        <v>0</v>
      </c>
      <c r="V257" t="s">
        <v>153</v>
      </c>
      <c r="W257">
        <v>0</v>
      </c>
      <c r="X257">
        <v>0</v>
      </c>
      <c r="Y257">
        <v>0</v>
      </c>
      <c r="Z257" t="s">
        <v>9</v>
      </c>
      <c r="AA257" t="s">
        <v>2</v>
      </c>
      <c r="AB257" t="s">
        <v>10</v>
      </c>
      <c r="AC257">
        <v>0</v>
      </c>
      <c r="AD257">
        <v>0</v>
      </c>
      <c r="AE257">
        <v>726182084027</v>
      </c>
      <c r="AF257">
        <v>258.85000000000002</v>
      </c>
      <c r="AG257">
        <v>0</v>
      </c>
      <c r="AH257">
        <v>55.21</v>
      </c>
      <c r="AI257">
        <v>314.06</v>
      </c>
      <c r="AJ257" t="s">
        <v>2</v>
      </c>
      <c r="AK257" t="s">
        <v>11</v>
      </c>
    </row>
    <row r="258" spans="1:37">
      <c r="A258">
        <v>257700</v>
      </c>
      <c r="B258" s="1">
        <v>45366</v>
      </c>
      <c r="C258" t="s">
        <v>562</v>
      </c>
      <c r="D258" t="s">
        <v>563</v>
      </c>
      <c r="E258" t="s">
        <v>564</v>
      </c>
      <c r="F258" t="s">
        <v>565</v>
      </c>
      <c r="G258" t="s">
        <v>566</v>
      </c>
      <c r="H258">
        <v>36607</v>
      </c>
      <c r="I258" t="s">
        <v>567</v>
      </c>
      <c r="J258" t="s">
        <v>568</v>
      </c>
      <c r="K258" t="s">
        <v>2</v>
      </c>
      <c r="L258" t="s">
        <v>565</v>
      </c>
      <c r="M258" t="s">
        <v>566</v>
      </c>
      <c r="N258">
        <v>36606</v>
      </c>
      <c r="O258" t="s">
        <v>569</v>
      </c>
      <c r="P258">
        <v>2278459</v>
      </c>
      <c r="Q258" t="s">
        <v>38</v>
      </c>
      <c r="R258">
        <v>415577</v>
      </c>
      <c r="S258" t="s">
        <v>84</v>
      </c>
      <c r="T258" s="2">
        <v>1</v>
      </c>
      <c r="U258">
        <v>0</v>
      </c>
      <c r="V258" t="s">
        <v>153</v>
      </c>
      <c r="W258">
        <v>1</v>
      </c>
      <c r="X258">
        <v>1</v>
      </c>
      <c r="Y258">
        <v>0</v>
      </c>
      <c r="Z258" t="s">
        <v>570</v>
      </c>
      <c r="AA258" t="s">
        <v>571</v>
      </c>
      <c r="AB258" t="s">
        <v>14</v>
      </c>
      <c r="AC258">
        <v>258.85000000000002</v>
      </c>
      <c r="AD258">
        <v>258.85000000000002</v>
      </c>
      <c r="AE258">
        <v>726182084027</v>
      </c>
      <c r="AF258">
        <v>258.85000000000002</v>
      </c>
      <c r="AG258">
        <v>0</v>
      </c>
      <c r="AH258">
        <v>55.21</v>
      </c>
      <c r="AI258">
        <v>314.06</v>
      </c>
      <c r="AJ258" t="s">
        <v>2</v>
      </c>
      <c r="AK258" t="s">
        <v>11</v>
      </c>
    </row>
    <row r="259" spans="1:37">
      <c r="A259">
        <v>257700</v>
      </c>
      <c r="B259" s="1">
        <v>45366</v>
      </c>
      <c r="C259" t="s">
        <v>562</v>
      </c>
      <c r="D259" t="s">
        <v>563</v>
      </c>
      <c r="E259" t="s">
        <v>564</v>
      </c>
      <c r="F259" t="s">
        <v>565</v>
      </c>
      <c r="G259" t="s">
        <v>566</v>
      </c>
      <c r="H259">
        <v>36607</v>
      </c>
      <c r="I259" t="s">
        <v>567</v>
      </c>
      <c r="J259" t="s">
        <v>568</v>
      </c>
      <c r="K259" t="s">
        <v>2</v>
      </c>
      <c r="L259" t="s">
        <v>565</v>
      </c>
      <c r="M259" t="s">
        <v>566</v>
      </c>
      <c r="N259">
        <v>36606</v>
      </c>
      <c r="O259" t="s">
        <v>569</v>
      </c>
      <c r="P259">
        <v>2278459</v>
      </c>
      <c r="Q259" t="s">
        <v>38</v>
      </c>
      <c r="R259">
        <v>415577</v>
      </c>
      <c r="S259" t="s">
        <v>84</v>
      </c>
      <c r="T259" s="2">
        <v>1</v>
      </c>
      <c r="U259">
        <v>0</v>
      </c>
      <c r="V259" t="s">
        <v>153</v>
      </c>
      <c r="W259">
        <v>0</v>
      </c>
      <c r="X259">
        <v>0</v>
      </c>
      <c r="Y259">
        <v>0</v>
      </c>
      <c r="Z259" t="s">
        <v>88</v>
      </c>
      <c r="AA259" t="s">
        <v>317</v>
      </c>
      <c r="AB259" t="s">
        <v>10</v>
      </c>
      <c r="AC259">
        <v>0</v>
      </c>
      <c r="AD259">
        <v>0</v>
      </c>
      <c r="AE259">
        <v>726182084027</v>
      </c>
      <c r="AF259">
        <v>258.85000000000002</v>
      </c>
      <c r="AG259">
        <v>0</v>
      </c>
      <c r="AH259">
        <v>55.21</v>
      </c>
      <c r="AI259">
        <v>314.06</v>
      </c>
      <c r="AJ259" t="s">
        <v>2</v>
      </c>
      <c r="AK259" t="s">
        <v>11</v>
      </c>
    </row>
    <row r="260" spans="1:37">
      <c r="A260">
        <v>257701</v>
      </c>
      <c r="B260" s="1">
        <v>45366</v>
      </c>
      <c r="C260" t="s">
        <v>572</v>
      </c>
      <c r="D260" t="s">
        <v>573</v>
      </c>
      <c r="E260" t="s">
        <v>2</v>
      </c>
      <c r="F260" t="s">
        <v>574</v>
      </c>
      <c r="G260" t="s">
        <v>575</v>
      </c>
      <c r="H260">
        <v>48189</v>
      </c>
      <c r="I260" t="s">
        <v>576</v>
      </c>
      <c r="J260" t="s">
        <v>577</v>
      </c>
      <c r="K260" t="s">
        <v>2</v>
      </c>
      <c r="L260" t="s">
        <v>578</v>
      </c>
      <c r="M260" t="s">
        <v>579</v>
      </c>
      <c r="N260" t="s">
        <v>580</v>
      </c>
      <c r="O260" t="s">
        <v>581</v>
      </c>
      <c r="P260">
        <v>2278454</v>
      </c>
      <c r="Q260" t="s">
        <v>38</v>
      </c>
      <c r="R260">
        <v>415576</v>
      </c>
      <c r="S260" t="s">
        <v>84</v>
      </c>
      <c r="T260" s="2">
        <v>1</v>
      </c>
      <c r="U260">
        <v>0</v>
      </c>
      <c r="V260" t="s">
        <v>153</v>
      </c>
      <c r="W260">
        <v>0</v>
      </c>
      <c r="X260">
        <v>0</v>
      </c>
      <c r="Y260">
        <v>0</v>
      </c>
      <c r="Z260" t="s">
        <v>9</v>
      </c>
      <c r="AA260" t="s">
        <v>2</v>
      </c>
      <c r="AB260" t="s">
        <v>10</v>
      </c>
      <c r="AC260">
        <v>0</v>
      </c>
      <c r="AD260">
        <v>0</v>
      </c>
      <c r="AE260">
        <v>726182084050</v>
      </c>
      <c r="AF260">
        <v>106.5</v>
      </c>
      <c r="AG260">
        <v>0</v>
      </c>
      <c r="AH260">
        <v>13.54</v>
      </c>
      <c r="AI260">
        <v>120.04</v>
      </c>
      <c r="AJ260" t="s">
        <v>2</v>
      </c>
      <c r="AK260" t="s">
        <v>11</v>
      </c>
    </row>
    <row r="261" spans="1:37">
      <c r="A261">
        <v>257701</v>
      </c>
      <c r="B261" s="1">
        <v>45366</v>
      </c>
      <c r="C261" t="s">
        <v>572</v>
      </c>
      <c r="D261" t="s">
        <v>573</v>
      </c>
      <c r="E261" t="s">
        <v>2</v>
      </c>
      <c r="F261" t="s">
        <v>574</v>
      </c>
      <c r="G261" t="s">
        <v>575</v>
      </c>
      <c r="H261">
        <v>48189</v>
      </c>
      <c r="I261" t="s">
        <v>576</v>
      </c>
      <c r="J261" t="s">
        <v>577</v>
      </c>
      <c r="K261" t="s">
        <v>2</v>
      </c>
      <c r="L261" t="s">
        <v>578</v>
      </c>
      <c r="M261" t="s">
        <v>579</v>
      </c>
      <c r="N261" t="s">
        <v>580</v>
      </c>
      <c r="O261" t="s">
        <v>581</v>
      </c>
      <c r="P261">
        <v>2278454</v>
      </c>
      <c r="Q261" t="s">
        <v>38</v>
      </c>
      <c r="R261">
        <v>415576</v>
      </c>
      <c r="S261" t="s">
        <v>84</v>
      </c>
      <c r="T261" s="2">
        <v>1</v>
      </c>
      <c r="U261">
        <v>0</v>
      </c>
      <c r="V261" t="s">
        <v>153</v>
      </c>
      <c r="W261">
        <v>1</v>
      </c>
      <c r="X261">
        <v>1</v>
      </c>
      <c r="Y261">
        <v>0</v>
      </c>
      <c r="Z261" t="s">
        <v>582</v>
      </c>
      <c r="AA261" t="s">
        <v>583</v>
      </c>
      <c r="AB261" t="s">
        <v>14</v>
      </c>
      <c r="AC261">
        <v>106.5</v>
      </c>
      <c r="AD261">
        <v>106.5</v>
      </c>
      <c r="AE261">
        <v>726182084050</v>
      </c>
      <c r="AF261">
        <v>106.5</v>
      </c>
      <c r="AG261">
        <v>0</v>
      </c>
      <c r="AH261">
        <v>13.54</v>
      </c>
      <c r="AI261">
        <v>120.04</v>
      </c>
      <c r="AJ261" t="s">
        <v>2</v>
      </c>
      <c r="AK261" t="s">
        <v>11</v>
      </c>
    </row>
    <row r="262" spans="1:37">
      <c r="A262">
        <v>257701</v>
      </c>
      <c r="B262" s="1">
        <v>45366</v>
      </c>
      <c r="C262" t="s">
        <v>572</v>
      </c>
      <c r="D262" t="s">
        <v>573</v>
      </c>
      <c r="E262" t="s">
        <v>2</v>
      </c>
      <c r="F262" t="s">
        <v>574</v>
      </c>
      <c r="G262" t="s">
        <v>575</v>
      </c>
      <c r="H262">
        <v>48189</v>
      </c>
      <c r="I262" t="s">
        <v>576</v>
      </c>
      <c r="J262" t="s">
        <v>577</v>
      </c>
      <c r="K262" t="s">
        <v>2</v>
      </c>
      <c r="L262" t="s">
        <v>578</v>
      </c>
      <c r="M262" t="s">
        <v>579</v>
      </c>
      <c r="N262" t="s">
        <v>580</v>
      </c>
      <c r="O262" t="s">
        <v>581</v>
      </c>
      <c r="P262">
        <v>2278454</v>
      </c>
      <c r="Q262" t="s">
        <v>38</v>
      </c>
      <c r="R262">
        <v>415576</v>
      </c>
      <c r="S262" t="s">
        <v>84</v>
      </c>
      <c r="T262" s="2">
        <v>1</v>
      </c>
      <c r="U262">
        <v>0</v>
      </c>
      <c r="V262" t="s">
        <v>153</v>
      </c>
      <c r="W262">
        <v>0</v>
      </c>
      <c r="X262">
        <v>0</v>
      </c>
      <c r="Y262">
        <v>0</v>
      </c>
      <c r="Z262" t="s">
        <v>88</v>
      </c>
      <c r="AA262" t="s">
        <v>251</v>
      </c>
      <c r="AB262" t="s">
        <v>10</v>
      </c>
      <c r="AC262">
        <v>0</v>
      </c>
      <c r="AD262">
        <v>0</v>
      </c>
      <c r="AE262">
        <v>726182084050</v>
      </c>
      <c r="AF262">
        <v>106.5</v>
      </c>
      <c r="AG262">
        <v>0</v>
      </c>
      <c r="AH262">
        <v>13.54</v>
      </c>
      <c r="AI262">
        <v>120.04</v>
      </c>
      <c r="AJ262" t="s">
        <v>2</v>
      </c>
      <c r="AK262" t="s">
        <v>11</v>
      </c>
    </row>
    <row r="263" spans="1:37">
      <c r="A263">
        <v>257702</v>
      </c>
      <c r="B263" s="1">
        <v>45366</v>
      </c>
      <c r="C263" t="s">
        <v>450</v>
      </c>
      <c r="D263" t="s">
        <v>451</v>
      </c>
      <c r="E263" t="s">
        <v>452</v>
      </c>
      <c r="F263" t="s">
        <v>453</v>
      </c>
      <c r="G263" t="s">
        <v>255</v>
      </c>
      <c r="H263">
        <v>60517</v>
      </c>
      <c r="I263" t="s">
        <v>584</v>
      </c>
      <c r="J263" t="s">
        <v>585</v>
      </c>
      <c r="K263" t="s">
        <v>2</v>
      </c>
      <c r="L263" t="s">
        <v>586</v>
      </c>
      <c r="M263" t="s">
        <v>587</v>
      </c>
      <c r="N263" t="s">
        <v>588</v>
      </c>
      <c r="O263" t="s">
        <v>458</v>
      </c>
      <c r="P263">
        <v>2278455</v>
      </c>
      <c r="Q263" t="s">
        <v>38</v>
      </c>
      <c r="R263">
        <v>415574</v>
      </c>
      <c r="S263" t="s">
        <v>84</v>
      </c>
      <c r="T263" s="2">
        <v>1</v>
      </c>
      <c r="U263">
        <v>0</v>
      </c>
      <c r="V263" t="s">
        <v>153</v>
      </c>
      <c r="W263">
        <v>0</v>
      </c>
      <c r="X263">
        <v>0</v>
      </c>
      <c r="Y263">
        <v>0</v>
      </c>
      <c r="Z263" t="s">
        <v>9</v>
      </c>
      <c r="AA263" t="s">
        <v>2</v>
      </c>
      <c r="AB263" t="s">
        <v>10</v>
      </c>
      <c r="AC263">
        <v>0</v>
      </c>
      <c r="AD263">
        <v>0</v>
      </c>
      <c r="AE263">
        <v>726182083833</v>
      </c>
      <c r="AF263">
        <v>209.04</v>
      </c>
      <c r="AG263">
        <v>0</v>
      </c>
      <c r="AH263">
        <v>35.22</v>
      </c>
      <c r="AI263">
        <v>244.26</v>
      </c>
      <c r="AJ263" t="s">
        <v>2</v>
      </c>
      <c r="AK263" t="s">
        <v>11</v>
      </c>
    </row>
    <row r="264" spans="1:37">
      <c r="A264">
        <v>257702</v>
      </c>
      <c r="B264" s="1">
        <v>45366</v>
      </c>
      <c r="C264" t="s">
        <v>450</v>
      </c>
      <c r="D264" t="s">
        <v>451</v>
      </c>
      <c r="E264" t="s">
        <v>452</v>
      </c>
      <c r="F264" t="s">
        <v>453</v>
      </c>
      <c r="G264" t="s">
        <v>255</v>
      </c>
      <c r="H264">
        <v>60517</v>
      </c>
      <c r="I264" t="s">
        <v>584</v>
      </c>
      <c r="J264" t="s">
        <v>585</v>
      </c>
      <c r="K264" t="s">
        <v>2</v>
      </c>
      <c r="L264" t="s">
        <v>586</v>
      </c>
      <c r="M264" t="s">
        <v>587</v>
      </c>
      <c r="N264" t="s">
        <v>588</v>
      </c>
      <c r="O264" t="s">
        <v>458</v>
      </c>
      <c r="P264">
        <v>2278455</v>
      </c>
      <c r="Q264" t="s">
        <v>38</v>
      </c>
      <c r="R264">
        <v>415574</v>
      </c>
      <c r="S264" t="s">
        <v>84</v>
      </c>
      <c r="T264" s="2">
        <v>1</v>
      </c>
      <c r="U264">
        <v>0</v>
      </c>
      <c r="V264" t="s">
        <v>153</v>
      </c>
      <c r="W264">
        <v>1</v>
      </c>
      <c r="X264">
        <v>1</v>
      </c>
      <c r="Y264">
        <v>0</v>
      </c>
      <c r="Z264" t="s">
        <v>333</v>
      </c>
      <c r="AA264" t="s">
        <v>334</v>
      </c>
      <c r="AB264" t="s">
        <v>14</v>
      </c>
      <c r="AC264">
        <v>209.04</v>
      </c>
      <c r="AD264">
        <v>209.04</v>
      </c>
      <c r="AE264">
        <v>726182083833</v>
      </c>
      <c r="AF264">
        <v>209.04</v>
      </c>
      <c r="AG264">
        <v>0</v>
      </c>
      <c r="AH264">
        <v>35.22</v>
      </c>
      <c r="AI264">
        <v>244.26</v>
      </c>
      <c r="AJ264" t="s">
        <v>2</v>
      </c>
      <c r="AK264" t="s">
        <v>11</v>
      </c>
    </row>
    <row r="265" spans="1:37">
      <c r="A265">
        <v>257702</v>
      </c>
      <c r="B265" s="1">
        <v>45366</v>
      </c>
      <c r="C265" t="s">
        <v>450</v>
      </c>
      <c r="D265" t="s">
        <v>451</v>
      </c>
      <c r="E265" t="s">
        <v>452</v>
      </c>
      <c r="F265" t="s">
        <v>453</v>
      </c>
      <c r="G265" t="s">
        <v>255</v>
      </c>
      <c r="H265">
        <v>60517</v>
      </c>
      <c r="I265" t="s">
        <v>584</v>
      </c>
      <c r="J265" t="s">
        <v>585</v>
      </c>
      <c r="K265" t="s">
        <v>2</v>
      </c>
      <c r="L265" t="s">
        <v>586</v>
      </c>
      <c r="M265" t="s">
        <v>587</v>
      </c>
      <c r="N265" t="s">
        <v>588</v>
      </c>
      <c r="O265" t="s">
        <v>458</v>
      </c>
      <c r="P265">
        <v>2278455</v>
      </c>
      <c r="Q265" t="s">
        <v>38</v>
      </c>
      <c r="R265">
        <v>415574</v>
      </c>
      <c r="S265" t="s">
        <v>84</v>
      </c>
      <c r="T265" s="2">
        <v>1</v>
      </c>
      <c r="U265">
        <v>0</v>
      </c>
      <c r="V265" t="s">
        <v>153</v>
      </c>
      <c r="W265">
        <v>0</v>
      </c>
      <c r="X265">
        <v>0</v>
      </c>
      <c r="Y265">
        <v>0</v>
      </c>
      <c r="Z265" t="s">
        <v>88</v>
      </c>
      <c r="AA265" t="s">
        <v>251</v>
      </c>
      <c r="AB265" t="s">
        <v>10</v>
      </c>
      <c r="AC265">
        <v>0</v>
      </c>
      <c r="AD265">
        <v>0</v>
      </c>
      <c r="AE265">
        <v>726182083833</v>
      </c>
      <c r="AF265">
        <v>209.04</v>
      </c>
      <c r="AG265">
        <v>0</v>
      </c>
      <c r="AH265">
        <v>35.22</v>
      </c>
      <c r="AI265">
        <v>244.26</v>
      </c>
      <c r="AJ265" t="s">
        <v>2</v>
      </c>
      <c r="AK265" t="s">
        <v>11</v>
      </c>
    </row>
    <row r="266" spans="1:37">
      <c r="A266">
        <v>257703</v>
      </c>
      <c r="B266" s="1">
        <v>45366</v>
      </c>
      <c r="C266" t="s">
        <v>589</v>
      </c>
      <c r="D266" t="s">
        <v>590</v>
      </c>
      <c r="E266" t="s">
        <v>2</v>
      </c>
      <c r="F266" t="s">
        <v>591</v>
      </c>
      <c r="G266" t="s">
        <v>75</v>
      </c>
      <c r="H266">
        <v>55112</v>
      </c>
      <c r="I266" t="s">
        <v>592</v>
      </c>
      <c r="J266" t="s">
        <v>593</v>
      </c>
      <c r="K266" t="s">
        <v>2</v>
      </c>
      <c r="L266" t="s">
        <v>594</v>
      </c>
      <c r="M266" t="s">
        <v>75</v>
      </c>
      <c r="N266" t="s">
        <v>595</v>
      </c>
      <c r="O266" t="s">
        <v>596</v>
      </c>
      <c r="P266">
        <v>2278429</v>
      </c>
      <c r="Q266" t="s">
        <v>38</v>
      </c>
      <c r="R266">
        <v>415562</v>
      </c>
      <c r="S266" t="s">
        <v>84</v>
      </c>
      <c r="T266" s="2">
        <v>2</v>
      </c>
      <c r="U266">
        <v>0</v>
      </c>
      <c r="V266" t="s">
        <v>153</v>
      </c>
      <c r="W266">
        <v>0</v>
      </c>
      <c r="X266">
        <v>0</v>
      </c>
      <c r="Y266">
        <v>0</v>
      </c>
      <c r="Z266" t="s">
        <v>9</v>
      </c>
      <c r="AA266" t="s">
        <v>2</v>
      </c>
      <c r="AB266" t="s">
        <v>10</v>
      </c>
      <c r="AC266">
        <v>0</v>
      </c>
      <c r="AD266">
        <v>0</v>
      </c>
      <c r="AE266">
        <v>726182083855</v>
      </c>
      <c r="AF266">
        <v>298.94</v>
      </c>
      <c r="AG266">
        <v>0</v>
      </c>
      <c r="AH266">
        <v>51.63</v>
      </c>
      <c r="AI266">
        <v>350.57</v>
      </c>
      <c r="AJ266" t="s">
        <v>2</v>
      </c>
      <c r="AK266" t="s">
        <v>11</v>
      </c>
    </row>
    <row r="267" spans="1:37">
      <c r="A267">
        <v>257703</v>
      </c>
      <c r="B267" s="1">
        <v>45366</v>
      </c>
      <c r="C267" t="s">
        <v>589</v>
      </c>
      <c r="D267" t="s">
        <v>590</v>
      </c>
      <c r="E267" t="s">
        <v>2</v>
      </c>
      <c r="F267" t="s">
        <v>591</v>
      </c>
      <c r="G267" t="s">
        <v>75</v>
      </c>
      <c r="H267">
        <v>55112</v>
      </c>
      <c r="I267" t="s">
        <v>592</v>
      </c>
      <c r="J267" t="s">
        <v>593</v>
      </c>
      <c r="K267" t="s">
        <v>2</v>
      </c>
      <c r="L267" t="s">
        <v>594</v>
      </c>
      <c r="M267" t="s">
        <v>75</v>
      </c>
      <c r="N267" t="s">
        <v>595</v>
      </c>
      <c r="O267" t="s">
        <v>596</v>
      </c>
      <c r="P267">
        <v>2278429</v>
      </c>
      <c r="Q267" t="s">
        <v>38</v>
      </c>
      <c r="R267">
        <v>415562</v>
      </c>
      <c r="S267" t="s">
        <v>84</v>
      </c>
      <c r="T267" s="2">
        <v>2</v>
      </c>
      <c r="U267">
        <v>0</v>
      </c>
      <c r="V267" t="s">
        <v>153</v>
      </c>
      <c r="W267">
        <v>1</v>
      </c>
      <c r="X267">
        <v>1</v>
      </c>
      <c r="Y267">
        <v>0</v>
      </c>
      <c r="Z267" t="s">
        <v>597</v>
      </c>
      <c r="AA267" t="s">
        <v>598</v>
      </c>
      <c r="AB267" t="s">
        <v>14</v>
      </c>
      <c r="AC267">
        <v>149.47</v>
      </c>
      <c r="AD267">
        <v>149.47</v>
      </c>
      <c r="AE267">
        <v>726182083855</v>
      </c>
      <c r="AF267">
        <v>298.94</v>
      </c>
      <c r="AG267">
        <v>0</v>
      </c>
      <c r="AH267">
        <v>51.63</v>
      </c>
      <c r="AI267">
        <v>350.57</v>
      </c>
      <c r="AJ267" t="s">
        <v>2</v>
      </c>
      <c r="AK267" t="s">
        <v>11</v>
      </c>
    </row>
    <row r="268" spans="1:37">
      <c r="A268">
        <v>257703</v>
      </c>
      <c r="B268" s="1">
        <v>45366</v>
      </c>
      <c r="C268" t="s">
        <v>589</v>
      </c>
      <c r="D268" t="s">
        <v>590</v>
      </c>
      <c r="E268" t="s">
        <v>2</v>
      </c>
      <c r="F268" t="s">
        <v>591</v>
      </c>
      <c r="G268" t="s">
        <v>75</v>
      </c>
      <c r="H268">
        <v>55112</v>
      </c>
      <c r="I268" t="s">
        <v>592</v>
      </c>
      <c r="J268" t="s">
        <v>593</v>
      </c>
      <c r="K268" t="s">
        <v>2</v>
      </c>
      <c r="L268" t="s">
        <v>594</v>
      </c>
      <c r="M268" t="s">
        <v>75</v>
      </c>
      <c r="N268" t="s">
        <v>595</v>
      </c>
      <c r="O268" t="s">
        <v>596</v>
      </c>
      <c r="P268">
        <v>2278429</v>
      </c>
      <c r="Q268" t="s">
        <v>38</v>
      </c>
      <c r="R268">
        <v>415562</v>
      </c>
      <c r="S268" t="s">
        <v>84</v>
      </c>
      <c r="T268" s="2">
        <v>2</v>
      </c>
      <c r="U268">
        <v>0</v>
      </c>
      <c r="V268" t="s">
        <v>153</v>
      </c>
      <c r="W268">
        <v>0</v>
      </c>
      <c r="X268">
        <v>0</v>
      </c>
      <c r="Y268">
        <v>0</v>
      </c>
      <c r="Z268" t="s">
        <v>88</v>
      </c>
      <c r="AA268" t="s">
        <v>107</v>
      </c>
      <c r="AB268" t="s">
        <v>10</v>
      </c>
      <c r="AC268">
        <v>0</v>
      </c>
      <c r="AD268">
        <v>0</v>
      </c>
      <c r="AE268">
        <v>726182083855</v>
      </c>
      <c r="AF268">
        <v>298.94</v>
      </c>
      <c r="AG268">
        <v>0</v>
      </c>
      <c r="AH268">
        <v>51.63</v>
      </c>
      <c r="AI268">
        <v>350.57</v>
      </c>
      <c r="AJ268" t="s">
        <v>2</v>
      </c>
      <c r="AK268" t="s">
        <v>11</v>
      </c>
    </row>
    <row r="269" spans="1:37">
      <c r="A269">
        <v>257703</v>
      </c>
      <c r="B269" s="1">
        <v>45366</v>
      </c>
      <c r="C269" t="s">
        <v>589</v>
      </c>
      <c r="D269" t="s">
        <v>590</v>
      </c>
      <c r="E269" t="s">
        <v>2</v>
      </c>
      <c r="F269" t="s">
        <v>591</v>
      </c>
      <c r="G269" t="s">
        <v>75</v>
      </c>
      <c r="H269">
        <v>55112</v>
      </c>
      <c r="I269" t="s">
        <v>592</v>
      </c>
      <c r="J269" t="s">
        <v>593</v>
      </c>
      <c r="K269" t="s">
        <v>2</v>
      </c>
      <c r="L269" t="s">
        <v>594</v>
      </c>
      <c r="M269" t="s">
        <v>75</v>
      </c>
      <c r="N269" t="s">
        <v>595</v>
      </c>
      <c r="O269" t="s">
        <v>596</v>
      </c>
      <c r="P269">
        <v>2278429</v>
      </c>
      <c r="Q269" t="s">
        <v>38</v>
      </c>
      <c r="R269">
        <v>415562</v>
      </c>
      <c r="S269" t="s">
        <v>84</v>
      </c>
      <c r="T269" s="2">
        <v>2</v>
      </c>
      <c r="U269">
        <v>0</v>
      </c>
      <c r="V269" t="s">
        <v>153</v>
      </c>
      <c r="W269">
        <v>1</v>
      </c>
      <c r="X269">
        <v>1</v>
      </c>
      <c r="Y269">
        <v>0</v>
      </c>
      <c r="Z269" t="s">
        <v>599</v>
      </c>
      <c r="AA269" t="s">
        <v>600</v>
      </c>
      <c r="AB269" t="s">
        <v>14</v>
      </c>
      <c r="AC269">
        <v>149.47</v>
      </c>
      <c r="AD269">
        <v>149.47</v>
      </c>
      <c r="AE269">
        <v>726182083855</v>
      </c>
      <c r="AF269">
        <v>298.94</v>
      </c>
      <c r="AG269">
        <v>0</v>
      </c>
      <c r="AH269">
        <v>51.63</v>
      </c>
      <c r="AI269">
        <v>350.57</v>
      </c>
      <c r="AJ269" t="s">
        <v>2</v>
      </c>
      <c r="AK269" t="s">
        <v>11</v>
      </c>
    </row>
    <row r="270" spans="1:37">
      <c r="A270">
        <v>257703</v>
      </c>
      <c r="B270" s="1">
        <v>45366</v>
      </c>
      <c r="C270" t="s">
        <v>589</v>
      </c>
      <c r="D270" t="s">
        <v>590</v>
      </c>
      <c r="E270" t="s">
        <v>2</v>
      </c>
      <c r="F270" t="s">
        <v>591</v>
      </c>
      <c r="G270" t="s">
        <v>75</v>
      </c>
      <c r="H270">
        <v>55112</v>
      </c>
      <c r="I270" t="s">
        <v>592</v>
      </c>
      <c r="J270" t="s">
        <v>593</v>
      </c>
      <c r="K270" t="s">
        <v>2</v>
      </c>
      <c r="L270" t="s">
        <v>594</v>
      </c>
      <c r="M270" t="s">
        <v>75</v>
      </c>
      <c r="N270" t="s">
        <v>595</v>
      </c>
      <c r="O270" t="s">
        <v>596</v>
      </c>
      <c r="P270">
        <v>2278429</v>
      </c>
      <c r="Q270" t="s">
        <v>38</v>
      </c>
      <c r="R270">
        <v>415562</v>
      </c>
      <c r="S270" t="s">
        <v>84</v>
      </c>
      <c r="T270" s="2">
        <v>2</v>
      </c>
      <c r="U270">
        <v>0</v>
      </c>
      <c r="V270" t="s">
        <v>153</v>
      </c>
      <c r="W270">
        <v>0</v>
      </c>
      <c r="X270">
        <v>0</v>
      </c>
      <c r="Y270">
        <v>0</v>
      </c>
      <c r="Z270" t="s">
        <v>88</v>
      </c>
      <c r="AA270" t="s">
        <v>107</v>
      </c>
      <c r="AB270" t="s">
        <v>10</v>
      </c>
      <c r="AC270">
        <v>0</v>
      </c>
      <c r="AD270">
        <v>0</v>
      </c>
      <c r="AE270">
        <v>726182083855</v>
      </c>
      <c r="AF270">
        <v>298.94</v>
      </c>
      <c r="AG270">
        <v>0</v>
      </c>
      <c r="AH270">
        <v>51.63</v>
      </c>
      <c r="AI270">
        <v>350.57</v>
      </c>
      <c r="AJ270" t="s">
        <v>2</v>
      </c>
      <c r="AK270" t="s">
        <v>11</v>
      </c>
    </row>
    <row r="271" spans="1:37">
      <c r="A271">
        <v>257704</v>
      </c>
      <c r="B271" s="1">
        <v>45366</v>
      </c>
      <c r="C271" t="s">
        <v>601</v>
      </c>
      <c r="D271" t="s">
        <v>602</v>
      </c>
      <c r="E271" t="s">
        <v>2</v>
      </c>
      <c r="F271" t="s">
        <v>603</v>
      </c>
      <c r="G271" t="s">
        <v>566</v>
      </c>
      <c r="H271">
        <v>35209</v>
      </c>
      <c r="I271" t="s">
        <v>604</v>
      </c>
      <c r="J271" t="s">
        <v>605</v>
      </c>
      <c r="K271" t="s">
        <v>2</v>
      </c>
      <c r="L271" t="s">
        <v>606</v>
      </c>
      <c r="M271" t="s">
        <v>566</v>
      </c>
      <c r="N271" t="s">
        <v>607</v>
      </c>
      <c r="O271" t="s">
        <v>608</v>
      </c>
      <c r="P271">
        <v>2278427</v>
      </c>
      <c r="Q271" t="s">
        <v>38</v>
      </c>
      <c r="R271">
        <v>415561</v>
      </c>
      <c r="S271" t="s">
        <v>84</v>
      </c>
      <c r="T271" s="2">
        <v>1</v>
      </c>
      <c r="U271">
        <v>0</v>
      </c>
      <c r="V271" t="s">
        <v>153</v>
      </c>
      <c r="W271">
        <v>0</v>
      </c>
      <c r="X271">
        <v>0</v>
      </c>
      <c r="Y271">
        <v>0</v>
      </c>
      <c r="Z271" t="s">
        <v>9</v>
      </c>
      <c r="AA271" t="s">
        <v>2</v>
      </c>
      <c r="AB271" t="s">
        <v>10</v>
      </c>
      <c r="AC271">
        <v>0</v>
      </c>
      <c r="AD271">
        <v>0</v>
      </c>
      <c r="AE271">
        <v>726182083866</v>
      </c>
      <c r="AF271">
        <v>995.46</v>
      </c>
      <c r="AG271">
        <v>0</v>
      </c>
      <c r="AH271">
        <v>48.73</v>
      </c>
      <c r="AI271">
        <v>1044.19</v>
      </c>
      <c r="AJ271" t="s">
        <v>2</v>
      </c>
      <c r="AK271" t="s">
        <v>11</v>
      </c>
    </row>
    <row r="272" spans="1:37">
      <c r="A272">
        <v>257704</v>
      </c>
      <c r="B272" s="1">
        <v>45366</v>
      </c>
      <c r="C272" t="s">
        <v>601</v>
      </c>
      <c r="D272" t="s">
        <v>602</v>
      </c>
      <c r="E272" t="s">
        <v>2</v>
      </c>
      <c r="F272" t="s">
        <v>603</v>
      </c>
      <c r="G272" t="s">
        <v>566</v>
      </c>
      <c r="H272">
        <v>35209</v>
      </c>
      <c r="I272" t="s">
        <v>604</v>
      </c>
      <c r="J272" t="s">
        <v>605</v>
      </c>
      <c r="K272" t="s">
        <v>2</v>
      </c>
      <c r="L272" t="s">
        <v>606</v>
      </c>
      <c r="M272" t="s">
        <v>566</v>
      </c>
      <c r="N272" t="s">
        <v>607</v>
      </c>
      <c r="O272" t="s">
        <v>608</v>
      </c>
      <c r="P272">
        <v>2278427</v>
      </c>
      <c r="Q272" t="s">
        <v>38</v>
      </c>
      <c r="R272">
        <v>415561</v>
      </c>
      <c r="S272" t="s">
        <v>84</v>
      </c>
      <c r="T272" s="2">
        <v>1</v>
      </c>
      <c r="U272">
        <v>0</v>
      </c>
      <c r="V272" t="s">
        <v>153</v>
      </c>
      <c r="W272">
        <v>1</v>
      </c>
      <c r="X272">
        <v>1</v>
      </c>
      <c r="Y272">
        <v>0</v>
      </c>
      <c r="Z272" t="s">
        <v>609</v>
      </c>
      <c r="AA272" t="s">
        <v>610</v>
      </c>
      <c r="AB272" t="s">
        <v>14</v>
      </c>
      <c r="AC272">
        <v>995.46</v>
      </c>
      <c r="AD272">
        <v>995.46</v>
      </c>
      <c r="AE272">
        <v>726182083866</v>
      </c>
      <c r="AF272">
        <v>995.46</v>
      </c>
      <c r="AG272">
        <v>0</v>
      </c>
      <c r="AH272">
        <v>48.73</v>
      </c>
      <c r="AI272">
        <v>1044.19</v>
      </c>
      <c r="AJ272" t="s">
        <v>2</v>
      </c>
      <c r="AK272" t="s">
        <v>11</v>
      </c>
    </row>
    <row r="273" spans="1:37">
      <c r="A273">
        <v>257704</v>
      </c>
      <c r="B273" s="1">
        <v>45366</v>
      </c>
      <c r="C273" t="s">
        <v>601</v>
      </c>
      <c r="D273" t="s">
        <v>602</v>
      </c>
      <c r="E273" t="s">
        <v>2</v>
      </c>
      <c r="F273" t="s">
        <v>603</v>
      </c>
      <c r="G273" t="s">
        <v>566</v>
      </c>
      <c r="H273">
        <v>35209</v>
      </c>
      <c r="I273" t="s">
        <v>604</v>
      </c>
      <c r="J273" t="s">
        <v>605</v>
      </c>
      <c r="K273" t="s">
        <v>2</v>
      </c>
      <c r="L273" t="s">
        <v>606</v>
      </c>
      <c r="M273" t="s">
        <v>566</v>
      </c>
      <c r="N273" t="s">
        <v>607</v>
      </c>
      <c r="O273" t="s">
        <v>608</v>
      </c>
      <c r="P273">
        <v>2278427</v>
      </c>
      <c r="Q273" t="s">
        <v>38</v>
      </c>
      <c r="R273">
        <v>415561</v>
      </c>
      <c r="S273" t="s">
        <v>84</v>
      </c>
      <c r="T273" s="2">
        <v>1</v>
      </c>
      <c r="U273">
        <v>0</v>
      </c>
      <c r="V273" t="s">
        <v>153</v>
      </c>
      <c r="W273">
        <v>0</v>
      </c>
      <c r="X273">
        <v>0</v>
      </c>
      <c r="Y273">
        <v>0</v>
      </c>
      <c r="Z273" t="s">
        <v>88</v>
      </c>
      <c r="AA273" t="s">
        <v>251</v>
      </c>
      <c r="AB273" t="s">
        <v>10</v>
      </c>
      <c r="AC273">
        <v>0</v>
      </c>
      <c r="AD273">
        <v>0</v>
      </c>
      <c r="AE273">
        <v>726182083866</v>
      </c>
      <c r="AF273">
        <v>995.46</v>
      </c>
      <c r="AG273">
        <v>0</v>
      </c>
      <c r="AH273">
        <v>48.73</v>
      </c>
      <c r="AI273">
        <v>1044.19</v>
      </c>
      <c r="AJ273" t="s">
        <v>2</v>
      </c>
      <c r="AK273" t="s">
        <v>11</v>
      </c>
    </row>
    <row r="274" spans="1:37">
      <c r="A274">
        <v>257705</v>
      </c>
      <c r="B274" s="1">
        <v>45366</v>
      </c>
      <c r="C274" t="s">
        <v>531</v>
      </c>
      <c r="D274" t="s">
        <v>532</v>
      </c>
      <c r="E274" t="s">
        <v>533</v>
      </c>
      <c r="F274" t="s">
        <v>534</v>
      </c>
      <c r="G274" t="s">
        <v>535</v>
      </c>
      <c r="H274">
        <v>30144</v>
      </c>
      <c r="I274" t="s">
        <v>611</v>
      </c>
      <c r="J274" t="s">
        <v>612</v>
      </c>
      <c r="K274" t="s">
        <v>2</v>
      </c>
      <c r="L274" t="s">
        <v>613</v>
      </c>
      <c r="M274" t="s">
        <v>535</v>
      </c>
      <c r="N274" t="s">
        <v>614</v>
      </c>
      <c r="O274" t="s">
        <v>541</v>
      </c>
      <c r="P274">
        <v>2278428</v>
      </c>
      <c r="Q274" t="s">
        <v>38</v>
      </c>
      <c r="R274">
        <v>415560</v>
      </c>
      <c r="S274" t="s">
        <v>84</v>
      </c>
      <c r="T274" s="2">
        <v>1</v>
      </c>
      <c r="U274">
        <v>0</v>
      </c>
      <c r="V274" t="s">
        <v>153</v>
      </c>
      <c r="W274">
        <v>0</v>
      </c>
      <c r="X274">
        <v>0</v>
      </c>
      <c r="Y274">
        <v>0</v>
      </c>
      <c r="Z274" t="s">
        <v>9</v>
      </c>
      <c r="AA274" t="s">
        <v>2</v>
      </c>
      <c r="AB274" t="s">
        <v>10</v>
      </c>
      <c r="AC274">
        <v>0</v>
      </c>
      <c r="AD274">
        <v>0</v>
      </c>
      <c r="AE274">
        <v>726182084049</v>
      </c>
      <c r="AF274">
        <v>76.14</v>
      </c>
      <c r="AG274">
        <v>0</v>
      </c>
      <c r="AH274">
        <v>27.16</v>
      </c>
      <c r="AI274">
        <v>103.3</v>
      </c>
      <c r="AJ274" t="s">
        <v>2</v>
      </c>
      <c r="AK274" t="s">
        <v>11</v>
      </c>
    </row>
    <row r="275" spans="1:37">
      <c r="A275">
        <v>257705</v>
      </c>
      <c r="B275" s="1">
        <v>45366</v>
      </c>
      <c r="C275" t="s">
        <v>531</v>
      </c>
      <c r="D275" t="s">
        <v>532</v>
      </c>
      <c r="E275" t="s">
        <v>533</v>
      </c>
      <c r="F275" t="s">
        <v>534</v>
      </c>
      <c r="G275" t="s">
        <v>535</v>
      </c>
      <c r="H275">
        <v>30144</v>
      </c>
      <c r="I275" t="s">
        <v>611</v>
      </c>
      <c r="J275" t="s">
        <v>612</v>
      </c>
      <c r="K275" t="s">
        <v>2</v>
      </c>
      <c r="L275" t="s">
        <v>613</v>
      </c>
      <c r="M275" t="s">
        <v>535</v>
      </c>
      <c r="N275" t="s">
        <v>614</v>
      </c>
      <c r="O275" t="s">
        <v>541</v>
      </c>
      <c r="P275">
        <v>2278428</v>
      </c>
      <c r="Q275" t="s">
        <v>38</v>
      </c>
      <c r="R275">
        <v>415560</v>
      </c>
      <c r="S275" t="s">
        <v>84</v>
      </c>
      <c r="T275" s="2">
        <v>1</v>
      </c>
      <c r="U275">
        <v>0</v>
      </c>
      <c r="V275" t="s">
        <v>153</v>
      </c>
      <c r="W275">
        <v>1</v>
      </c>
      <c r="X275">
        <v>1</v>
      </c>
      <c r="Y275">
        <v>0</v>
      </c>
      <c r="Z275" t="s">
        <v>615</v>
      </c>
      <c r="AA275" t="s">
        <v>616</v>
      </c>
      <c r="AB275" t="s">
        <v>14</v>
      </c>
      <c r="AC275">
        <v>76.14</v>
      </c>
      <c r="AD275">
        <v>76.14</v>
      </c>
      <c r="AE275">
        <v>726182084049</v>
      </c>
      <c r="AF275">
        <v>76.14</v>
      </c>
      <c r="AG275">
        <v>0</v>
      </c>
      <c r="AH275">
        <v>27.16</v>
      </c>
      <c r="AI275">
        <v>103.3</v>
      </c>
      <c r="AJ275" t="s">
        <v>2</v>
      </c>
      <c r="AK275" t="s">
        <v>11</v>
      </c>
    </row>
    <row r="276" spans="1:37">
      <c r="A276">
        <v>257705</v>
      </c>
      <c r="B276" s="1">
        <v>45366</v>
      </c>
      <c r="C276" t="s">
        <v>531</v>
      </c>
      <c r="D276" t="s">
        <v>532</v>
      </c>
      <c r="E276" t="s">
        <v>533</v>
      </c>
      <c r="F276" t="s">
        <v>534</v>
      </c>
      <c r="G276" t="s">
        <v>535</v>
      </c>
      <c r="H276">
        <v>30144</v>
      </c>
      <c r="I276" t="s">
        <v>611</v>
      </c>
      <c r="J276" t="s">
        <v>612</v>
      </c>
      <c r="K276" t="s">
        <v>2</v>
      </c>
      <c r="L276" t="s">
        <v>613</v>
      </c>
      <c r="M276" t="s">
        <v>535</v>
      </c>
      <c r="N276" t="s">
        <v>614</v>
      </c>
      <c r="O276" t="s">
        <v>541</v>
      </c>
      <c r="P276">
        <v>2278428</v>
      </c>
      <c r="Q276" t="s">
        <v>38</v>
      </c>
      <c r="R276">
        <v>415560</v>
      </c>
      <c r="S276" t="s">
        <v>84</v>
      </c>
      <c r="T276" s="2">
        <v>1</v>
      </c>
      <c r="U276">
        <v>0</v>
      </c>
      <c r="V276" t="s">
        <v>153</v>
      </c>
      <c r="W276">
        <v>0</v>
      </c>
      <c r="X276">
        <v>0</v>
      </c>
      <c r="Y276">
        <v>0</v>
      </c>
      <c r="Z276" t="s">
        <v>88</v>
      </c>
      <c r="AA276" t="s">
        <v>107</v>
      </c>
      <c r="AB276" t="s">
        <v>10</v>
      </c>
      <c r="AC276">
        <v>0</v>
      </c>
      <c r="AD276">
        <v>0</v>
      </c>
      <c r="AE276">
        <v>726182084049</v>
      </c>
      <c r="AF276">
        <v>76.14</v>
      </c>
      <c r="AG276">
        <v>0</v>
      </c>
      <c r="AH276">
        <v>27.16</v>
      </c>
      <c r="AI276">
        <v>103.3</v>
      </c>
      <c r="AJ276" t="s">
        <v>2</v>
      </c>
      <c r="AK276" t="s">
        <v>11</v>
      </c>
    </row>
    <row r="277" spans="1:37">
      <c r="A277">
        <v>257706</v>
      </c>
      <c r="B277" s="1">
        <v>45366</v>
      </c>
      <c r="C277" t="s">
        <v>617</v>
      </c>
      <c r="D277" t="s">
        <v>618</v>
      </c>
      <c r="E277" t="s">
        <v>2</v>
      </c>
      <c r="F277" t="s">
        <v>619</v>
      </c>
      <c r="G277" t="s">
        <v>620</v>
      </c>
      <c r="H277">
        <v>68127</v>
      </c>
      <c r="I277" t="s">
        <v>621</v>
      </c>
      <c r="J277" t="s">
        <v>622</v>
      </c>
      <c r="K277" t="s">
        <v>2</v>
      </c>
      <c r="L277" t="s">
        <v>623</v>
      </c>
      <c r="M277" t="s">
        <v>624</v>
      </c>
      <c r="N277" t="s">
        <v>625</v>
      </c>
      <c r="O277" t="s">
        <v>626</v>
      </c>
      <c r="P277">
        <v>2278367</v>
      </c>
      <c r="Q277" t="s">
        <v>38</v>
      </c>
      <c r="R277">
        <v>415546</v>
      </c>
      <c r="S277" t="s">
        <v>84</v>
      </c>
      <c r="T277" s="2">
        <v>1</v>
      </c>
      <c r="U277">
        <v>0</v>
      </c>
      <c r="V277" t="s">
        <v>153</v>
      </c>
      <c r="W277">
        <v>0</v>
      </c>
      <c r="X277">
        <v>0</v>
      </c>
      <c r="Y277">
        <v>0</v>
      </c>
      <c r="Z277" t="s">
        <v>9</v>
      </c>
      <c r="AA277" t="s">
        <v>2</v>
      </c>
      <c r="AB277" t="s">
        <v>10</v>
      </c>
      <c r="AC277">
        <v>0</v>
      </c>
      <c r="AD277">
        <v>0</v>
      </c>
      <c r="AE277">
        <v>726182083822</v>
      </c>
      <c r="AF277">
        <v>609.53</v>
      </c>
      <c r="AG277">
        <v>0</v>
      </c>
      <c r="AH277">
        <v>21.28</v>
      </c>
      <c r="AI277">
        <v>630.80999999999995</v>
      </c>
      <c r="AJ277" t="s">
        <v>2</v>
      </c>
      <c r="AK277" t="s">
        <v>11</v>
      </c>
    </row>
    <row r="278" spans="1:37">
      <c r="A278">
        <v>257706</v>
      </c>
      <c r="B278" s="1">
        <v>45366</v>
      </c>
      <c r="C278" t="s">
        <v>617</v>
      </c>
      <c r="D278" t="s">
        <v>618</v>
      </c>
      <c r="E278" t="s">
        <v>2</v>
      </c>
      <c r="F278" t="s">
        <v>619</v>
      </c>
      <c r="G278" t="s">
        <v>620</v>
      </c>
      <c r="H278">
        <v>68127</v>
      </c>
      <c r="I278" t="s">
        <v>621</v>
      </c>
      <c r="J278" t="s">
        <v>622</v>
      </c>
      <c r="K278" t="s">
        <v>2</v>
      </c>
      <c r="L278" t="s">
        <v>623</v>
      </c>
      <c r="M278" t="s">
        <v>624</v>
      </c>
      <c r="N278" t="s">
        <v>625</v>
      </c>
      <c r="O278" t="s">
        <v>626</v>
      </c>
      <c r="P278">
        <v>2278367</v>
      </c>
      <c r="Q278" t="s">
        <v>38</v>
      </c>
      <c r="R278">
        <v>415546</v>
      </c>
      <c r="S278" t="s">
        <v>84</v>
      </c>
      <c r="T278" s="2">
        <v>1</v>
      </c>
      <c r="U278">
        <v>0</v>
      </c>
      <c r="V278" t="s">
        <v>153</v>
      </c>
      <c r="W278">
        <v>1</v>
      </c>
      <c r="X278">
        <v>1</v>
      </c>
      <c r="Y278">
        <v>0</v>
      </c>
      <c r="Z278" t="s">
        <v>627</v>
      </c>
      <c r="AA278" t="s">
        <v>628</v>
      </c>
      <c r="AB278" t="s">
        <v>14</v>
      </c>
      <c r="AC278">
        <v>609.53</v>
      </c>
      <c r="AD278">
        <v>609.53</v>
      </c>
      <c r="AE278">
        <v>726182083822</v>
      </c>
      <c r="AF278">
        <v>609.53</v>
      </c>
      <c r="AG278">
        <v>0</v>
      </c>
      <c r="AH278">
        <v>21.28</v>
      </c>
      <c r="AI278">
        <v>630.80999999999995</v>
      </c>
      <c r="AJ278" t="s">
        <v>2</v>
      </c>
      <c r="AK278" t="s">
        <v>11</v>
      </c>
    </row>
    <row r="279" spans="1:37">
      <c r="A279">
        <v>257706</v>
      </c>
      <c r="B279" s="1">
        <v>45366</v>
      </c>
      <c r="C279" t="s">
        <v>617</v>
      </c>
      <c r="D279" t="s">
        <v>618</v>
      </c>
      <c r="E279" t="s">
        <v>2</v>
      </c>
      <c r="F279" t="s">
        <v>619</v>
      </c>
      <c r="G279" t="s">
        <v>620</v>
      </c>
      <c r="H279">
        <v>68127</v>
      </c>
      <c r="I279" t="s">
        <v>621</v>
      </c>
      <c r="J279" t="s">
        <v>622</v>
      </c>
      <c r="K279" t="s">
        <v>2</v>
      </c>
      <c r="L279" t="s">
        <v>623</v>
      </c>
      <c r="M279" t="s">
        <v>624</v>
      </c>
      <c r="N279" t="s">
        <v>625</v>
      </c>
      <c r="O279" t="s">
        <v>626</v>
      </c>
      <c r="P279">
        <v>2278367</v>
      </c>
      <c r="Q279" t="s">
        <v>38</v>
      </c>
      <c r="R279">
        <v>415546</v>
      </c>
      <c r="S279" t="s">
        <v>84</v>
      </c>
      <c r="T279" s="2">
        <v>1</v>
      </c>
      <c r="U279">
        <v>0</v>
      </c>
      <c r="V279" t="s">
        <v>153</v>
      </c>
      <c r="W279">
        <v>0</v>
      </c>
      <c r="X279">
        <v>0</v>
      </c>
      <c r="Y279">
        <v>0</v>
      </c>
      <c r="Z279" t="s">
        <v>88</v>
      </c>
      <c r="AA279" t="s">
        <v>107</v>
      </c>
      <c r="AB279" t="s">
        <v>10</v>
      </c>
      <c r="AC279">
        <v>0</v>
      </c>
      <c r="AD279">
        <v>0</v>
      </c>
      <c r="AE279">
        <v>726182083822</v>
      </c>
      <c r="AF279">
        <v>609.53</v>
      </c>
      <c r="AG279">
        <v>0</v>
      </c>
      <c r="AH279">
        <v>21.28</v>
      </c>
      <c r="AI279">
        <v>630.80999999999995</v>
      </c>
      <c r="AJ279" t="s">
        <v>2</v>
      </c>
      <c r="AK279" t="s">
        <v>11</v>
      </c>
    </row>
    <row r="280" spans="1:37">
      <c r="A280">
        <v>257707</v>
      </c>
      <c r="B280" s="1">
        <v>45366</v>
      </c>
      <c r="C280" t="s">
        <v>553</v>
      </c>
      <c r="D280" t="s">
        <v>554</v>
      </c>
      <c r="E280" t="s">
        <v>2</v>
      </c>
      <c r="F280" t="s">
        <v>555</v>
      </c>
      <c r="G280" t="s">
        <v>28</v>
      </c>
      <c r="H280">
        <v>32703</v>
      </c>
      <c r="I280" t="s">
        <v>629</v>
      </c>
      <c r="J280" t="s">
        <v>630</v>
      </c>
      <c r="K280" t="s">
        <v>2</v>
      </c>
      <c r="L280" t="s">
        <v>558</v>
      </c>
      <c r="M280" t="s">
        <v>28</v>
      </c>
      <c r="N280" t="s">
        <v>631</v>
      </c>
      <c r="O280" t="s">
        <v>559</v>
      </c>
      <c r="P280">
        <v>2278331</v>
      </c>
      <c r="Q280" t="s">
        <v>38</v>
      </c>
      <c r="R280">
        <v>415534</v>
      </c>
      <c r="S280" t="s">
        <v>84</v>
      </c>
      <c r="T280" s="2">
        <v>1</v>
      </c>
      <c r="U280">
        <v>0</v>
      </c>
      <c r="V280" t="s">
        <v>153</v>
      </c>
      <c r="W280">
        <v>0</v>
      </c>
      <c r="X280">
        <v>0</v>
      </c>
      <c r="Y280">
        <v>0</v>
      </c>
      <c r="Z280" t="s">
        <v>9</v>
      </c>
      <c r="AA280" t="s">
        <v>2</v>
      </c>
      <c r="AB280" t="s">
        <v>10</v>
      </c>
      <c r="AC280">
        <v>0</v>
      </c>
      <c r="AD280">
        <v>0</v>
      </c>
      <c r="AE280">
        <v>726182084060</v>
      </c>
      <c r="AF280">
        <v>1426.6</v>
      </c>
      <c r="AG280">
        <v>0</v>
      </c>
      <c r="AH280">
        <v>41.03</v>
      </c>
      <c r="AI280">
        <v>1467.63</v>
      </c>
      <c r="AJ280" t="s">
        <v>2</v>
      </c>
      <c r="AK280" t="s">
        <v>11</v>
      </c>
    </row>
    <row r="281" spans="1:37">
      <c r="A281">
        <v>257707</v>
      </c>
      <c r="B281" s="1">
        <v>45366</v>
      </c>
      <c r="C281" t="s">
        <v>553</v>
      </c>
      <c r="D281" t="s">
        <v>554</v>
      </c>
      <c r="E281" t="s">
        <v>2</v>
      </c>
      <c r="F281" t="s">
        <v>555</v>
      </c>
      <c r="G281" t="s">
        <v>28</v>
      </c>
      <c r="H281">
        <v>32703</v>
      </c>
      <c r="I281" t="s">
        <v>629</v>
      </c>
      <c r="J281" t="s">
        <v>630</v>
      </c>
      <c r="K281" t="s">
        <v>2</v>
      </c>
      <c r="L281" t="s">
        <v>558</v>
      </c>
      <c r="M281" t="s">
        <v>28</v>
      </c>
      <c r="N281" t="s">
        <v>631</v>
      </c>
      <c r="O281" t="s">
        <v>559</v>
      </c>
      <c r="P281">
        <v>2278331</v>
      </c>
      <c r="Q281" t="s">
        <v>38</v>
      </c>
      <c r="R281">
        <v>415534</v>
      </c>
      <c r="S281" t="s">
        <v>84</v>
      </c>
      <c r="T281" s="2">
        <v>1</v>
      </c>
      <c r="U281">
        <v>0</v>
      </c>
      <c r="V281" t="s">
        <v>153</v>
      </c>
      <c r="W281">
        <v>1</v>
      </c>
      <c r="X281">
        <v>1</v>
      </c>
      <c r="Y281">
        <v>0</v>
      </c>
      <c r="Z281" t="s">
        <v>632</v>
      </c>
      <c r="AA281" t="s">
        <v>633</v>
      </c>
      <c r="AB281" t="s">
        <v>14</v>
      </c>
      <c r="AC281">
        <v>1426.6</v>
      </c>
      <c r="AD281">
        <v>1426.6</v>
      </c>
      <c r="AE281">
        <v>726182084060</v>
      </c>
      <c r="AF281">
        <v>1426.6</v>
      </c>
      <c r="AG281">
        <v>0</v>
      </c>
      <c r="AH281">
        <v>41.03</v>
      </c>
      <c r="AI281">
        <v>1467.63</v>
      </c>
      <c r="AJ281" t="s">
        <v>2</v>
      </c>
      <c r="AK281" t="s">
        <v>11</v>
      </c>
    </row>
    <row r="282" spans="1:37">
      <c r="A282">
        <v>257707</v>
      </c>
      <c r="B282" s="1">
        <v>45366</v>
      </c>
      <c r="C282" t="s">
        <v>553</v>
      </c>
      <c r="D282" t="s">
        <v>554</v>
      </c>
      <c r="E282" t="s">
        <v>2</v>
      </c>
      <c r="F282" t="s">
        <v>555</v>
      </c>
      <c r="G282" t="s">
        <v>28</v>
      </c>
      <c r="H282">
        <v>32703</v>
      </c>
      <c r="I282" t="s">
        <v>629</v>
      </c>
      <c r="J282" t="s">
        <v>630</v>
      </c>
      <c r="K282" t="s">
        <v>2</v>
      </c>
      <c r="L282" t="s">
        <v>558</v>
      </c>
      <c r="M282" t="s">
        <v>28</v>
      </c>
      <c r="N282" t="s">
        <v>631</v>
      </c>
      <c r="O282" t="s">
        <v>559</v>
      </c>
      <c r="P282">
        <v>2278331</v>
      </c>
      <c r="Q282" t="s">
        <v>38</v>
      </c>
      <c r="R282">
        <v>415534</v>
      </c>
      <c r="S282" t="s">
        <v>84</v>
      </c>
      <c r="T282" s="2">
        <v>1</v>
      </c>
      <c r="U282">
        <v>0</v>
      </c>
      <c r="V282" t="s">
        <v>153</v>
      </c>
      <c r="W282">
        <v>0</v>
      </c>
      <c r="X282">
        <v>0</v>
      </c>
      <c r="Y282">
        <v>0</v>
      </c>
      <c r="Z282" t="s">
        <v>88</v>
      </c>
      <c r="AA282" t="s">
        <v>213</v>
      </c>
      <c r="AB282" t="s">
        <v>10</v>
      </c>
      <c r="AC282">
        <v>0</v>
      </c>
      <c r="AD282">
        <v>0</v>
      </c>
      <c r="AE282">
        <v>726182084060</v>
      </c>
      <c r="AF282">
        <v>1426.6</v>
      </c>
      <c r="AG282">
        <v>0</v>
      </c>
      <c r="AH282">
        <v>41.03</v>
      </c>
      <c r="AI282">
        <v>1467.63</v>
      </c>
      <c r="AJ282" t="s">
        <v>2</v>
      </c>
      <c r="AK282" t="s">
        <v>11</v>
      </c>
    </row>
    <row r="283" spans="1:37">
      <c r="A283">
        <v>257708</v>
      </c>
      <c r="B283" s="1">
        <v>45366</v>
      </c>
      <c r="C283" t="s">
        <v>634</v>
      </c>
      <c r="D283" t="s">
        <v>635</v>
      </c>
      <c r="E283" t="s">
        <v>2</v>
      </c>
      <c r="F283" t="s">
        <v>636</v>
      </c>
      <c r="G283" t="s">
        <v>19</v>
      </c>
      <c r="H283">
        <v>7072</v>
      </c>
      <c r="I283" t="s">
        <v>637</v>
      </c>
      <c r="J283" t="s">
        <v>638</v>
      </c>
      <c r="K283" t="s">
        <v>2</v>
      </c>
      <c r="L283" t="s">
        <v>639</v>
      </c>
      <c r="M283" t="s">
        <v>103</v>
      </c>
      <c r="N283" t="s">
        <v>640</v>
      </c>
      <c r="O283" t="s">
        <v>641</v>
      </c>
      <c r="P283">
        <v>2278322</v>
      </c>
      <c r="Q283" t="s">
        <v>38</v>
      </c>
      <c r="R283">
        <v>415530</v>
      </c>
      <c r="S283" t="s">
        <v>84</v>
      </c>
      <c r="T283" s="2">
        <v>2</v>
      </c>
      <c r="U283">
        <v>0</v>
      </c>
      <c r="V283" t="s">
        <v>153</v>
      </c>
      <c r="W283">
        <v>0</v>
      </c>
      <c r="X283">
        <v>0</v>
      </c>
      <c r="Y283">
        <v>0</v>
      </c>
      <c r="Z283" t="s">
        <v>9</v>
      </c>
      <c r="AA283" t="s">
        <v>2</v>
      </c>
      <c r="AB283" t="s">
        <v>10</v>
      </c>
      <c r="AC283">
        <v>0</v>
      </c>
      <c r="AD283">
        <v>0</v>
      </c>
      <c r="AE283">
        <v>726182083800</v>
      </c>
      <c r="AF283">
        <v>213</v>
      </c>
      <c r="AG283">
        <v>0</v>
      </c>
      <c r="AH283">
        <v>18.77</v>
      </c>
      <c r="AI283">
        <v>231.77</v>
      </c>
      <c r="AJ283" t="s">
        <v>2</v>
      </c>
      <c r="AK283" t="s">
        <v>11</v>
      </c>
    </row>
    <row r="284" spans="1:37">
      <c r="A284">
        <v>257708</v>
      </c>
      <c r="B284" s="1">
        <v>45366</v>
      </c>
      <c r="C284" t="s">
        <v>634</v>
      </c>
      <c r="D284" t="s">
        <v>635</v>
      </c>
      <c r="E284" t="s">
        <v>2</v>
      </c>
      <c r="F284" t="s">
        <v>636</v>
      </c>
      <c r="G284" t="s">
        <v>19</v>
      </c>
      <c r="H284">
        <v>7072</v>
      </c>
      <c r="I284" t="s">
        <v>637</v>
      </c>
      <c r="J284" t="s">
        <v>638</v>
      </c>
      <c r="K284" t="s">
        <v>2</v>
      </c>
      <c r="L284" t="s">
        <v>639</v>
      </c>
      <c r="M284" t="s">
        <v>103</v>
      </c>
      <c r="N284" t="s">
        <v>640</v>
      </c>
      <c r="O284" t="s">
        <v>641</v>
      </c>
      <c r="P284">
        <v>2278322</v>
      </c>
      <c r="Q284" t="s">
        <v>38</v>
      </c>
      <c r="R284">
        <v>415530</v>
      </c>
      <c r="S284" t="s">
        <v>84</v>
      </c>
      <c r="T284" s="2">
        <v>2</v>
      </c>
      <c r="U284">
        <v>0</v>
      </c>
      <c r="V284" t="s">
        <v>153</v>
      </c>
      <c r="W284">
        <v>1</v>
      </c>
      <c r="X284">
        <v>1</v>
      </c>
      <c r="Y284">
        <v>0</v>
      </c>
      <c r="Z284" t="s">
        <v>642</v>
      </c>
      <c r="AA284" t="s">
        <v>643</v>
      </c>
      <c r="AB284" t="s">
        <v>14</v>
      </c>
      <c r="AC284">
        <v>106.5</v>
      </c>
      <c r="AD284">
        <v>106.5</v>
      </c>
      <c r="AE284">
        <v>726182083800</v>
      </c>
      <c r="AF284">
        <v>213</v>
      </c>
      <c r="AG284">
        <v>0</v>
      </c>
      <c r="AH284">
        <v>18.77</v>
      </c>
      <c r="AI284">
        <v>231.77</v>
      </c>
      <c r="AJ284" t="s">
        <v>2</v>
      </c>
      <c r="AK284" t="s">
        <v>11</v>
      </c>
    </row>
    <row r="285" spans="1:37">
      <c r="A285">
        <v>257708</v>
      </c>
      <c r="B285" s="1">
        <v>45366</v>
      </c>
      <c r="C285" t="s">
        <v>634</v>
      </c>
      <c r="D285" t="s">
        <v>635</v>
      </c>
      <c r="E285" t="s">
        <v>2</v>
      </c>
      <c r="F285" t="s">
        <v>636</v>
      </c>
      <c r="G285" t="s">
        <v>19</v>
      </c>
      <c r="H285">
        <v>7072</v>
      </c>
      <c r="I285" t="s">
        <v>637</v>
      </c>
      <c r="J285" t="s">
        <v>638</v>
      </c>
      <c r="K285" t="s">
        <v>2</v>
      </c>
      <c r="L285" t="s">
        <v>639</v>
      </c>
      <c r="M285" t="s">
        <v>103</v>
      </c>
      <c r="N285" t="s">
        <v>640</v>
      </c>
      <c r="O285" t="s">
        <v>641</v>
      </c>
      <c r="P285">
        <v>2278322</v>
      </c>
      <c r="Q285" t="s">
        <v>38</v>
      </c>
      <c r="R285">
        <v>415530</v>
      </c>
      <c r="S285" t="s">
        <v>84</v>
      </c>
      <c r="T285" s="2">
        <v>2</v>
      </c>
      <c r="U285">
        <v>0</v>
      </c>
      <c r="V285" t="s">
        <v>153</v>
      </c>
      <c r="W285">
        <v>0</v>
      </c>
      <c r="X285">
        <v>0</v>
      </c>
      <c r="Y285">
        <v>0</v>
      </c>
      <c r="Z285" t="s">
        <v>88</v>
      </c>
      <c r="AA285" t="s">
        <v>251</v>
      </c>
      <c r="AB285" t="s">
        <v>10</v>
      </c>
      <c r="AC285">
        <v>0</v>
      </c>
      <c r="AD285">
        <v>0</v>
      </c>
      <c r="AE285">
        <v>726182083800</v>
      </c>
      <c r="AF285">
        <v>213</v>
      </c>
      <c r="AG285">
        <v>0</v>
      </c>
      <c r="AH285">
        <v>18.77</v>
      </c>
      <c r="AI285">
        <v>231.77</v>
      </c>
      <c r="AJ285" t="s">
        <v>2</v>
      </c>
      <c r="AK285" t="s">
        <v>11</v>
      </c>
    </row>
    <row r="286" spans="1:37">
      <c r="A286">
        <v>257708</v>
      </c>
      <c r="B286" s="1">
        <v>45366</v>
      </c>
      <c r="C286" t="s">
        <v>634</v>
      </c>
      <c r="D286" t="s">
        <v>635</v>
      </c>
      <c r="E286" t="s">
        <v>2</v>
      </c>
      <c r="F286" t="s">
        <v>636</v>
      </c>
      <c r="G286" t="s">
        <v>19</v>
      </c>
      <c r="H286">
        <v>7072</v>
      </c>
      <c r="I286" t="s">
        <v>637</v>
      </c>
      <c r="J286" t="s">
        <v>638</v>
      </c>
      <c r="K286" t="s">
        <v>2</v>
      </c>
      <c r="L286" t="s">
        <v>639</v>
      </c>
      <c r="M286" t="s">
        <v>103</v>
      </c>
      <c r="N286" t="s">
        <v>640</v>
      </c>
      <c r="O286" t="s">
        <v>641</v>
      </c>
      <c r="P286">
        <v>2278322</v>
      </c>
      <c r="Q286" t="s">
        <v>38</v>
      </c>
      <c r="R286">
        <v>415530</v>
      </c>
      <c r="S286" t="s">
        <v>84</v>
      </c>
      <c r="T286" s="2">
        <v>2</v>
      </c>
      <c r="U286">
        <v>0</v>
      </c>
      <c r="V286" t="s">
        <v>153</v>
      </c>
      <c r="W286">
        <v>1</v>
      </c>
      <c r="X286">
        <v>1</v>
      </c>
      <c r="Y286">
        <v>0</v>
      </c>
      <c r="Z286" t="s">
        <v>644</v>
      </c>
      <c r="AA286" t="s">
        <v>645</v>
      </c>
      <c r="AB286" t="s">
        <v>14</v>
      </c>
      <c r="AC286">
        <v>106.5</v>
      </c>
      <c r="AD286">
        <v>106.5</v>
      </c>
      <c r="AE286">
        <v>726182083800</v>
      </c>
      <c r="AF286">
        <v>213</v>
      </c>
      <c r="AG286">
        <v>0</v>
      </c>
      <c r="AH286">
        <v>18.77</v>
      </c>
      <c r="AI286">
        <v>231.77</v>
      </c>
      <c r="AJ286" t="s">
        <v>2</v>
      </c>
      <c r="AK286" t="s">
        <v>11</v>
      </c>
    </row>
    <row r="287" spans="1:37">
      <c r="A287">
        <v>257708</v>
      </c>
      <c r="B287" s="1">
        <v>45366</v>
      </c>
      <c r="C287" t="s">
        <v>634</v>
      </c>
      <c r="D287" t="s">
        <v>635</v>
      </c>
      <c r="E287" t="s">
        <v>2</v>
      </c>
      <c r="F287" t="s">
        <v>636</v>
      </c>
      <c r="G287" t="s">
        <v>19</v>
      </c>
      <c r="H287">
        <v>7072</v>
      </c>
      <c r="I287" t="s">
        <v>637</v>
      </c>
      <c r="J287" t="s">
        <v>638</v>
      </c>
      <c r="K287" t="s">
        <v>2</v>
      </c>
      <c r="L287" t="s">
        <v>639</v>
      </c>
      <c r="M287" t="s">
        <v>103</v>
      </c>
      <c r="N287" t="s">
        <v>640</v>
      </c>
      <c r="O287" t="s">
        <v>641</v>
      </c>
      <c r="P287">
        <v>2278322</v>
      </c>
      <c r="Q287" t="s">
        <v>38</v>
      </c>
      <c r="R287">
        <v>415530</v>
      </c>
      <c r="S287" t="s">
        <v>84</v>
      </c>
      <c r="T287" s="2">
        <v>2</v>
      </c>
      <c r="U287">
        <v>0</v>
      </c>
      <c r="V287" t="s">
        <v>153</v>
      </c>
      <c r="W287">
        <v>0</v>
      </c>
      <c r="X287">
        <v>0</v>
      </c>
      <c r="Y287">
        <v>0</v>
      </c>
      <c r="Z287" t="s">
        <v>88</v>
      </c>
      <c r="AA287" t="s">
        <v>251</v>
      </c>
      <c r="AB287" t="s">
        <v>10</v>
      </c>
      <c r="AC287">
        <v>0</v>
      </c>
      <c r="AD287">
        <v>0</v>
      </c>
      <c r="AE287">
        <v>726182083800</v>
      </c>
      <c r="AF287">
        <v>213</v>
      </c>
      <c r="AG287">
        <v>0</v>
      </c>
      <c r="AH287">
        <v>18.77</v>
      </c>
      <c r="AI287">
        <v>231.77</v>
      </c>
      <c r="AJ287" t="s">
        <v>2</v>
      </c>
      <c r="AK287" t="s">
        <v>11</v>
      </c>
    </row>
    <row r="288" spans="1:37">
      <c r="A288">
        <v>257709</v>
      </c>
      <c r="B288" s="1">
        <v>45366</v>
      </c>
      <c r="C288" t="s">
        <v>646</v>
      </c>
      <c r="D288" t="s">
        <v>647</v>
      </c>
      <c r="E288" t="s">
        <v>2</v>
      </c>
      <c r="F288" t="s">
        <v>648</v>
      </c>
      <c r="G288" t="s">
        <v>579</v>
      </c>
      <c r="H288">
        <v>43230</v>
      </c>
      <c r="I288" t="s">
        <v>649</v>
      </c>
      <c r="J288" t="s">
        <v>650</v>
      </c>
      <c r="K288" t="s">
        <v>2</v>
      </c>
      <c r="L288" t="s">
        <v>651</v>
      </c>
      <c r="M288" t="s">
        <v>579</v>
      </c>
      <c r="N288" t="s">
        <v>652</v>
      </c>
      <c r="O288" t="s">
        <v>653</v>
      </c>
      <c r="P288">
        <v>2278325</v>
      </c>
      <c r="Q288" t="s">
        <v>38</v>
      </c>
      <c r="R288">
        <v>415528</v>
      </c>
      <c r="S288" t="s">
        <v>84</v>
      </c>
      <c r="T288" s="2">
        <v>1</v>
      </c>
      <c r="U288">
        <v>0</v>
      </c>
      <c r="V288" t="s">
        <v>153</v>
      </c>
      <c r="W288">
        <v>0</v>
      </c>
      <c r="X288">
        <v>0</v>
      </c>
      <c r="Y288">
        <v>0</v>
      </c>
      <c r="Z288" t="s">
        <v>9</v>
      </c>
      <c r="AA288" t="s">
        <v>2</v>
      </c>
      <c r="AB288" t="s">
        <v>10</v>
      </c>
      <c r="AC288">
        <v>0</v>
      </c>
      <c r="AD288">
        <v>0</v>
      </c>
      <c r="AE288">
        <v>726182084005</v>
      </c>
      <c r="AF288">
        <v>640.13</v>
      </c>
      <c r="AG288">
        <v>0</v>
      </c>
      <c r="AH288">
        <v>50.92</v>
      </c>
      <c r="AI288">
        <v>691.05</v>
      </c>
      <c r="AJ288" t="s">
        <v>2</v>
      </c>
      <c r="AK288" t="s">
        <v>11</v>
      </c>
    </row>
    <row r="289" spans="1:37">
      <c r="A289">
        <v>257709</v>
      </c>
      <c r="B289" s="1">
        <v>45366</v>
      </c>
      <c r="C289" t="s">
        <v>646</v>
      </c>
      <c r="D289" t="s">
        <v>647</v>
      </c>
      <c r="E289" t="s">
        <v>2</v>
      </c>
      <c r="F289" t="s">
        <v>648</v>
      </c>
      <c r="G289" t="s">
        <v>579</v>
      </c>
      <c r="H289">
        <v>43230</v>
      </c>
      <c r="I289" t="s">
        <v>649</v>
      </c>
      <c r="J289" t="s">
        <v>650</v>
      </c>
      <c r="K289" t="s">
        <v>2</v>
      </c>
      <c r="L289" t="s">
        <v>651</v>
      </c>
      <c r="M289" t="s">
        <v>579</v>
      </c>
      <c r="N289" t="s">
        <v>652</v>
      </c>
      <c r="O289" t="s">
        <v>653</v>
      </c>
      <c r="P289">
        <v>2278325</v>
      </c>
      <c r="Q289" t="s">
        <v>38</v>
      </c>
      <c r="R289">
        <v>415528</v>
      </c>
      <c r="S289" t="s">
        <v>84</v>
      </c>
      <c r="T289" s="2">
        <v>1</v>
      </c>
      <c r="U289">
        <v>0</v>
      </c>
      <c r="V289" t="s">
        <v>153</v>
      </c>
      <c r="W289">
        <v>1</v>
      </c>
      <c r="X289">
        <v>1</v>
      </c>
      <c r="Y289">
        <v>0</v>
      </c>
      <c r="Z289" t="s">
        <v>654</v>
      </c>
      <c r="AA289" t="s">
        <v>655</v>
      </c>
      <c r="AB289" t="s">
        <v>14</v>
      </c>
      <c r="AC289">
        <v>640.13</v>
      </c>
      <c r="AD289">
        <v>640.13</v>
      </c>
      <c r="AE289">
        <v>726182084005</v>
      </c>
      <c r="AF289">
        <v>640.13</v>
      </c>
      <c r="AG289">
        <v>0</v>
      </c>
      <c r="AH289">
        <v>50.92</v>
      </c>
      <c r="AI289">
        <v>691.05</v>
      </c>
      <c r="AJ289" t="s">
        <v>2</v>
      </c>
      <c r="AK289" t="s">
        <v>11</v>
      </c>
    </row>
    <row r="290" spans="1:37">
      <c r="A290">
        <v>257709</v>
      </c>
      <c r="B290" s="1">
        <v>45366</v>
      </c>
      <c r="C290" t="s">
        <v>646</v>
      </c>
      <c r="D290" t="s">
        <v>647</v>
      </c>
      <c r="E290" t="s">
        <v>2</v>
      </c>
      <c r="F290" t="s">
        <v>648</v>
      </c>
      <c r="G290" t="s">
        <v>579</v>
      </c>
      <c r="H290">
        <v>43230</v>
      </c>
      <c r="I290" t="s">
        <v>649</v>
      </c>
      <c r="J290" t="s">
        <v>650</v>
      </c>
      <c r="K290" t="s">
        <v>2</v>
      </c>
      <c r="L290" t="s">
        <v>651</v>
      </c>
      <c r="M290" t="s">
        <v>579</v>
      </c>
      <c r="N290" t="s">
        <v>652</v>
      </c>
      <c r="O290" t="s">
        <v>653</v>
      </c>
      <c r="P290">
        <v>2278325</v>
      </c>
      <c r="Q290" t="s">
        <v>38</v>
      </c>
      <c r="R290">
        <v>415528</v>
      </c>
      <c r="S290" t="s">
        <v>84</v>
      </c>
      <c r="T290" s="2">
        <v>1</v>
      </c>
      <c r="U290">
        <v>0</v>
      </c>
      <c r="V290" t="s">
        <v>153</v>
      </c>
      <c r="W290">
        <v>0</v>
      </c>
      <c r="X290">
        <v>0</v>
      </c>
      <c r="Y290">
        <v>0</v>
      </c>
      <c r="Z290" t="s">
        <v>88</v>
      </c>
      <c r="AA290" t="s">
        <v>656</v>
      </c>
      <c r="AB290" t="s">
        <v>10</v>
      </c>
      <c r="AC290">
        <v>0</v>
      </c>
      <c r="AD290">
        <v>0</v>
      </c>
      <c r="AE290">
        <v>726182084005</v>
      </c>
      <c r="AF290">
        <v>640.13</v>
      </c>
      <c r="AG290">
        <v>0</v>
      </c>
      <c r="AH290">
        <v>50.92</v>
      </c>
      <c r="AI290">
        <v>691.05</v>
      </c>
      <c r="AJ290" t="s">
        <v>2</v>
      </c>
      <c r="AK290" t="s">
        <v>11</v>
      </c>
    </row>
    <row r="291" spans="1:37">
      <c r="A291">
        <v>257710</v>
      </c>
      <c r="B291" s="1">
        <v>45366</v>
      </c>
      <c r="C291" t="s">
        <v>553</v>
      </c>
      <c r="D291" t="s">
        <v>554</v>
      </c>
      <c r="E291" t="s">
        <v>2</v>
      </c>
      <c r="F291" t="s">
        <v>555</v>
      </c>
      <c r="G291" t="s">
        <v>28</v>
      </c>
      <c r="H291">
        <v>32703</v>
      </c>
      <c r="I291" t="s">
        <v>657</v>
      </c>
      <c r="J291" t="s">
        <v>658</v>
      </c>
      <c r="K291" t="s">
        <v>2</v>
      </c>
      <c r="L291" t="s">
        <v>558</v>
      </c>
      <c r="M291" t="s">
        <v>28</v>
      </c>
      <c r="N291" t="s">
        <v>659</v>
      </c>
      <c r="O291" t="s">
        <v>559</v>
      </c>
      <c r="P291">
        <v>2278533</v>
      </c>
      <c r="Q291" t="s">
        <v>38</v>
      </c>
      <c r="R291">
        <v>415598</v>
      </c>
      <c r="S291" t="s">
        <v>84</v>
      </c>
      <c r="T291" s="2">
        <v>1</v>
      </c>
      <c r="U291">
        <v>0</v>
      </c>
      <c r="V291" t="s">
        <v>153</v>
      </c>
      <c r="W291">
        <v>0</v>
      </c>
      <c r="X291">
        <v>0</v>
      </c>
      <c r="Y291">
        <v>0</v>
      </c>
      <c r="Z291" t="s">
        <v>9</v>
      </c>
      <c r="AA291" t="s">
        <v>2</v>
      </c>
      <c r="AB291" t="s">
        <v>10</v>
      </c>
      <c r="AC291">
        <v>0</v>
      </c>
      <c r="AD291">
        <v>0</v>
      </c>
      <c r="AE291">
        <v>726182084093</v>
      </c>
      <c r="AF291">
        <v>1533.61</v>
      </c>
      <c r="AG291">
        <v>0</v>
      </c>
      <c r="AH291">
        <v>56.69</v>
      </c>
      <c r="AI291">
        <v>1590.3</v>
      </c>
      <c r="AJ291" t="s">
        <v>2</v>
      </c>
      <c r="AK291" t="s">
        <v>11</v>
      </c>
    </row>
    <row r="292" spans="1:37">
      <c r="A292">
        <v>257710</v>
      </c>
      <c r="B292" s="1">
        <v>45366</v>
      </c>
      <c r="C292" t="s">
        <v>553</v>
      </c>
      <c r="D292" t="s">
        <v>554</v>
      </c>
      <c r="E292" t="s">
        <v>2</v>
      </c>
      <c r="F292" t="s">
        <v>555</v>
      </c>
      <c r="G292" t="s">
        <v>28</v>
      </c>
      <c r="H292">
        <v>32703</v>
      </c>
      <c r="I292" t="s">
        <v>657</v>
      </c>
      <c r="J292" t="s">
        <v>658</v>
      </c>
      <c r="K292" t="s">
        <v>2</v>
      </c>
      <c r="L292" t="s">
        <v>558</v>
      </c>
      <c r="M292" t="s">
        <v>28</v>
      </c>
      <c r="N292" t="s">
        <v>659</v>
      </c>
      <c r="O292" t="s">
        <v>559</v>
      </c>
      <c r="P292">
        <v>2278533</v>
      </c>
      <c r="Q292" t="s">
        <v>38</v>
      </c>
      <c r="R292">
        <v>415598</v>
      </c>
      <c r="S292" t="s">
        <v>84</v>
      </c>
      <c r="T292" s="2">
        <v>1</v>
      </c>
      <c r="U292">
        <v>0</v>
      </c>
      <c r="V292" t="s">
        <v>153</v>
      </c>
      <c r="W292">
        <v>1</v>
      </c>
      <c r="X292">
        <v>1</v>
      </c>
      <c r="Y292">
        <v>0</v>
      </c>
      <c r="Z292" t="s">
        <v>660</v>
      </c>
      <c r="AA292" t="s">
        <v>661</v>
      </c>
      <c r="AB292" t="s">
        <v>14</v>
      </c>
      <c r="AC292">
        <v>1533.6089999999999</v>
      </c>
      <c r="AD292">
        <v>1533.61</v>
      </c>
      <c r="AE292">
        <v>726182084093</v>
      </c>
      <c r="AF292">
        <v>1533.61</v>
      </c>
      <c r="AG292">
        <v>0</v>
      </c>
      <c r="AH292">
        <v>56.69</v>
      </c>
      <c r="AI292">
        <v>1590.3</v>
      </c>
      <c r="AJ292" t="s">
        <v>2</v>
      </c>
      <c r="AK292" t="s">
        <v>11</v>
      </c>
    </row>
    <row r="293" spans="1:37">
      <c r="A293">
        <v>257710</v>
      </c>
      <c r="B293" s="1">
        <v>45366</v>
      </c>
      <c r="C293" t="s">
        <v>553</v>
      </c>
      <c r="D293" t="s">
        <v>554</v>
      </c>
      <c r="E293" t="s">
        <v>2</v>
      </c>
      <c r="F293" t="s">
        <v>555</v>
      </c>
      <c r="G293" t="s">
        <v>28</v>
      </c>
      <c r="H293">
        <v>32703</v>
      </c>
      <c r="I293" t="s">
        <v>657</v>
      </c>
      <c r="J293" t="s">
        <v>658</v>
      </c>
      <c r="K293" t="s">
        <v>2</v>
      </c>
      <c r="L293" t="s">
        <v>558</v>
      </c>
      <c r="M293" t="s">
        <v>28</v>
      </c>
      <c r="N293" t="s">
        <v>659</v>
      </c>
      <c r="O293" t="s">
        <v>559</v>
      </c>
      <c r="P293">
        <v>2278533</v>
      </c>
      <c r="Q293" t="s">
        <v>38</v>
      </c>
      <c r="R293">
        <v>415598</v>
      </c>
      <c r="S293" t="s">
        <v>84</v>
      </c>
      <c r="T293" s="2">
        <v>1</v>
      </c>
      <c r="U293">
        <v>0</v>
      </c>
      <c r="V293" t="s">
        <v>153</v>
      </c>
      <c r="W293">
        <v>0</v>
      </c>
      <c r="X293">
        <v>0</v>
      </c>
      <c r="Y293">
        <v>0</v>
      </c>
      <c r="Z293" t="s">
        <v>88</v>
      </c>
      <c r="AA293" t="s">
        <v>434</v>
      </c>
      <c r="AB293" t="s">
        <v>10</v>
      </c>
      <c r="AC293">
        <v>0</v>
      </c>
      <c r="AD293">
        <v>0</v>
      </c>
      <c r="AE293">
        <v>726182084093</v>
      </c>
      <c r="AF293">
        <v>1533.61</v>
      </c>
      <c r="AG293">
        <v>0</v>
      </c>
      <c r="AH293">
        <v>56.69</v>
      </c>
      <c r="AI293">
        <v>1590.3</v>
      </c>
      <c r="AJ293" t="s">
        <v>2</v>
      </c>
      <c r="AK293" t="s">
        <v>11</v>
      </c>
    </row>
    <row r="294" spans="1:37">
      <c r="A294">
        <v>257711</v>
      </c>
      <c r="B294" s="1">
        <v>45366</v>
      </c>
      <c r="C294" t="s">
        <v>544</v>
      </c>
      <c r="D294" t="s">
        <v>545</v>
      </c>
      <c r="E294" t="s">
        <v>2</v>
      </c>
      <c r="F294" t="s">
        <v>546</v>
      </c>
      <c r="G294" t="s">
        <v>547</v>
      </c>
      <c r="H294">
        <v>29483</v>
      </c>
      <c r="I294" t="s">
        <v>662</v>
      </c>
      <c r="J294" t="s">
        <v>663</v>
      </c>
      <c r="K294" t="s">
        <v>2</v>
      </c>
      <c r="L294" t="s">
        <v>664</v>
      </c>
      <c r="M294" t="s">
        <v>547</v>
      </c>
      <c r="N294" t="s">
        <v>665</v>
      </c>
      <c r="O294" t="s">
        <v>552</v>
      </c>
      <c r="P294">
        <v>2278384</v>
      </c>
      <c r="Q294" t="s">
        <v>38</v>
      </c>
      <c r="R294">
        <v>415551</v>
      </c>
      <c r="S294" t="s">
        <v>84</v>
      </c>
      <c r="T294" s="2">
        <v>1</v>
      </c>
      <c r="U294">
        <v>0</v>
      </c>
      <c r="V294" t="s">
        <v>153</v>
      </c>
      <c r="W294">
        <v>0</v>
      </c>
      <c r="X294">
        <v>0</v>
      </c>
      <c r="Y294">
        <v>0</v>
      </c>
      <c r="Z294" t="s">
        <v>9</v>
      </c>
      <c r="AA294" t="s">
        <v>2</v>
      </c>
      <c r="AB294" t="s">
        <v>10</v>
      </c>
      <c r="AC294">
        <v>0</v>
      </c>
      <c r="AD294">
        <v>0</v>
      </c>
      <c r="AE294">
        <v>726182084071</v>
      </c>
      <c r="AF294">
        <v>129.93</v>
      </c>
      <c r="AG294">
        <v>0</v>
      </c>
      <c r="AH294">
        <v>46.12</v>
      </c>
      <c r="AI294">
        <v>176.05</v>
      </c>
      <c r="AJ294" t="s">
        <v>2</v>
      </c>
      <c r="AK294" t="s">
        <v>11</v>
      </c>
    </row>
    <row r="295" spans="1:37">
      <c r="A295">
        <v>257711</v>
      </c>
      <c r="B295" s="1">
        <v>45366</v>
      </c>
      <c r="C295" t="s">
        <v>544</v>
      </c>
      <c r="D295" t="s">
        <v>545</v>
      </c>
      <c r="E295" t="s">
        <v>2</v>
      </c>
      <c r="F295" t="s">
        <v>546</v>
      </c>
      <c r="G295" t="s">
        <v>547</v>
      </c>
      <c r="H295">
        <v>29483</v>
      </c>
      <c r="I295" t="s">
        <v>662</v>
      </c>
      <c r="J295" t="s">
        <v>663</v>
      </c>
      <c r="K295" t="s">
        <v>2</v>
      </c>
      <c r="L295" t="s">
        <v>664</v>
      </c>
      <c r="M295" t="s">
        <v>547</v>
      </c>
      <c r="N295" t="s">
        <v>665</v>
      </c>
      <c r="O295" t="s">
        <v>552</v>
      </c>
      <c r="P295">
        <v>2278384</v>
      </c>
      <c r="Q295" t="s">
        <v>38</v>
      </c>
      <c r="R295">
        <v>415551</v>
      </c>
      <c r="S295" t="s">
        <v>84</v>
      </c>
      <c r="T295" s="2">
        <v>1</v>
      </c>
      <c r="U295">
        <v>0</v>
      </c>
      <c r="V295" t="s">
        <v>153</v>
      </c>
      <c r="W295">
        <v>1</v>
      </c>
      <c r="X295">
        <v>1</v>
      </c>
      <c r="Y295">
        <v>0</v>
      </c>
      <c r="Z295" t="s">
        <v>666</v>
      </c>
      <c r="AA295" t="s">
        <v>667</v>
      </c>
      <c r="AB295" t="s">
        <v>14</v>
      </c>
      <c r="AC295">
        <v>129.93</v>
      </c>
      <c r="AD295">
        <v>129.93</v>
      </c>
      <c r="AE295">
        <v>726182084071</v>
      </c>
      <c r="AF295">
        <v>129.93</v>
      </c>
      <c r="AG295">
        <v>0</v>
      </c>
      <c r="AH295">
        <v>46.12</v>
      </c>
      <c r="AI295">
        <v>176.05</v>
      </c>
      <c r="AJ295" t="s">
        <v>2</v>
      </c>
      <c r="AK295" t="s">
        <v>11</v>
      </c>
    </row>
    <row r="296" spans="1:37">
      <c r="A296">
        <v>257711</v>
      </c>
      <c r="B296" s="1">
        <v>45366</v>
      </c>
      <c r="C296" t="s">
        <v>544</v>
      </c>
      <c r="D296" t="s">
        <v>545</v>
      </c>
      <c r="E296" t="s">
        <v>2</v>
      </c>
      <c r="F296" t="s">
        <v>546</v>
      </c>
      <c r="G296" t="s">
        <v>547</v>
      </c>
      <c r="H296">
        <v>29483</v>
      </c>
      <c r="I296" t="s">
        <v>662</v>
      </c>
      <c r="J296" t="s">
        <v>663</v>
      </c>
      <c r="K296" t="s">
        <v>2</v>
      </c>
      <c r="L296" t="s">
        <v>664</v>
      </c>
      <c r="M296" t="s">
        <v>547</v>
      </c>
      <c r="N296" t="s">
        <v>665</v>
      </c>
      <c r="O296" t="s">
        <v>552</v>
      </c>
      <c r="P296">
        <v>2278384</v>
      </c>
      <c r="Q296" t="s">
        <v>38</v>
      </c>
      <c r="R296">
        <v>415551</v>
      </c>
      <c r="S296" t="s">
        <v>84</v>
      </c>
      <c r="T296" s="2">
        <v>1</v>
      </c>
      <c r="U296">
        <v>0</v>
      </c>
      <c r="V296" t="s">
        <v>153</v>
      </c>
      <c r="W296">
        <v>0</v>
      </c>
      <c r="X296">
        <v>0</v>
      </c>
      <c r="Y296">
        <v>0</v>
      </c>
      <c r="Z296" t="s">
        <v>88</v>
      </c>
      <c r="AA296" t="s">
        <v>196</v>
      </c>
      <c r="AB296" t="s">
        <v>10</v>
      </c>
      <c r="AC296">
        <v>0</v>
      </c>
      <c r="AD296">
        <v>0</v>
      </c>
      <c r="AE296">
        <v>726182084071</v>
      </c>
      <c r="AF296">
        <v>129.93</v>
      </c>
      <c r="AG296">
        <v>0</v>
      </c>
      <c r="AH296">
        <v>46.12</v>
      </c>
      <c r="AI296">
        <v>176.05</v>
      </c>
      <c r="AJ296" t="s">
        <v>2</v>
      </c>
      <c r="AK296" t="s">
        <v>11</v>
      </c>
    </row>
    <row r="297" spans="1:37">
      <c r="A297">
        <v>257712</v>
      </c>
      <c r="B297" s="1">
        <v>45366</v>
      </c>
      <c r="C297" t="s">
        <v>562</v>
      </c>
      <c r="D297" t="s">
        <v>563</v>
      </c>
      <c r="E297" t="s">
        <v>564</v>
      </c>
      <c r="F297" t="s">
        <v>565</v>
      </c>
      <c r="G297" t="s">
        <v>566</v>
      </c>
      <c r="H297">
        <v>36607</v>
      </c>
      <c r="I297" t="s">
        <v>668</v>
      </c>
      <c r="J297" t="s">
        <v>669</v>
      </c>
      <c r="K297" t="s">
        <v>2</v>
      </c>
      <c r="L297" t="s">
        <v>670</v>
      </c>
      <c r="M297" t="s">
        <v>98</v>
      </c>
      <c r="N297" t="s">
        <v>671</v>
      </c>
      <c r="O297" t="s">
        <v>569</v>
      </c>
      <c r="P297">
        <v>2278368</v>
      </c>
      <c r="Q297" t="s">
        <v>38</v>
      </c>
      <c r="R297">
        <v>415545</v>
      </c>
      <c r="S297" t="s">
        <v>84</v>
      </c>
      <c r="T297" s="2">
        <v>1</v>
      </c>
      <c r="U297">
        <v>0</v>
      </c>
      <c r="V297" t="s">
        <v>153</v>
      </c>
      <c r="W297">
        <v>0</v>
      </c>
      <c r="X297">
        <v>0</v>
      </c>
      <c r="Y297">
        <v>0</v>
      </c>
      <c r="Z297" t="s">
        <v>9</v>
      </c>
      <c r="AA297" t="s">
        <v>2</v>
      </c>
      <c r="AB297" t="s">
        <v>10</v>
      </c>
      <c r="AC297">
        <v>0</v>
      </c>
      <c r="AD297">
        <v>0</v>
      </c>
      <c r="AE297">
        <v>726182084152</v>
      </c>
      <c r="AF297">
        <v>147.63</v>
      </c>
      <c r="AG297">
        <v>0</v>
      </c>
      <c r="AH297">
        <v>21.4</v>
      </c>
      <c r="AI297">
        <v>169.03</v>
      </c>
      <c r="AJ297" t="s">
        <v>2</v>
      </c>
      <c r="AK297" t="s">
        <v>11</v>
      </c>
    </row>
    <row r="298" spans="1:37">
      <c r="A298">
        <v>257712</v>
      </c>
      <c r="B298" s="1">
        <v>45366</v>
      </c>
      <c r="C298" t="s">
        <v>562</v>
      </c>
      <c r="D298" t="s">
        <v>563</v>
      </c>
      <c r="E298" t="s">
        <v>564</v>
      </c>
      <c r="F298" t="s">
        <v>565</v>
      </c>
      <c r="G298" t="s">
        <v>566</v>
      </c>
      <c r="H298">
        <v>36607</v>
      </c>
      <c r="I298" t="s">
        <v>668</v>
      </c>
      <c r="J298" t="s">
        <v>669</v>
      </c>
      <c r="K298" t="s">
        <v>2</v>
      </c>
      <c r="L298" t="s">
        <v>670</v>
      </c>
      <c r="M298" t="s">
        <v>98</v>
      </c>
      <c r="N298" t="s">
        <v>671</v>
      </c>
      <c r="O298" t="s">
        <v>569</v>
      </c>
      <c r="P298">
        <v>2278368</v>
      </c>
      <c r="Q298" t="s">
        <v>38</v>
      </c>
      <c r="R298">
        <v>415545</v>
      </c>
      <c r="S298" t="s">
        <v>84</v>
      </c>
      <c r="T298" s="2">
        <v>1</v>
      </c>
      <c r="U298">
        <v>0</v>
      </c>
      <c r="V298" t="s">
        <v>153</v>
      </c>
      <c r="W298">
        <v>1</v>
      </c>
      <c r="X298">
        <v>1</v>
      </c>
      <c r="Y298">
        <v>0</v>
      </c>
      <c r="Z298" t="s">
        <v>672</v>
      </c>
      <c r="AA298" t="s">
        <v>673</v>
      </c>
      <c r="AB298" t="s">
        <v>14</v>
      </c>
      <c r="AC298">
        <v>147.63</v>
      </c>
      <c r="AD298">
        <v>147.63</v>
      </c>
      <c r="AE298">
        <v>726182084152</v>
      </c>
      <c r="AF298">
        <v>147.63</v>
      </c>
      <c r="AG298">
        <v>0</v>
      </c>
      <c r="AH298">
        <v>21.4</v>
      </c>
      <c r="AI298">
        <v>169.03</v>
      </c>
      <c r="AJ298" t="s">
        <v>2</v>
      </c>
      <c r="AK298" t="s">
        <v>11</v>
      </c>
    </row>
    <row r="299" spans="1:37">
      <c r="A299">
        <v>257712</v>
      </c>
      <c r="B299" s="1">
        <v>45366</v>
      </c>
      <c r="C299" t="s">
        <v>562</v>
      </c>
      <c r="D299" t="s">
        <v>563</v>
      </c>
      <c r="E299" t="s">
        <v>564</v>
      </c>
      <c r="F299" t="s">
        <v>565</v>
      </c>
      <c r="G299" t="s">
        <v>566</v>
      </c>
      <c r="H299">
        <v>36607</v>
      </c>
      <c r="I299" t="s">
        <v>668</v>
      </c>
      <c r="J299" t="s">
        <v>669</v>
      </c>
      <c r="K299" t="s">
        <v>2</v>
      </c>
      <c r="L299" t="s">
        <v>670</v>
      </c>
      <c r="M299" t="s">
        <v>98</v>
      </c>
      <c r="N299" t="s">
        <v>671</v>
      </c>
      <c r="O299" t="s">
        <v>569</v>
      </c>
      <c r="P299">
        <v>2278368</v>
      </c>
      <c r="Q299" t="s">
        <v>38</v>
      </c>
      <c r="R299">
        <v>415545</v>
      </c>
      <c r="S299" t="s">
        <v>84</v>
      </c>
      <c r="T299" s="2">
        <v>1</v>
      </c>
      <c r="U299">
        <v>0</v>
      </c>
      <c r="V299" t="s">
        <v>153</v>
      </c>
      <c r="W299">
        <v>0</v>
      </c>
      <c r="X299">
        <v>0</v>
      </c>
      <c r="Y299">
        <v>0</v>
      </c>
      <c r="Z299" t="s">
        <v>88</v>
      </c>
      <c r="AA299" t="s">
        <v>674</v>
      </c>
      <c r="AB299" t="s">
        <v>10</v>
      </c>
      <c r="AC299">
        <v>0</v>
      </c>
      <c r="AD299">
        <v>0</v>
      </c>
      <c r="AE299">
        <v>726182084152</v>
      </c>
      <c r="AF299">
        <v>147.63</v>
      </c>
      <c r="AG299">
        <v>0</v>
      </c>
      <c r="AH299">
        <v>21.4</v>
      </c>
      <c r="AI299">
        <v>169.03</v>
      </c>
      <c r="AJ299" t="s">
        <v>2</v>
      </c>
      <c r="AK299" t="s">
        <v>11</v>
      </c>
    </row>
    <row r="300" spans="1:37">
      <c r="A300">
        <v>257713</v>
      </c>
      <c r="B300" s="1">
        <v>45366</v>
      </c>
      <c r="C300" t="s">
        <v>601</v>
      </c>
      <c r="D300" t="s">
        <v>602</v>
      </c>
      <c r="E300" t="s">
        <v>2</v>
      </c>
      <c r="F300" t="s">
        <v>603</v>
      </c>
      <c r="G300" t="s">
        <v>566</v>
      </c>
      <c r="H300">
        <v>35209</v>
      </c>
      <c r="I300" t="s">
        <v>675</v>
      </c>
      <c r="J300" t="s">
        <v>676</v>
      </c>
      <c r="K300" t="s">
        <v>2</v>
      </c>
      <c r="L300" t="s">
        <v>677</v>
      </c>
      <c r="M300" t="s">
        <v>566</v>
      </c>
      <c r="N300" t="s">
        <v>678</v>
      </c>
      <c r="O300" t="s">
        <v>608</v>
      </c>
      <c r="P300">
        <v>2278558</v>
      </c>
      <c r="Q300" t="s">
        <v>38</v>
      </c>
      <c r="R300">
        <v>415606</v>
      </c>
      <c r="S300" t="s">
        <v>84</v>
      </c>
      <c r="T300" s="2">
        <v>1</v>
      </c>
      <c r="U300">
        <v>0</v>
      </c>
      <c r="V300" t="s">
        <v>153</v>
      </c>
      <c r="W300">
        <v>0</v>
      </c>
      <c r="X300">
        <v>0</v>
      </c>
      <c r="Y300">
        <v>0</v>
      </c>
      <c r="Z300" t="s">
        <v>9</v>
      </c>
      <c r="AA300" t="s">
        <v>2</v>
      </c>
      <c r="AB300" t="s">
        <v>10</v>
      </c>
      <c r="AC300">
        <v>0</v>
      </c>
      <c r="AD300">
        <v>0</v>
      </c>
      <c r="AE300">
        <v>726182084244</v>
      </c>
      <c r="AF300">
        <v>135.58000000000001</v>
      </c>
      <c r="AG300">
        <v>0</v>
      </c>
      <c r="AH300">
        <v>22.5</v>
      </c>
      <c r="AI300">
        <v>158.08000000000001</v>
      </c>
      <c r="AJ300" t="s">
        <v>2</v>
      </c>
      <c r="AK300" t="s">
        <v>11</v>
      </c>
    </row>
    <row r="301" spans="1:37">
      <c r="A301">
        <v>257713</v>
      </c>
      <c r="B301" s="1">
        <v>45366</v>
      </c>
      <c r="C301" t="s">
        <v>601</v>
      </c>
      <c r="D301" t="s">
        <v>602</v>
      </c>
      <c r="E301" t="s">
        <v>2</v>
      </c>
      <c r="F301" t="s">
        <v>603</v>
      </c>
      <c r="G301" t="s">
        <v>566</v>
      </c>
      <c r="H301">
        <v>35209</v>
      </c>
      <c r="I301" t="s">
        <v>675</v>
      </c>
      <c r="J301" t="s">
        <v>676</v>
      </c>
      <c r="K301" t="s">
        <v>2</v>
      </c>
      <c r="L301" t="s">
        <v>677</v>
      </c>
      <c r="M301" t="s">
        <v>566</v>
      </c>
      <c r="N301" t="s">
        <v>678</v>
      </c>
      <c r="O301" t="s">
        <v>608</v>
      </c>
      <c r="P301">
        <v>2278558</v>
      </c>
      <c r="Q301" t="s">
        <v>38</v>
      </c>
      <c r="R301">
        <v>415606</v>
      </c>
      <c r="S301" t="s">
        <v>84</v>
      </c>
      <c r="T301" s="2">
        <v>1</v>
      </c>
      <c r="U301">
        <v>0</v>
      </c>
      <c r="V301" t="s">
        <v>153</v>
      </c>
      <c r="W301">
        <v>1</v>
      </c>
      <c r="X301">
        <v>1</v>
      </c>
      <c r="Y301">
        <v>0</v>
      </c>
      <c r="Z301" t="s">
        <v>679</v>
      </c>
      <c r="AA301" t="s">
        <v>673</v>
      </c>
      <c r="AB301" t="s">
        <v>14</v>
      </c>
      <c r="AC301">
        <v>135.58000000000001</v>
      </c>
      <c r="AD301">
        <v>135.58000000000001</v>
      </c>
      <c r="AE301">
        <v>726182084244</v>
      </c>
      <c r="AF301">
        <v>135.58000000000001</v>
      </c>
      <c r="AG301">
        <v>0</v>
      </c>
      <c r="AH301">
        <v>22.5</v>
      </c>
      <c r="AI301">
        <v>158.08000000000001</v>
      </c>
      <c r="AJ301" t="s">
        <v>2</v>
      </c>
      <c r="AK301" t="s">
        <v>11</v>
      </c>
    </row>
    <row r="302" spans="1:37">
      <c r="A302">
        <v>257713</v>
      </c>
      <c r="B302" s="1">
        <v>45366</v>
      </c>
      <c r="C302" t="s">
        <v>601</v>
      </c>
      <c r="D302" t="s">
        <v>602</v>
      </c>
      <c r="E302" t="s">
        <v>2</v>
      </c>
      <c r="F302" t="s">
        <v>603</v>
      </c>
      <c r="G302" t="s">
        <v>566</v>
      </c>
      <c r="H302">
        <v>35209</v>
      </c>
      <c r="I302" t="s">
        <v>675</v>
      </c>
      <c r="J302" t="s">
        <v>676</v>
      </c>
      <c r="K302" t="s">
        <v>2</v>
      </c>
      <c r="L302" t="s">
        <v>677</v>
      </c>
      <c r="M302" t="s">
        <v>566</v>
      </c>
      <c r="N302" t="s">
        <v>678</v>
      </c>
      <c r="O302" t="s">
        <v>608</v>
      </c>
      <c r="P302">
        <v>2278558</v>
      </c>
      <c r="Q302" t="s">
        <v>38</v>
      </c>
      <c r="R302">
        <v>415606</v>
      </c>
      <c r="S302" t="s">
        <v>84</v>
      </c>
      <c r="T302" s="2">
        <v>1</v>
      </c>
      <c r="U302">
        <v>0</v>
      </c>
      <c r="V302" t="s">
        <v>153</v>
      </c>
      <c r="W302">
        <v>0</v>
      </c>
      <c r="X302">
        <v>0</v>
      </c>
      <c r="Y302">
        <v>0</v>
      </c>
      <c r="Z302" t="s">
        <v>88</v>
      </c>
      <c r="AA302" t="s">
        <v>89</v>
      </c>
      <c r="AB302" t="s">
        <v>10</v>
      </c>
      <c r="AC302">
        <v>0</v>
      </c>
      <c r="AD302">
        <v>0</v>
      </c>
      <c r="AE302">
        <v>726182084244</v>
      </c>
      <c r="AF302">
        <v>135.58000000000001</v>
      </c>
      <c r="AG302">
        <v>0</v>
      </c>
      <c r="AH302">
        <v>22.5</v>
      </c>
      <c r="AI302">
        <v>158.08000000000001</v>
      </c>
      <c r="AJ302" t="s">
        <v>2</v>
      </c>
      <c r="AK302" t="s">
        <v>11</v>
      </c>
    </row>
    <row r="303" spans="1:37">
      <c r="A303">
        <v>257714</v>
      </c>
      <c r="B303" s="1">
        <v>45366</v>
      </c>
      <c r="C303" t="s">
        <v>562</v>
      </c>
      <c r="D303" t="s">
        <v>563</v>
      </c>
      <c r="E303" t="s">
        <v>564</v>
      </c>
      <c r="F303" t="s">
        <v>565</v>
      </c>
      <c r="G303" t="s">
        <v>566</v>
      </c>
      <c r="H303">
        <v>36607</v>
      </c>
      <c r="I303" t="s">
        <v>567</v>
      </c>
      <c r="J303" t="s">
        <v>568</v>
      </c>
      <c r="K303" t="s">
        <v>2</v>
      </c>
      <c r="L303" t="s">
        <v>565</v>
      </c>
      <c r="M303" t="s">
        <v>566</v>
      </c>
      <c r="N303">
        <v>36606</v>
      </c>
      <c r="O303" t="s">
        <v>569</v>
      </c>
      <c r="P303">
        <v>2278478</v>
      </c>
      <c r="Q303" t="s">
        <v>38</v>
      </c>
      <c r="R303">
        <v>415592</v>
      </c>
      <c r="S303" t="s">
        <v>84</v>
      </c>
      <c r="T303" s="2">
        <v>1</v>
      </c>
      <c r="U303">
        <v>0</v>
      </c>
      <c r="V303" t="s">
        <v>153</v>
      </c>
      <c r="W303">
        <v>0</v>
      </c>
      <c r="X303">
        <v>0</v>
      </c>
      <c r="Y303">
        <v>0</v>
      </c>
      <c r="Z303" t="s">
        <v>9</v>
      </c>
      <c r="AA303" t="s">
        <v>2</v>
      </c>
      <c r="AB303" t="s">
        <v>10</v>
      </c>
      <c r="AC303">
        <v>0</v>
      </c>
      <c r="AD303">
        <v>0</v>
      </c>
      <c r="AE303">
        <v>726182084200</v>
      </c>
      <c r="AF303">
        <v>258.85000000000002</v>
      </c>
      <c r="AG303">
        <v>0</v>
      </c>
      <c r="AH303">
        <v>55.21</v>
      </c>
      <c r="AI303">
        <v>314.06</v>
      </c>
      <c r="AJ303" t="s">
        <v>2</v>
      </c>
      <c r="AK303" t="s">
        <v>11</v>
      </c>
    </row>
    <row r="304" spans="1:37">
      <c r="A304">
        <v>257714</v>
      </c>
      <c r="B304" s="1">
        <v>45366</v>
      </c>
      <c r="C304" t="s">
        <v>562</v>
      </c>
      <c r="D304" t="s">
        <v>563</v>
      </c>
      <c r="E304" t="s">
        <v>564</v>
      </c>
      <c r="F304" t="s">
        <v>565</v>
      </c>
      <c r="G304" t="s">
        <v>566</v>
      </c>
      <c r="H304">
        <v>36607</v>
      </c>
      <c r="I304" t="s">
        <v>567</v>
      </c>
      <c r="J304" t="s">
        <v>568</v>
      </c>
      <c r="K304" t="s">
        <v>2</v>
      </c>
      <c r="L304" t="s">
        <v>565</v>
      </c>
      <c r="M304" t="s">
        <v>566</v>
      </c>
      <c r="N304">
        <v>36606</v>
      </c>
      <c r="O304" t="s">
        <v>569</v>
      </c>
      <c r="P304">
        <v>2278478</v>
      </c>
      <c r="Q304" t="s">
        <v>38</v>
      </c>
      <c r="R304">
        <v>415592</v>
      </c>
      <c r="S304" t="s">
        <v>84</v>
      </c>
      <c r="T304" s="2">
        <v>1</v>
      </c>
      <c r="U304">
        <v>0</v>
      </c>
      <c r="V304" t="s">
        <v>153</v>
      </c>
      <c r="W304">
        <v>1</v>
      </c>
      <c r="X304">
        <v>1</v>
      </c>
      <c r="Y304">
        <v>0</v>
      </c>
      <c r="Z304" t="s">
        <v>680</v>
      </c>
      <c r="AA304" t="s">
        <v>681</v>
      </c>
      <c r="AB304" t="s">
        <v>14</v>
      </c>
      <c r="AC304">
        <v>258.85000000000002</v>
      </c>
      <c r="AD304">
        <v>258.85000000000002</v>
      </c>
      <c r="AE304">
        <v>726182084200</v>
      </c>
      <c r="AF304">
        <v>258.85000000000002</v>
      </c>
      <c r="AG304">
        <v>0</v>
      </c>
      <c r="AH304">
        <v>55.21</v>
      </c>
      <c r="AI304">
        <v>314.06</v>
      </c>
      <c r="AJ304" t="s">
        <v>2</v>
      </c>
      <c r="AK304" t="s">
        <v>11</v>
      </c>
    </row>
    <row r="305" spans="1:37">
      <c r="A305">
        <v>257714</v>
      </c>
      <c r="B305" s="1">
        <v>45366</v>
      </c>
      <c r="C305" t="s">
        <v>562</v>
      </c>
      <c r="D305" t="s">
        <v>563</v>
      </c>
      <c r="E305" t="s">
        <v>564</v>
      </c>
      <c r="F305" t="s">
        <v>565</v>
      </c>
      <c r="G305" t="s">
        <v>566</v>
      </c>
      <c r="H305">
        <v>36607</v>
      </c>
      <c r="I305" t="s">
        <v>567</v>
      </c>
      <c r="J305" t="s">
        <v>568</v>
      </c>
      <c r="K305" t="s">
        <v>2</v>
      </c>
      <c r="L305" t="s">
        <v>565</v>
      </c>
      <c r="M305" t="s">
        <v>566</v>
      </c>
      <c r="N305">
        <v>36606</v>
      </c>
      <c r="O305" t="s">
        <v>569</v>
      </c>
      <c r="P305">
        <v>2278478</v>
      </c>
      <c r="Q305" t="s">
        <v>38</v>
      </c>
      <c r="R305">
        <v>415592</v>
      </c>
      <c r="S305" t="s">
        <v>84</v>
      </c>
      <c r="T305" s="2">
        <v>1</v>
      </c>
      <c r="U305">
        <v>0</v>
      </c>
      <c r="V305" t="s">
        <v>153</v>
      </c>
      <c r="W305">
        <v>0</v>
      </c>
      <c r="X305">
        <v>0</v>
      </c>
      <c r="Y305">
        <v>0</v>
      </c>
      <c r="Z305" t="s">
        <v>88</v>
      </c>
      <c r="AA305" t="s">
        <v>317</v>
      </c>
      <c r="AB305" t="s">
        <v>10</v>
      </c>
      <c r="AC305">
        <v>0</v>
      </c>
      <c r="AD305">
        <v>0</v>
      </c>
      <c r="AE305">
        <v>726182084200</v>
      </c>
      <c r="AF305">
        <v>258.85000000000002</v>
      </c>
      <c r="AG305">
        <v>0</v>
      </c>
      <c r="AH305">
        <v>55.21</v>
      </c>
      <c r="AI305">
        <v>314.06</v>
      </c>
      <c r="AJ305" t="s">
        <v>2</v>
      </c>
      <c r="AK305" t="s">
        <v>11</v>
      </c>
    </row>
    <row r="306" spans="1:37">
      <c r="A306">
        <v>257715</v>
      </c>
      <c r="B306" s="1">
        <v>45366</v>
      </c>
      <c r="C306" t="s">
        <v>682</v>
      </c>
      <c r="D306" t="s">
        <v>683</v>
      </c>
      <c r="E306" t="s">
        <v>491</v>
      </c>
      <c r="F306" t="s">
        <v>684</v>
      </c>
      <c r="G306" t="s">
        <v>28</v>
      </c>
      <c r="H306">
        <v>32207</v>
      </c>
      <c r="I306" t="s">
        <v>685</v>
      </c>
      <c r="J306" t="s">
        <v>686</v>
      </c>
      <c r="K306" t="s">
        <v>2</v>
      </c>
      <c r="L306" t="s">
        <v>687</v>
      </c>
      <c r="M306" t="s">
        <v>28</v>
      </c>
      <c r="N306" t="s">
        <v>688</v>
      </c>
      <c r="O306" t="s">
        <v>689</v>
      </c>
      <c r="P306">
        <v>2278437</v>
      </c>
      <c r="Q306" t="s">
        <v>38</v>
      </c>
      <c r="R306">
        <v>415568</v>
      </c>
      <c r="S306" t="s">
        <v>84</v>
      </c>
      <c r="T306" s="2">
        <v>1</v>
      </c>
      <c r="U306">
        <v>0</v>
      </c>
      <c r="V306" t="s">
        <v>153</v>
      </c>
      <c r="W306">
        <v>0</v>
      </c>
      <c r="X306">
        <v>0</v>
      </c>
      <c r="Y306">
        <v>0</v>
      </c>
      <c r="Z306" t="s">
        <v>9</v>
      </c>
      <c r="AA306" t="s">
        <v>2</v>
      </c>
      <c r="AB306" t="s">
        <v>10</v>
      </c>
      <c r="AC306">
        <v>0</v>
      </c>
      <c r="AD306">
        <v>0</v>
      </c>
      <c r="AE306">
        <v>726182084266</v>
      </c>
      <c r="AF306">
        <v>633.9</v>
      </c>
      <c r="AG306">
        <v>0</v>
      </c>
      <c r="AH306">
        <v>24.35</v>
      </c>
      <c r="AI306">
        <v>658.25</v>
      </c>
      <c r="AJ306" t="s">
        <v>2</v>
      </c>
      <c r="AK306" t="s">
        <v>11</v>
      </c>
    </row>
    <row r="307" spans="1:37">
      <c r="A307">
        <v>257715</v>
      </c>
      <c r="B307" s="1">
        <v>45366</v>
      </c>
      <c r="C307" t="s">
        <v>682</v>
      </c>
      <c r="D307" t="s">
        <v>683</v>
      </c>
      <c r="E307" t="s">
        <v>491</v>
      </c>
      <c r="F307" t="s">
        <v>684</v>
      </c>
      <c r="G307" t="s">
        <v>28</v>
      </c>
      <c r="H307">
        <v>32207</v>
      </c>
      <c r="I307" t="s">
        <v>685</v>
      </c>
      <c r="J307" t="s">
        <v>686</v>
      </c>
      <c r="K307" t="s">
        <v>2</v>
      </c>
      <c r="L307" t="s">
        <v>687</v>
      </c>
      <c r="M307" t="s">
        <v>28</v>
      </c>
      <c r="N307" t="s">
        <v>688</v>
      </c>
      <c r="O307" t="s">
        <v>689</v>
      </c>
      <c r="P307">
        <v>2278437</v>
      </c>
      <c r="Q307" t="s">
        <v>38</v>
      </c>
      <c r="R307">
        <v>415568</v>
      </c>
      <c r="S307" t="s">
        <v>84</v>
      </c>
      <c r="T307" s="2">
        <v>1</v>
      </c>
      <c r="U307">
        <v>0</v>
      </c>
      <c r="V307" t="s">
        <v>153</v>
      </c>
      <c r="W307">
        <v>1</v>
      </c>
      <c r="X307">
        <v>1</v>
      </c>
      <c r="Y307">
        <v>0</v>
      </c>
      <c r="Z307" t="s">
        <v>690</v>
      </c>
      <c r="AA307" t="s">
        <v>691</v>
      </c>
      <c r="AB307" t="s">
        <v>14</v>
      </c>
      <c r="AC307">
        <v>633.9</v>
      </c>
      <c r="AD307">
        <v>633.9</v>
      </c>
      <c r="AE307">
        <v>726182084266</v>
      </c>
      <c r="AF307">
        <v>633.9</v>
      </c>
      <c r="AG307">
        <v>0</v>
      </c>
      <c r="AH307">
        <v>24.35</v>
      </c>
      <c r="AI307">
        <v>658.25</v>
      </c>
      <c r="AJ307" t="s">
        <v>2</v>
      </c>
      <c r="AK307" t="s">
        <v>11</v>
      </c>
    </row>
    <row r="308" spans="1:37">
      <c r="A308">
        <v>257715</v>
      </c>
      <c r="B308" s="1">
        <v>45366</v>
      </c>
      <c r="C308" t="s">
        <v>682</v>
      </c>
      <c r="D308" t="s">
        <v>683</v>
      </c>
      <c r="E308" t="s">
        <v>491</v>
      </c>
      <c r="F308" t="s">
        <v>684</v>
      </c>
      <c r="G308" t="s">
        <v>28</v>
      </c>
      <c r="H308">
        <v>32207</v>
      </c>
      <c r="I308" t="s">
        <v>685</v>
      </c>
      <c r="J308" t="s">
        <v>686</v>
      </c>
      <c r="K308" t="s">
        <v>2</v>
      </c>
      <c r="L308" t="s">
        <v>687</v>
      </c>
      <c r="M308" t="s">
        <v>28</v>
      </c>
      <c r="N308" t="s">
        <v>688</v>
      </c>
      <c r="O308" t="s">
        <v>689</v>
      </c>
      <c r="P308">
        <v>2278437</v>
      </c>
      <c r="Q308" t="s">
        <v>38</v>
      </c>
      <c r="R308">
        <v>415568</v>
      </c>
      <c r="S308" t="s">
        <v>84</v>
      </c>
      <c r="T308" s="2">
        <v>1</v>
      </c>
      <c r="U308">
        <v>0</v>
      </c>
      <c r="V308" t="s">
        <v>153</v>
      </c>
      <c r="W308">
        <v>0</v>
      </c>
      <c r="X308">
        <v>0</v>
      </c>
      <c r="Y308">
        <v>0</v>
      </c>
      <c r="Z308" t="s">
        <v>88</v>
      </c>
      <c r="AA308" t="s">
        <v>251</v>
      </c>
      <c r="AB308" t="s">
        <v>10</v>
      </c>
      <c r="AC308">
        <v>0</v>
      </c>
      <c r="AD308">
        <v>0</v>
      </c>
      <c r="AE308">
        <v>726182084266</v>
      </c>
      <c r="AF308">
        <v>633.9</v>
      </c>
      <c r="AG308">
        <v>0</v>
      </c>
      <c r="AH308">
        <v>24.35</v>
      </c>
      <c r="AI308">
        <v>658.25</v>
      </c>
      <c r="AJ308" t="s">
        <v>2</v>
      </c>
      <c r="AK308" t="s">
        <v>11</v>
      </c>
    </row>
    <row r="309" spans="1:37">
      <c r="A309">
        <v>257716</v>
      </c>
      <c r="B309" s="1">
        <v>45366</v>
      </c>
      <c r="C309" t="s">
        <v>692</v>
      </c>
      <c r="D309" t="s">
        <v>693</v>
      </c>
      <c r="E309" t="s">
        <v>2</v>
      </c>
      <c r="F309" t="s">
        <v>694</v>
      </c>
      <c r="G309" t="s">
        <v>67</v>
      </c>
      <c r="H309">
        <v>78218</v>
      </c>
      <c r="I309" t="s">
        <v>695</v>
      </c>
      <c r="J309" t="s">
        <v>696</v>
      </c>
      <c r="K309" t="s">
        <v>2</v>
      </c>
      <c r="L309" t="s">
        <v>694</v>
      </c>
      <c r="M309" t="s">
        <v>67</v>
      </c>
      <c r="N309" t="s">
        <v>697</v>
      </c>
      <c r="O309" t="s">
        <v>698</v>
      </c>
      <c r="P309">
        <v>2278719</v>
      </c>
      <c r="Q309" t="s">
        <v>38</v>
      </c>
      <c r="R309">
        <v>415679</v>
      </c>
      <c r="S309" t="s">
        <v>84</v>
      </c>
      <c r="T309" s="2">
        <v>1</v>
      </c>
      <c r="U309">
        <v>0</v>
      </c>
      <c r="V309" t="s">
        <v>153</v>
      </c>
      <c r="W309">
        <v>0</v>
      </c>
      <c r="X309">
        <v>0</v>
      </c>
      <c r="Y309">
        <v>0</v>
      </c>
      <c r="Z309" t="s">
        <v>9</v>
      </c>
      <c r="AA309" t="s">
        <v>2</v>
      </c>
      <c r="AB309" t="s">
        <v>10</v>
      </c>
      <c r="AC309">
        <v>0</v>
      </c>
      <c r="AD309">
        <v>0</v>
      </c>
      <c r="AE309">
        <v>726182084440</v>
      </c>
      <c r="AF309">
        <v>135.54</v>
      </c>
      <c r="AG309">
        <v>0</v>
      </c>
      <c r="AH309">
        <v>17.78</v>
      </c>
      <c r="AI309">
        <v>153.32</v>
      </c>
      <c r="AJ309" t="s">
        <v>2</v>
      </c>
      <c r="AK309" t="s">
        <v>11</v>
      </c>
    </row>
    <row r="310" spans="1:37">
      <c r="A310">
        <v>257716</v>
      </c>
      <c r="B310" s="1">
        <v>45366</v>
      </c>
      <c r="C310" t="s">
        <v>692</v>
      </c>
      <c r="D310" t="s">
        <v>693</v>
      </c>
      <c r="E310" t="s">
        <v>2</v>
      </c>
      <c r="F310" t="s">
        <v>694</v>
      </c>
      <c r="G310" t="s">
        <v>67</v>
      </c>
      <c r="H310">
        <v>78218</v>
      </c>
      <c r="I310" t="s">
        <v>695</v>
      </c>
      <c r="J310" t="s">
        <v>696</v>
      </c>
      <c r="K310" t="s">
        <v>2</v>
      </c>
      <c r="L310" t="s">
        <v>694</v>
      </c>
      <c r="M310" t="s">
        <v>67</v>
      </c>
      <c r="N310" t="s">
        <v>697</v>
      </c>
      <c r="O310" t="s">
        <v>698</v>
      </c>
      <c r="P310">
        <v>2278719</v>
      </c>
      <c r="Q310" t="s">
        <v>38</v>
      </c>
      <c r="R310">
        <v>415679</v>
      </c>
      <c r="S310" t="s">
        <v>84</v>
      </c>
      <c r="T310" s="2">
        <v>1</v>
      </c>
      <c r="U310">
        <v>0</v>
      </c>
      <c r="V310" t="s">
        <v>153</v>
      </c>
      <c r="W310">
        <v>1</v>
      </c>
      <c r="X310">
        <v>1</v>
      </c>
      <c r="Y310">
        <v>0</v>
      </c>
      <c r="Z310" t="s">
        <v>699</v>
      </c>
      <c r="AA310" t="s">
        <v>700</v>
      </c>
      <c r="AB310" t="s">
        <v>14</v>
      </c>
      <c r="AC310">
        <v>135.54</v>
      </c>
      <c r="AD310">
        <v>135.54</v>
      </c>
      <c r="AE310">
        <v>726182084440</v>
      </c>
      <c r="AF310">
        <v>135.54</v>
      </c>
      <c r="AG310">
        <v>0</v>
      </c>
      <c r="AH310">
        <v>17.78</v>
      </c>
      <c r="AI310">
        <v>153.32</v>
      </c>
      <c r="AJ310" t="s">
        <v>2</v>
      </c>
      <c r="AK310" t="s">
        <v>11</v>
      </c>
    </row>
    <row r="311" spans="1:37">
      <c r="A311">
        <v>257716</v>
      </c>
      <c r="B311" s="1">
        <v>45366</v>
      </c>
      <c r="C311" t="s">
        <v>692</v>
      </c>
      <c r="D311" t="s">
        <v>693</v>
      </c>
      <c r="E311" t="s">
        <v>2</v>
      </c>
      <c r="F311" t="s">
        <v>694</v>
      </c>
      <c r="G311" t="s">
        <v>67</v>
      </c>
      <c r="H311">
        <v>78218</v>
      </c>
      <c r="I311" t="s">
        <v>695</v>
      </c>
      <c r="J311" t="s">
        <v>696</v>
      </c>
      <c r="K311" t="s">
        <v>2</v>
      </c>
      <c r="L311" t="s">
        <v>694</v>
      </c>
      <c r="M311" t="s">
        <v>67</v>
      </c>
      <c r="N311" t="s">
        <v>697</v>
      </c>
      <c r="O311" t="s">
        <v>698</v>
      </c>
      <c r="P311">
        <v>2278719</v>
      </c>
      <c r="Q311" t="s">
        <v>38</v>
      </c>
      <c r="R311">
        <v>415679</v>
      </c>
      <c r="S311" t="s">
        <v>84</v>
      </c>
      <c r="T311" s="2">
        <v>1</v>
      </c>
      <c r="U311">
        <v>0</v>
      </c>
      <c r="V311" t="s">
        <v>153</v>
      </c>
      <c r="W311">
        <v>0</v>
      </c>
      <c r="X311">
        <v>0</v>
      </c>
      <c r="Y311">
        <v>0</v>
      </c>
      <c r="Z311" t="s">
        <v>88</v>
      </c>
      <c r="AA311" t="s">
        <v>298</v>
      </c>
      <c r="AB311" t="s">
        <v>10</v>
      </c>
      <c r="AC311">
        <v>0</v>
      </c>
      <c r="AD311">
        <v>0</v>
      </c>
      <c r="AE311">
        <v>726182084440</v>
      </c>
      <c r="AF311">
        <v>135.54</v>
      </c>
      <c r="AG311">
        <v>0</v>
      </c>
      <c r="AH311">
        <v>17.78</v>
      </c>
      <c r="AI311">
        <v>153.32</v>
      </c>
      <c r="AJ311" t="s">
        <v>2</v>
      </c>
      <c r="AK311" t="s">
        <v>11</v>
      </c>
    </row>
    <row r="312" spans="1:37">
      <c r="A312">
        <v>257717</v>
      </c>
      <c r="B312" s="1">
        <v>45366</v>
      </c>
      <c r="C312" t="s">
        <v>450</v>
      </c>
      <c r="D312" t="s">
        <v>451</v>
      </c>
      <c r="E312" t="s">
        <v>452</v>
      </c>
      <c r="F312" t="s">
        <v>453</v>
      </c>
      <c r="G312" t="s">
        <v>255</v>
      </c>
      <c r="H312">
        <v>60517</v>
      </c>
      <c r="I312" t="s">
        <v>701</v>
      </c>
      <c r="J312" t="s">
        <v>702</v>
      </c>
      <c r="K312" t="s">
        <v>2</v>
      </c>
      <c r="L312" t="s">
        <v>703</v>
      </c>
      <c r="M312" t="s">
        <v>624</v>
      </c>
      <c r="N312" t="s">
        <v>704</v>
      </c>
      <c r="O312" t="s">
        <v>458</v>
      </c>
      <c r="P312">
        <v>2278720</v>
      </c>
      <c r="Q312" t="s">
        <v>38</v>
      </c>
      <c r="R312">
        <v>415676</v>
      </c>
      <c r="S312" t="s">
        <v>84</v>
      </c>
      <c r="T312" s="2">
        <v>1</v>
      </c>
      <c r="U312">
        <v>0</v>
      </c>
      <c r="V312" t="s">
        <v>153</v>
      </c>
      <c r="W312">
        <v>0</v>
      </c>
      <c r="X312">
        <v>0</v>
      </c>
      <c r="Y312">
        <v>0</v>
      </c>
      <c r="Z312" t="s">
        <v>9</v>
      </c>
      <c r="AA312" t="s">
        <v>2</v>
      </c>
      <c r="AB312" t="s">
        <v>10</v>
      </c>
      <c r="AC312">
        <v>0</v>
      </c>
      <c r="AD312">
        <v>0</v>
      </c>
      <c r="AE312">
        <v>726182084439</v>
      </c>
      <c r="AF312">
        <v>135.54</v>
      </c>
      <c r="AG312">
        <v>0</v>
      </c>
      <c r="AH312">
        <v>15.07</v>
      </c>
      <c r="AI312">
        <v>150.61000000000001</v>
      </c>
      <c r="AJ312" t="s">
        <v>2</v>
      </c>
      <c r="AK312" t="s">
        <v>11</v>
      </c>
    </row>
    <row r="313" spans="1:37">
      <c r="A313">
        <v>257717</v>
      </c>
      <c r="B313" s="1">
        <v>45366</v>
      </c>
      <c r="C313" t="s">
        <v>450</v>
      </c>
      <c r="D313" t="s">
        <v>451</v>
      </c>
      <c r="E313" t="s">
        <v>452</v>
      </c>
      <c r="F313" t="s">
        <v>453</v>
      </c>
      <c r="G313" t="s">
        <v>255</v>
      </c>
      <c r="H313">
        <v>60517</v>
      </c>
      <c r="I313" t="s">
        <v>701</v>
      </c>
      <c r="J313" t="s">
        <v>702</v>
      </c>
      <c r="K313" t="s">
        <v>2</v>
      </c>
      <c r="L313" t="s">
        <v>703</v>
      </c>
      <c r="M313" t="s">
        <v>624</v>
      </c>
      <c r="N313" t="s">
        <v>704</v>
      </c>
      <c r="O313" t="s">
        <v>458</v>
      </c>
      <c r="P313">
        <v>2278720</v>
      </c>
      <c r="Q313" t="s">
        <v>38</v>
      </c>
      <c r="R313">
        <v>415676</v>
      </c>
      <c r="S313" t="s">
        <v>84</v>
      </c>
      <c r="T313" s="2">
        <v>1</v>
      </c>
      <c r="U313">
        <v>0</v>
      </c>
      <c r="V313" t="s">
        <v>153</v>
      </c>
      <c r="W313">
        <v>1</v>
      </c>
      <c r="X313">
        <v>1</v>
      </c>
      <c r="Y313">
        <v>0</v>
      </c>
      <c r="Z313" t="s">
        <v>699</v>
      </c>
      <c r="AA313" t="s">
        <v>700</v>
      </c>
      <c r="AB313" t="s">
        <v>14</v>
      </c>
      <c r="AC313">
        <v>135.54</v>
      </c>
      <c r="AD313">
        <v>135.54</v>
      </c>
      <c r="AE313">
        <v>726182084439</v>
      </c>
      <c r="AF313">
        <v>135.54</v>
      </c>
      <c r="AG313">
        <v>0</v>
      </c>
      <c r="AH313">
        <v>15.07</v>
      </c>
      <c r="AI313">
        <v>150.61000000000001</v>
      </c>
      <c r="AJ313" t="s">
        <v>2</v>
      </c>
      <c r="AK313" t="s">
        <v>11</v>
      </c>
    </row>
    <row r="314" spans="1:37">
      <c r="A314">
        <v>257717</v>
      </c>
      <c r="B314" s="1">
        <v>45366</v>
      </c>
      <c r="C314" t="s">
        <v>450</v>
      </c>
      <c r="D314" t="s">
        <v>451</v>
      </c>
      <c r="E314" t="s">
        <v>452</v>
      </c>
      <c r="F314" t="s">
        <v>453</v>
      </c>
      <c r="G314" t="s">
        <v>255</v>
      </c>
      <c r="H314">
        <v>60517</v>
      </c>
      <c r="I314" t="s">
        <v>701</v>
      </c>
      <c r="J314" t="s">
        <v>702</v>
      </c>
      <c r="K314" t="s">
        <v>2</v>
      </c>
      <c r="L314" t="s">
        <v>703</v>
      </c>
      <c r="M314" t="s">
        <v>624</v>
      </c>
      <c r="N314" t="s">
        <v>704</v>
      </c>
      <c r="O314" t="s">
        <v>458</v>
      </c>
      <c r="P314">
        <v>2278720</v>
      </c>
      <c r="Q314" t="s">
        <v>38</v>
      </c>
      <c r="R314">
        <v>415676</v>
      </c>
      <c r="S314" t="s">
        <v>84</v>
      </c>
      <c r="T314" s="2">
        <v>1</v>
      </c>
      <c r="U314">
        <v>0</v>
      </c>
      <c r="V314" t="s">
        <v>153</v>
      </c>
      <c r="W314">
        <v>0</v>
      </c>
      <c r="X314">
        <v>0</v>
      </c>
      <c r="Y314">
        <v>0</v>
      </c>
      <c r="Z314" t="s">
        <v>88</v>
      </c>
      <c r="AA314" t="s">
        <v>298</v>
      </c>
      <c r="AB314" t="s">
        <v>10</v>
      </c>
      <c r="AC314">
        <v>0</v>
      </c>
      <c r="AD314">
        <v>0</v>
      </c>
      <c r="AE314">
        <v>726182084439</v>
      </c>
      <c r="AF314">
        <v>135.54</v>
      </c>
      <c r="AG314">
        <v>0</v>
      </c>
      <c r="AH314">
        <v>15.07</v>
      </c>
      <c r="AI314">
        <v>150.61000000000001</v>
      </c>
      <c r="AJ314" t="s">
        <v>2</v>
      </c>
      <c r="AK314" t="s">
        <v>11</v>
      </c>
    </row>
    <row r="315" spans="1:37">
      <c r="A315">
        <v>257718</v>
      </c>
      <c r="B315" s="1">
        <v>45366</v>
      </c>
      <c r="C315" t="s">
        <v>705</v>
      </c>
      <c r="D315" t="s">
        <v>706</v>
      </c>
      <c r="E315" t="s">
        <v>707</v>
      </c>
      <c r="F315" t="s">
        <v>708</v>
      </c>
      <c r="G315" t="s">
        <v>579</v>
      </c>
      <c r="H315">
        <v>44310</v>
      </c>
      <c r="I315" t="s">
        <v>709</v>
      </c>
      <c r="J315" t="s">
        <v>710</v>
      </c>
      <c r="K315" t="s">
        <v>2</v>
      </c>
      <c r="L315" t="s">
        <v>172</v>
      </c>
      <c r="M315" t="s">
        <v>579</v>
      </c>
      <c r="N315" t="s">
        <v>711</v>
      </c>
      <c r="O315" t="s">
        <v>712</v>
      </c>
      <c r="P315">
        <v>2278648</v>
      </c>
      <c r="Q315" t="s">
        <v>38</v>
      </c>
      <c r="R315">
        <v>415646</v>
      </c>
      <c r="S315" t="s">
        <v>84</v>
      </c>
      <c r="T315" s="2">
        <v>1</v>
      </c>
      <c r="U315">
        <v>0</v>
      </c>
      <c r="V315" t="s">
        <v>153</v>
      </c>
      <c r="W315">
        <v>0</v>
      </c>
      <c r="X315">
        <v>0</v>
      </c>
      <c r="Y315">
        <v>0</v>
      </c>
      <c r="Z315" t="s">
        <v>9</v>
      </c>
      <c r="AA315" t="s">
        <v>2</v>
      </c>
      <c r="AB315" t="s">
        <v>10</v>
      </c>
      <c r="AC315">
        <v>0</v>
      </c>
      <c r="AD315">
        <v>0</v>
      </c>
      <c r="AE315">
        <v>726182084450</v>
      </c>
      <c r="AF315">
        <v>33.29</v>
      </c>
      <c r="AG315">
        <v>0</v>
      </c>
      <c r="AH315">
        <v>14.26</v>
      </c>
      <c r="AI315">
        <v>47.55</v>
      </c>
      <c r="AJ315" t="s">
        <v>2</v>
      </c>
      <c r="AK315" t="s">
        <v>11</v>
      </c>
    </row>
    <row r="316" spans="1:37">
      <c r="A316">
        <v>257718</v>
      </c>
      <c r="B316" s="1">
        <v>45366</v>
      </c>
      <c r="C316" t="s">
        <v>705</v>
      </c>
      <c r="D316" t="s">
        <v>706</v>
      </c>
      <c r="E316" t="s">
        <v>707</v>
      </c>
      <c r="F316" t="s">
        <v>708</v>
      </c>
      <c r="G316" t="s">
        <v>579</v>
      </c>
      <c r="H316">
        <v>44310</v>
      </c>
      <c r="I316" t="s">
        <v>709</v>
      </c>
      <c r="J316" t="s">
        <v>710</v>
      </c>
      <c r="K316" t="s">
        <v>2</v>
      </c>
      <c r="L316" t="s">
        <v>172</v>
      </c>
      <c r="M316" t="s">
        <v>579</v>
      </c>
      <c r="N316" t="s">
        <v>711</v>
      </c>
      <c r="O316" t="s">
        <v>712</v>
      </c>
      <c r="P316">
        <v>2278648</v>
      </c>
      <c r="Q316" t="s">
        <v>38</v>
      </c>
      <c r="R316">
        <v>415646</v>
      </c>
      <c r="S316" t="s">
        <v>84</v>
      </c>
      <c r="T316" s="2">
        <v>1</v>
      </c>
      <c r="U316">
        <v>0</v>
      </c>
      <c r="V316" t="s">
        <v>153</v>
      </c>
      <c r="W316">
        <v>1</v>
      </c>
      <c r="X316">
        <v>1</v>
      </c>
      <c r="Y316">
        <v>0</v>
      </c>
      <c r="Z316" t="s">
        <v>713</v>
      </c>
      <c r="AA316" t="s">
        <v>714</v>
      </c>
      <c r="AB316" t="s">
        <v>14</v>
      </c>
      <c r="AC316">
        <v>33.29</v>
      </c>
      <c r="AD316">
        <v>33.29</v>
      </c>
      <c r="AE316">
        <v>726182084450</v>
      </c>
      <c r="AF316">
        <v>33.29</v>
      </c>
      <c r="AG316">
        <v>0</v>
      </c>
      <c r="AH316">
        <v>14.26</v>
      </c>
      <c r="AI316">
        <v>47.55</v>
      </c>
      <c r="AJ316" t="s">
        <v>2</v>
      </c>
      <c r="AK316" t="s">
        <v>11</v>
      </c>
    </row>
    <row r="317" spans="1:37">
      <c r="A317">
        <v>257718</v>
      </c>
      <c r="B317" s="1">
        <v>45366</v>
      </c>
      <c r="C317" t="s">
        <v>705</v>
      </c>
      <c r="D317" t="s">
        <v>706</v>
      </c>
      <c r="E317" t="s">
        <v>707</v>
      </c>
      <c r="F317" t="s">
        <v>708</v>
      </c>
      <c r="G317" t="s">
        <v>579</v>
      </c>
      <c r="H317">
        <v>44310</v>
      </c>
      <c r="I317" t="s">
        <v>709</v>
      </c>
      <c r="J317" t="s">
        <v>710</v>
      </c>
      <c r="K317" t="s">
        <v>2</v>
      </c>
      <c r="L317" t="s">
        <v>172</v>
      </c>
      <c r="M317" t="s">
        <v>579</v>
      </c>
      <c r="N317" t="s">
        <v>711</v>
      </c>
      <c r="O317" t="s">
        <v>712</v>
      </c>
      <c r="P317">
        <v>2278648</v>
      </c>
      <c r="Q317" t="s">
        <v>38</v>
      </c>
      <c r="R317">
        <v>415646</v>
      </c>
      <c r="S317" t="s">
        <v>84</v>
      </c>
      <c r="T317" s="2">
        <v>1</v>
      </c>
      <c r="U317">
        <v>0</v>
      </c>
      <c r="V317" t="s">
        <v>153</v>
      </c>
      <c r="W317">
        <v>0</v>
      </c>
      <c r="X317">
        <v>0</v>
      </c>
      <c r="Y317">
        <v>0</v>
      </c>
      <c r="Z317" t="s">
        <v>88</v>
      </c>
      <c r="AA317" t="s">
        <v>317</v>
      </c>
      <c r="AB317" t="s">
        <v>10</v>
      </c>
      <c r="AC317">
        <v>0</v>
      </c>
      <c r="AD317">
        <v>0</v>
      </c>
      <c r="AE317">
        <v>726182084450</v>
      </c>
      <c r="AF317">
        <v>33.29</v>
      </c>
      <c r="AG317">
        <v>0</v>
      </c>
      <c r="AH317">
        <v>14.26</v>
      </c>
      <c r="AI317">
        <v>47.55</v>
      </c>
      <c r="AJ317" t="s">
        <v>2</v>
      </c>
      <c r="AK317" t="s">
        <v>11</v>
      </c>
    </row>
    <row r="318" spans="1:37">
      <c r="A318">
        <v>257719</v>
      </c>
      <c r="B318" s="1">
        <v>45366</v>
      </c>
      <c r="C318" t="s">
        <v>522</v>
      </c>
      <c r="D318" t="s">
        <v>523</v>
      </c>
      <c r="E318" t="s">
        <v>2</v>
      </c>
      <c r="F318" t="s">
        <v>34</v>
      </c>
      <c r="G318" t="s">
        <v>35</v>
      </c>
      <c r="H318">
        <v>63110</v>
      </c>
      <c r="I318" t="s">
        <v>524</v>
      </c>
      <c r="J318" t="s">
        <v>525</v>
      </c>
      <c r="K318" t="s">
        <v>2</v>
      </c>
      <c r="L318" t="s">
        <v>526</v>
      </c>
      <c r="M318" t="s">
        <v>255</v>
      </c>
      <c r="N318" t="s">
        <v>527</v>
      </c>
      <c r="O318" t="s">
        <v>528</v>
      </c>
      <c r="P318">
        <v>2278748</v>
      </c>
      <c r="Q318" t="s">
        <v>38</v>
      </c>
      <c r="R318">
        <v>415698</v>
      </c>
      <c r="S318" t="s">
        <v>84</v>
      </c>
      <c r="T318" s="2">
        <v>1</v>
      </c>
      <c r="U318">
        <v>0</v>
      </c>
      <c r="V318" t="s">
        <v>153</v>
      </c>
      <c r="W318">
        <v>0</v>
      </c>
      <c r="X318">
        <v>0</v>
      </c>
      <c r="Y318">
        <v>0</v>
      </c>
      <c r="Z318" t="s">
        <v>9</v>
      </c>
      <c r="AA318" t="s">
        <v>2</v>
      </c>
      <c r="AB318" t="s">
        <v>10</v>
      </c>
      <c r="AC318">
        <v>0</v>
      </c>
      <c r="AD318">
        <v>0</v>
      </c>
      <c r="AE318">
        <v>726182084509</v>
      </c>
      <c r="AF318">
        <v>111.58</v>
      </c>
      <c r="AG318">
        <v>0</v>
      </c>
      <c r="AH318">
        <v>14.66</v>
      </c>
      <c r="AI318">
        <v>126.24</v>
      </c>
      <c r="AJ318" t="s">
        <v>2</v>
      </c>
      <c r="AK318" t="s">
        <v>11</v>
      </c>
    </row>
    <row r="319" spans="1:37">
      <c r="A319">
        <v>257719</v>
      </c>
      <c r="B319" s="1">
        <v>45366</v>
      </c>
      <c r="C319" t="s">
        <v>522</v>
      </c>
      <c r="D319" t="s">
        <v>523</v>
      </c>
      <c r="E319" t="s">
        <v>2</v>
      </c>
      <c r="F319" t="s">
        <v>34</v>
      </c>
      <c r="G319" t="s">
        <v>35</v>
      </c>
      <c r="H319">
        <v>63110</v>
      </c>
      <c r="I319" t="s">
        <v>524</v>
      </c>
      <c r="J319" t="s">
        <v>525</v>
      </c>
      <c r="K319" t="s">
        <v>2</v>
      </c>
      <c r="L319" t="s">
        <v>526</v>
      </c>
      <c r="M319" t="s">
        <v>255</v>
      </c>
      <c r="N319" t="s">
        <v>527</v>
      </c>
      <c r="O319" t="s">
        <v>528</v>
      </c>
      <c r="P319">
        <v>2278748</v>
      </c>
      <c r="Q319" t="s">
        <v>38</v>
      </c>
      <c r="R319">
        <v>415698</v>
      </c>
      <c r="S319" t="s">
        <v>84</v>
      </c>
      <c r="T319" s="2">
        <v>1</v>
      </c>
      <c r="U319">
        <v>0</v>
      </c>
      <c r="V319" t="s">
        <v>153</v>
      </c>
      <c r="W319">
        <v>1</v>
      </c>
      <c r="X319">
        <v>1</v>
      </c>
      <c r="Y319">
        <v>0</v>
      </c>
      <c r="Z319" t="s">
        <v>715</v>
      </c>
      <c r="AA319" t="s">
        <v>716</v>
      </c>
      <c r="AB319" t="s">
        <v>14</v>
      </c>
      <c r="AC319">
        <v>111.58</v>
      </c>
      <c r="AD319">
        <v>111.58</v>
      </c>
      <c r="AE319">
        <v>726182084509</v>
      </c>
      <c r="AF319">
        <v>111.58</v>
      </c>
      <c r="AG319">
        <v>0</v>
      </c>
      <c r="AH319">
        <v>14.66</v>
      </c>
      <c r="AI319">
        <v>126.24</v>
      </c>
      <c r="AJ319" t="s">
        <v>2</v>
      </c>
      <c r="AK319" t="s">
        <v>11</v>
      </c>
    </row>
    <row r="320" spans="1:37">
      <c r="A320">
        <v>257719</v>
      </c>
      <c r="B320" s="1">
        <v>45366</v>
      </c>
      <c r="C320" t="s">
        <v>522</v>
      </c>
      <c r="D320" t="s">
        <v>523</v>
      </c>
      <c r="E320" t="s">
        <v>2</v>
      </c>
      <c r="F320" t="s">
        <v>34</v>
      </c>
      <c r="G320" t="s">
        <v>35</v>
      </c>
      <c r="H320">
        <v>63110</v>
      </c>
      <c r="I320" t="s">
        <v>524</v>
      </c>
      <c r="J320" t="s">
        <v>525</v>
      </c>
      <c r="K320" t="s">
        <v>2</v>
      </c>
      <c r="L320" t="s">
        <v>526</v>
      </c>
      <c r="M320" t="s">
        <v>255</v>
      </c>
      <c r="N320" t="s">
        <v>527</v>
      </c>
      <c r="O320" t="s">
        <v>528</v>
      </c>
      <c r="P320">
        <v>2278748</v>
      </c>
      <c r="Q320" t="s">
        <v>38</v>
      </c>
      <c r="R320">
        <v>415698</v>
      </c>
      <c r="S320" t="s">
        <v>84</v>
      </c>
      <c r="T320" s="2">
        <v>1</v>
      </c>
      <c r="U320">
        <v>0</v>
      </c>
      <c r="V320" t="s">
        <v>153</v>
      </c>
      <c r="W320">
        <v>0</v>
      </c>
      <c r="X320">
        <v>0</v>
      </c>
      <c r="Y320">
        <v>0</v>
      </c>
      <c r="Z320" t="s">
        <v>88</v>
      </c>
      <c r="AA320" t="s">
        <v>717</v>
      </c>
      <c r="AB320" t="s">
        <v>10</v>
      </c>
      <c r="AC320">
        <v>0</v>
      </c>
      <c r="AD320">
        <v>0</v>
      </c>
      <c r="AE320">
        <v>726182084509</v>
      </c>
      <c r="AF320">
        <v>111.58</v>
      </c>
      <c r="AG320">
        <v>0</v>
      </c>
      <c r="AH320">
        <v>14.66</v>
      </c>
      <c r="AI320">
        <v>126.24</v>
      </c>
      <c r="AJ320" t="s">
        <v>2</v>
      </c>
      <c r="AK320" t="s">
        <v>11</v>
      </c>
    </row>
    <row r="321" spans="1:37">
      <c r="A321">
        <v>257720</v>
      </c>
      <c r="B321" s="1">
        <v>45366</v>
      </c>
      <c r="C321" t="s">
        <v>718</v>
      </c>
      <c r="D321" t="s">
        <v>719</v>
      </c>
      <c r="E321" t="s">
        <v>2</v>
      </c>
      <c r="F321" t="s">
        <v>720</v>
      </c>
      <c r="G321" t="s">
        <v>579</v>
      </c>
      <c r="H321">
        <v>45069</v>
      </c>
      <c r="I321" t="s">
        <v>721</v>
      </c>
      <c r="J321" t="s">
        <v>722</v>
      </c>
      <c r="K321" t="s">
        <v>2</v>
      </c>
      <c r="L321" t="s">
        <v>723</v>
      </c>
      <c r="M321" t="s">
        <v>579</v>
      </c>
      <c r="N321" t="s">
        <v>724</v>
      </c>
      <c r="O321" t="s">
        <v>725</v>
      </c>
      <c r="P321">
        <v>2278646</v>
      </c>
      <c r="Q321" t="s">
        <v>38</v>
      </c>
      <c r="R321">
        <v>415647</v>
      </c>
      <c r="S321" t="s">
        <v>84</v>
      </c>
      <c r="T321" s="2">
        <v>1</v>
      </c>
      <c r="U321">
        <v>0</v>
      </c>
      <c r="V321" t="s">
        <v>153</v>
      </c>
      <c r="W321">
        <v>0</v>
      </c>
      <c r="X321">
        <v>0</v>
      </c>
      <c r="Y321">
        <v>0</v>
      </c>
      <c r="Z321" t="s">
        <v>9</v>
      </c>
      <c r="AA321" t="s">
        <v>2</v>
      </c>
      <c r="AB321" t="s">
        <v>10</v>
      </c>
      <c r="AC321">
        <v>0</v>
      </c>
      <c r="AD321">
        <v>0</v>
      </c>
      <c r="AE321">
        <v>726182084520</v>
      </c>
      <c r="AF321">
        <v>163.65</v>
      </c>
      <c r="AG321">
        <v>0</v>
      </c>
      <c r="AH321">
        <v>34.19</v>
      </c>
      <c r="AI321">
        <v>197.84</v>
      </c>
      <c r="AJ321" t="s">
        <v>2</v>
      </c>
      <c r="AK321" t="s">
        <v>11</v>
      </c>
    </row>
    <row r="322" spans="1:37">
      <c r="A322">
        <v>257720</v>
      </c>
      <c r="B322" s="1">
        <v>45366</v>
      </c>
      <c r="C322" t="s">
        <v>718</v>
      </c>
      <c r="D322" t="s">
        <v>719</v>
      </c>
      <c r="E322" t="s">
        <v>2</v>
      </c>
      <c r="F322" t="s">
        <v>720</v>
      </c>
      <c r="G322" t="s">
        <v>579</v>
      </c>
      <c r="H322">
        <v>45069</v>
      </c>
      <c r="I322" t="s">
        <v>721</v>
      </c>
      <c r="J322" t="s">
        <v>722</v>
      </c>
      <c r="K322" t="s">
        <v>2</v>
      </c>
      <c r="L322" t="s">
        <v>723</v>
      </c>
      <c r="M322" t="s">
        <v>579</v>
      </c>
      <c r="N322" t="s">
        <v>724</v>
      </c>
      <c r="O322" t="s">
        <v>725</v>
      </c>
      <c r="P322">
        <v>2278646</v>
      </c>
      <c r="Q322" t="s">
        <v>38</v>
      </c>
      <c r="R322">
        <v>415647</v>
      </c>
      <c r="S322" t="s">
        <v>84</v>
      </c>
      <c r="T322" s="2">
        <v>1</v>
      </c>
      <c r="U322">
        <v>0</v>
      </c>
      <c r="V322" t="s">
        <v>153</v>
      </c>
      <c r="W322">
        <v>1</v>
      </c>
      <c r="X322">
        <v>1</v>
      </c>
      <c r="Y322">
        <v>0</v>
      </c>
      <c r="Z322" t="s">
        <v>726</v>
      </c>
      <c r="AA322" t="s">
        <v>727</v>
      </c>
      <c r="AB322" t="s">
        <v>14</v>
      </c>
      <c r="AC322">
        <v>163.65</v>
      </c>
      <c r="AD322">
        <v>163.65</v>
      </c>
      <c r="AE322">
        <v>726182084520</v>
      </c>
      <c r="AF322">
        <v>163.65</v>
      </c>
      <c r="AG322">
        <v>0</v>
      </c>
      <c r="AH322">
        <v>34.19</v>
      </c>
      <c r="AI322">
        <v>197.84</v>
      </c>
      <c r="AJ322" t="s">
        <v>2</v>
      </c>
      <c r="AK322" t="s">
        <v>11</v>
      </c>
    </row>
    <row r="323" spans="1:37">
      <c r="A323">
        <v>257720</v>
      </c>
      <c r="B323" s="1">
        <v>45366</v>
      </c>
      <c r="C323" t="s">
        <v>718</v>
      </c>
      <c r="D323" t="s">
        <v>719</v>
      </c>
      <c r="E323" t="s">
        <v>2</v>
      </c>
      <c r="F323" t="s">
        <v>720</v>
      </c>
      <c r="G323" t="s">
        <v>579</v>
      </c>
      <c r="H323">
        <v>45069</v>
      </c>
      <c r="I323" t="s">
        <v>721</v>
      </c>
      <c r="J323" t="s">
        <v>722</v>
      </c>
      <c r="K323" t="s">
        <v>2</v>
      </c>
      <c r="L323" t="s">
        <v>723</v>
      </c>
      <c r="M323" t="s">
        <v>579</v>
      </c>
      <c r="N323" t="s">
        <v>724</v>
      </c>
      <c r="O323" t="s">
        <v>725</v>
      </c>
      <c r="P323">
        <v>2278646</v>
      </c>
      <c r="Q323" t="s">
        <v>38</v>
      </c>
      <c r="R323">
        <v>415647</v>
      </c>
      <c r="S323" t="s">
        <v>84</v>
      </c>
      <c r="T323" s="2">
        <v>1</v>
      </c>
      <c r="U323">
        <v>0</v>
      </c>
      <c r="V323" t="s">
        <v>153</v>
      </c>
      <c r="W323">
        <v>0</v>
      </c>
      <c r="X323">
        <v>0</v>
      </c>
      <c r="Y323">
        <v>0</v>
      </c>
      <c r="Z323" t="s">
        <v>88</v>
      </c>
      <c r="AA323" t="s">
        <v>144</v>
      </c>
      <c r="AB323" t="s">
        <v>10</v>
      </c>
      <c r="AC323">
        <v>0</v>
      </c>
      <c r="AD323">
        <v>0</v>
      </c>
      <c r="AE323">
        <v>726182084520</v>
      </c>
      <c r="AF323">
        <v>163.65</v>
      </c>
      <c r="AG323">
        <v>0</v>
      </c>
      <c r="AH323">
        <v>34.19</v>
      </c>
      <c r="AI323">
        <v>197.84</v>
      </c>
      <c r="AJ323" t="s">
        <v>2</v>
      </c>
      <c r="AK323" t="s">
        <v>11</v>
      </c>
    </row>
    <row r="324" spans="1:37">
      <c r="A324">
        <v>257721</v>
      </c>
      <c r="B324" s="1">
        <v>45366</v>
      </c>
      <c r="C324" t="s">
        <v>728</v>
      </c>
      <c r="D324" t="s">
        <v>729</v>
      </c>
      <c r="E324" t="s">
        <v>2</v>
      </c>
      <c r="F324" t="s">
        <v>730</v>
      </c>
      <c r="G324" t="s">
        <v>731</v>
      </c>
      <c r="H324">
        <v>18045</v>
      </c>
      <c r="I324" t="s">
        <v>732</v>
      </c>
      <c r="J324" t="s">
        <v>733</v>
      </c>
      <c r="K324" t="s">
        <v>2</v>
      </c>
      <c r="L324" t="s">
        <v>734</v>
      </c>
      <c r="M324" t="s">
        <v>731</v>
      </c>
      <c r="N324" t="s">
        <v>735</v>
      </c>
      <c r="O324" t="s">
        <v>736</v>
      </c>
      <c r="P324">
        <v>2278699</v>
      </c>
      <c r="Q324" t="s">
        <v>38</v>
      </c>
      <c r="R324">
        <v>415673</v>
      </c>
      <c r="S324" t="s">
        <v>84</v>
      </c>
      <c r="T324" s="2">
        <v>1</v>
      </c>
      <c r="U324">
        <v>0</v>
      </c>
      <c r="V324" t="s">
        <v>153</v>
      </c>
      <c r="W324">
        <v>0</v>
      </c>
      <c r="X324">
        <v>0</v>
      </c>
      <c r="Y324">
        <v>0</v>
      </c>
      <c r="Z324" t="s">
        <v>9</v>
      </c>
      <c r="AA324" t="s">
        <v>2</v>
      </c>
      <c r="AB324" t="s">
        <v>10</v>
      </c>
      <c r="AC324">
        <v>0</v>
      </c>
      <c r="AD324">
        <v>0</v>
      </c>
      <c r="AE324">
        <v>726182084531</v>
      </c>
      <c r="AF324">
        <v>60.88</v>
      </c>
      <c r="AG324">
        <v>0</v>
      </c>
      <c r="AH324">
        <v>15.37</v>
      </c>
      <c r="AI324">
        <v>76.25</v>
      </c>
      <c r="AJ324" t="s">
        <v>2</v>
      </c>
      <c r="AK324" t="s">
        <v>11</v>
      </c>
    </row>
    <row r="325" spans="1:37">
      <c r="A325">
        <v>257721</v>
      </c>
      <c r="B325" s="1">
        <v>45366</v>
      </c>
      <c r="C325" t="s">
        <v>728</v>
      </c>
      <c r="D325" t="s">
        <v>729</v>
      </c>
      <c r="E325" t="s">
        <v>2</v>
      </c>
      <c r="F325" t="s">
        <v>730</v>
      </c>
      <c r="G325" t="s">
        <v>731</v>
      </c>
      <c r="H325">
        <v>18045</v>
      </c>
      <c r="I325" t="s">
        <v>732</v>
      </c>
      <c r="J325" t="s">
        <v>733</v>
      </c>
      <c r="K325" t="s">
        <v>2</v>
      </c>
      <c r="L325" t="s">
        <v>734</v>
      </c>
      <c r="M325" t="s">
        <v>731</v>
      </c>
      <c r="N325" t="s">
        <v>735</v>
      </c>
      <c r="O325" t="s">
        <v>736</v>
      </c>
      <c r="P325">
        <v>2278699</v>
      </c>
      <c r="Q325" t="s">
        <v>38</v>
      </c>
      <c r="R325">
        <v>415673</v>
      </c>
      <c r="S325" t="s">
        <v>84</v>
      </c>
      <c r="T325" s="2">
        <v>1</v>
      </c>
      <c r="U325">
        <v>0</v>
      </c>
      <c r="V325" t="s">
        <v>153</v>
      </c>
      <c r="W325">
        <v>1</v>
      </c>
      <c r="X325">
        <v>1</v>
      </c>
      <c r="Y325">
        <v>0</v>
      </c>
      <c r="Z325" t="s">
        <v>737</v>
      </c>
      <c r="AA325" t="s">
        <v>738</v>
      </c>
      <c r="AB325" t="s">
        <v>14</v>
      </c>
      <c r="AC325">
        <v>60.88</v>
      </c>
      <c r="AD325">
        <v>60.88</v>
      </c>
      <c r="AE325">
        <v>726182084531</v>
      </c>
      <c r="AF325">
        <v>60.88</v>
      </c>
      <c r="AG325">
        <v>0</v>
      </c>
      <c r="AH325">
        <v>15.37</v>
      </c>
      <c r="AI325">
        <v>76.25</v>
      </c>
      <c r="AJ325" t="s">
        <v>2</v>
      </c>
      <c r="AK325" t="s">
        <v>11</v>
      </c>
    </row>
    <row r="326" spans="1:37">
      <c r="A326">
        <v>257721</v>
      </c>
      <c r="B326" s="1">
        <v>45366</v>
      </c>
      <c r="C326" t="s">
        <v>728</v>
      </c>
      <c r="D326" t="s">
        <v>729</v>
      </c>
      <c r="E326" t="s">
        <v>2</v>
      </c>
      <c r="F326" t="s">
        <v>730</v>
      </c>
      <c r="G326" t="s">
        <v>731</v>
      </c>
      <c r="H326">
        <v>18045</v>
      </c>
      <c r="I326" t="s">
        <v>732</v>
      </c>
      <c r="J326" t="s">
        <v>733</v>
      </c>
      <c r="K326" t="s">
        <v>2</v>
      </c>
      <c r="L326" t="s">
        <v>734</v>
      </c>
      <c r="M326" t="s">
        <v>731</v>
      </c>
      <c r="N326" t="s">
        <v>735</v>
      </c>
      <c r="O326" t="s">
        <v>736</v>
      </c>
      <c r="P326">
        <v>2278699</v>
      </c>
      <c r="Q326" t="s">
        <v>38</v>
      </c>
      <c r="R326">
        <v>415673</v>
      </c>
      <c r="S326" t="s">
        <v>84</v>
      </c>
      <c r="T326" s="2">
        <v>1</v>
      </c>
      <c r="U326">
        <v>0</v>
      </c>
      <c r="V326" t="s">
        <v>153</v>
      </c>
      <c r="W326">
        <v>0</v>
      </c>
      <c r="X326">
        <v>0</v>
      </c>
      <c r="Y326">
        <v>0</v>
      </c>
      <c r="Z326" t="s">
        <v>88</v>
      </c>
      <c r="AA326" t="s">
        <v>144</v>
      </c>
      <c r="AB326" t="s">
        <v>10</v>
      </c>
      <c r="AC326">
        <v>0</v>
      </c>
      <c r="AD326">
        <v>0</v>
      </c>
      <c r="AE326">
        <v>726182084531</v>
      </c>
      <c r="AF326">
        <v>60.88</v>
      </c>
      <c r="AG326">
        <v>0</v>
      </c>
      <c r="AH326">
        <v>15.37</v>
      </c>
      <c r="AI326">
        <v>76.25</v>
      </c>
      <c r="AJ326" t="s">
        <v>2</v>
      </c>
      <c r="AK326" t="s">
        <v>11</v>
      </c>
    </row>
    <row r="327" spans="1:37">
      <c r="A327">
        <v>257722</v>
      </c>
      <c r="B327" s="1">
        <v>45366</v>
      </c>
      <c r="C327" t="s">
        <v>544</v>
      </c>
      <c r="D327" t="s">
        <v>545</v>
      </c>
      <c r="E327" t="s">
        <v>2</v>
      </c>
      <c r="F327" t="s">
        <v>546</v>
      </c>
      <c r="G327" t="s">
        <v>547</v>
      </c>
      <c r="H327">
        <v>29483</v>
      </c>
      <c r="I327" t="s">
        <v>739</v>
      </c>
      <c r="J327" t="s">
        <v>740</v>
      </c>
      <c r="K327" t="s">
        <v>2</v>
      </c>
      <c r="L327" t="s">
        <v>741</v>
      </c>
      <c r="M327" t="s">
        <v>547</v>
      </c>
      <c r="N327" t="s">
        <v>742</v>
      </c>
      <c r="O327" t="s">
        <v>552</v>
      </c>
      <c r="P327">
        <v>2278237</v>
      </c>
      <c r="Q327" t="s">
        <v>38</v>
      </c>
      <c r="R327">
        <v>415480</v>
      </c>
      <c r="S327" t="s">
        <v>84</v>
      </c>
      <c r="T327" s="2">
        <v>1</v>
      </c>
      <c r="U327">
        <v>0</v>
      </c>
      <c r="V327" t="s">
        <v>153</v>
      </c>
      <c r="W327">
        <v>0</v>
      </c>
      <c r="X327">
        <v>0</v>
      </c>
      <c r="Y327">
        <v>0</v>
      </c>
      <c r="Z327" t="s">
        <v>9</v>
      </c>
      <c r="AA327" t="s">
        <v>2</v>
      </c>
      <c r="AB327" t="s">
        <v>10</v>
      </c>
      <c r="AC327">
        <v>0</v>
      </c>
      <c r="AD327">
        <v>0</v>
      </c>
      <c r="AE327">
        <v>726182084553</v>
      </c>
      <c r="AF327">
        <v>247.44</v>
      </c>
      <c r="AG327">
        <v>0</v>
      </c>
      <c r="AH327">
        <v>17.850000000000001</v>
      </c>
      <c r="AI327">
        <v>265.29000000000002</v>
      </c>
      <c r="AJ327" t="s">
        <v>2</v>
      </c>
      <c r="AK327" t="s">
        <v>11</v>
      </c>
    </row>
    <row r="328" spans="1:37">
      <c r="A328">
        <v>257722</v>
      </c>
      <c r="B328" s="1">
        <v>45366</v>
      </c>
      <c r="C328" t="s">
        <v>544</v>
      </c>
      <c r="D328" t="s">
        <v>545</v>
      </c>
      <c r="E328" t="s">
        <v>2</v>
      </c>
      <c r="F328" t="s">
        <v>546</v>
      </c>
      <c r="G328" t="s">
        <v>547</v>
      </c>
      <c r="H328">
        <v>29483</v>
      </c>
      <c r="I328" t="s">
        <v>739</v>
      </c>
      <c r="J328" t="s">
        <v>740</v>
      </c>
      <c r="K328" t="s">
        <v>2</v>
      </c>
      <c r="L328" t="s">
        <v>741</v>
      </c>
      <c r="M328" t="s">
        <v>547</v>
      </c>
      <c r="N328" t="s">
        <v>742</v>
      </c>
      <c r="O328" t="s">
        <v>552</v>
      </c>
      <c r="P328">
        <v>2278237</v>
      </c>
      <c r="Q328" t="s">
        <v>38</v>
      </c>
      <c r="R328">
        <v>415480</v>
      </c>
      <c r="S328" t="s">
        <v>84</v>
      </c>
      <c r="T328" s="2">
        <v>1</v>
      </c>
      <c r="U328">
        <v>0</v>
      </c>
      <c r="V328" t="s">
        <v>153</v>
      </c>
      <c r="W328">
        <v>1</v>
      </c>
      <c r="X328">
        <v>1</v>
      </c>
      <c r="Y328">
        <v>0</v>
      </c>
      <c r="Z328" t="s">
        <v>743</v>
      </c>
      <c r="AA328" t="s">
        <v>744</v>
      </c>
      <c r="AB328" t="s">
        <v>14</v>
      </c>
      <c r="AC328">
        <v>247.44</v>
      </c>
      <c r="AD328">
        <v>247.44</v>
      </c>
      <c r="AE328">
        <v>726182084553</v>
      </c>
      <c r="AF328">
        <v>247.44</v>
      </c>
      <c r="AG328">
        <v>0</v>
      </c>
      <c r="AH328">
        <v>17.850000000000001</v>
      </c>
      <c r="AI328">
        <v>265.29000000000002</v>
      </c>
      <c r="AJ328" t="s">
        <v>2</v>
      </c>
      <c r="AK328" t="s">
        <v>11</v>
      </c>
    </row>
    <row r="329" spans="1:37">
      <c r="A329">
        <v>257722</v>
      </c>
      <c r="B329" s="1">
        <v>45366</v>
      </c>
      <c r="C329" t="s">
        <v>544</v>
      </c>
      <c r="D329" t="s">
        <v>545</v>
      </c>
      <c r="E329" t="s">
        <v>2</v>
      </c>
      <c r="F329" t="s">
        <v>546</v>
      </c>
      <c r="G329" t="s">
        <v>547</v>
      </c>
      <c r="H329">
        <v>29483</v>
      </c>
      <c r="I329" t="s">
        <v>739</v>
      </c>
      <c r="J329" t="s">
        <v>740</v>
      </c>
      <c r="K329" t="s">
        <v>2</v>
      </c>
      <c r="L329" t="s">
        <v>741</v>
      </c>
      <c r="M329" t="s">
        <v>547</v>
      </c>
      <c r="N329" t="s">
        <v>742</v>
      </c>
      <c r="O329" t="s">
        <v>552</v>
      </c>
      <c r="P329">
        <v>2278237</v>
      </c>
      <c r="Q329" t="s">
        <v>38</v>
      </c>
      <c r="R329">
        <v>415480</v>
      </c>
      <c r="S329" t="s">
        <v>84</v>
      </c>
      <c r="T329" s="2">
        <v>1</v>
      </c>
      <c r="U329">
        <v>0</v>
      </c>
      <c r="V329" t="s">
        <v>153</v>
      </c>
      <c r="W329">
        <v>0</v>
      </c>
      <c r="X329">
        <v>0</v>
      </c>
      <c r="Y329">
        <v>0</v>
      </c>
      <c r="Z329" t="s">
        <v>88</v>
      </c>
      <c r="AA329" t="s">
        <v>116</v>
      </c>
      <c r="AB329" t="s">
        <v>10</v>
      </c>
      <c r="AC329">
        <v>0</v>
      </c>
      <c r="AD329">
        <v>0</v>
      </c>
      <c r="AE329">
        <v>726182084553</v>
      </c>
      <c r="AF329">
        <v>247.44</v>
      </c>
      <c r="AG329">
        <v>0</v>
      </c>
      <c r="AH329">
        <v>17.850000000000001</v>
      </c>
      <c r="AI329">
        <v>265.29000000000002</v>
      </c>
      <c r="AJ329" t="s">
        <v>2</v>
      </c>
      <c r="AK329" t="s">
        <v>11</v>
      </c>
    </row>
    <row r="330" spans="1:37">
      <c r="A330">
        <v>257723</v>
      </c>
      <c r="B330" s="1">
        <v>45366</v>
      </c>
      <c r="C330" t="s">
        <v>450</v>
      </c>
      <c r="D330" t="s">
        <v>451</v>
      </c>
      <c r="E330" t="s">
        <v>452</v>
      </c>
      <c r="F330" t="s">
        <v>453</v>
      </c>
      <c r="G330" t="s">
        <v>255</v>
      </c>
      <c r="H330">
        <v>60517</v>
      </c>
      <c r="I330" t="s">
        <v>745</v>
      </c>
      <c r="J330" t="s">
        <v>746</v>
      </c>
      <c r="K330" t="s">
        <v>2</v>
      </c>
      <c r="L330" t="s">
        <v>747</v>
      </c>
      <c r="M330" t="s">
        <v>255</v>
      </c>
      <c r="N330" t="s">
        <v>748</v>
      </c>
      <c r="O330" t="s">
        <v>458</v>
      </c>
      <c r="P330">
        <v>2278292</v>
      </c>
      <c r="Q330" t="s">
        <v>38</v>
      </c>
      <c r="R330">
        <v>415517</v>
      </c>
      <c r="S330" t="s">
        <v>84</v>
      </c>
      <c r="T330" s="2">
        <v>1</v>
      </c>
      <c r="U330">
        <v>0</v>
      </c>
      <c r="V330" t="s">
        <v>153</v>
      </c>
      <c r="W330">
        <v>0</v>
      </c>
      <c r="X330">
        <v>0</v>
      </c>
      <c r="Y330">
        <v>0</v>
      </c>
      <c r="Z330" t="s">
        <v>9</v>
      </c>
      <c r="AA330" t="s">
        <v>2</v>
      </c>
      <c r="AB330" t="s">
        <v>10</v>
      </c>
      <c r="AC330">
        <v>0</v>
      </c>
      <c r="AD330">
        <v>0</v>
      </c>
      <c r="AE330">
        <v>726182084575</v>
      </c>
      <c r="AF330">
        <v>106.5</v>
      </c>
      <c r="AG330">
        <v>0</v>
      </c>
      <c r="AH330">
        <v>24.36</v>
      </c>
      <c r="AI330">
        <v>130.86000000000001</v>
      </c>
      <c r="AJ330" t="s">
        <v>2</v>
      </c>
      <c r="AK330" t="s">
        <v>11</v>
      </c>
    </row>
    <row r="331" spans="1:37">
      <c r="A331">
        <v>257723</v>
      </c>
      <c r="B331" s="1">
        <v>45366</v>
      </c>
      <c r="C331" t="s">
        <v>450</v>
      </c>
      <c r="D331" t="s">
        <v>451</v>
      </c>
      <c r="E331" t="s">
        <v>452</v>
      </c>
      <c r="F331" t="s">
        <v>453</v>
      </c>
      <c r="G331" t="s">
        <v>255</v>
      </c>
      <c r="H331">
        <v>60517</v>
      </c>
      <c r="I331" t="s">
        <v>745</v>
      </c>
      <c r="J331" t="s">
        <v>746</v>
      </c>
      <c r="K331" t="s">
        <v>2</v>
      </c>
      <c r="L331" t="s">
        <v>747</v>
      </c>
      <c r="M331" t="s">
        <v>255</v>
      </c>
      <c r="N331" t="s">
        <v>748</v>
      </c>
      <c r="O331" t="s">
        <v>458</v>
      </c>
      <c r="P331">
        <v>2278292</v>
      </c>
      <c r="Q331" t="s">
        <v>38</v>
      </c>
      <c r="R331">
        <v>415517</v>
      </c>
      <c r="S331" t="s">
        <v>84</v>
      </c>
      <c r="T331" s="2">
        <v>1</v>
      </c>
      <c r="U331">
        <v>0</v>
      </c>
      <c r="V331" t="s">
        <v>153</v>
      </c>
      <c r="W331">
        <v>1</v>
      </c>
      <c r="X331">
        <v>1</v>
      </c>
      <c r="Y331">
        <v>0</v>
      </c>
      <c r="Z331" t="s">
        <v>749</v>
      </c>
      <c r="AA331" t="s">
        <v>750</v>
      </c>
      <c r="AB331" t="s">
        <v>14</v>
      </c>
      <c r="AC331">
        <v>106.5</v>
      </c>
      <c r="AD331">
        <v>106.5</v>
      </c>
      <c r="AE331">
        <v>726182084575</v>
      </c>
      <c r="AF331">
        <v>106.5</v>
      </c>
      <c r="AG331">
        <v>0</v>
      </c>
      <c r="AH331">
        <v>24.36</v>
      </c>
      <c r="AI331">
        <v>130.86000000000001</v>
      </c>
      <c r="AJ331" t="s">
        <v>2</v>
      </c>
      <c r="AK331" t="s">
        <v>11</v>
      </c>
    </row>
    <row r="332" spans="1:37">
      <c r="A332">
        <v>257723</v>
      </c>
      <c r="B332" s="1">
        <v>45366</v>
      </c>
      <c r="C332" t="s">
        <v>450</v>
      </c>
      <c r="D332" t="s">
        <v>451</v>
      </c>
      <c r="E332" t="s">
        <v>452</v>
      </c>
      <c r="F332" t="s">
        <v>453</v>
      </c>
      <c r="G332" t="s">
        <v>255</v>
      </c>
      <c r="H332">
        <v>60517</v>
      </c>
      <c r="I332" t="s">
        <v>745</v>
      </c>
      <c r="J332" t="s">
        <v>746</v>
      </c>
      <c r="K332" t="s">
        <v>2</v>
      </c>
      <c r="L332" t="s">
        <v>747</v>
      </c>
      <c r="M332" t="s">
        <v>255</v>
      </c>
      <c r="N332" t="s">
        <v>748</v>
      </c>
      <c r="O332" t="s">
        <v>458</v>
      </c>
      <c r="P332">
        <v>2278292</v>
      </c>
      <c r="Q332" t="s">
        <v>38</v>
      </c>
      <c r="R332">
        <v>415517</v>
      </c>
      <c r="S332" t="s">
        <v>84</v>
      </c>
      <c r="T332" s="2">
        <v>1</v>
      </c>
      <c r="U332">
        <v>0</v>
      </c>
      <c r="V332" t="s">
        <v>153</v>
      </c>
      <c r="W332">
        <v>0</v>
      </c>
      <c r="X332">
        <v>0</v>
      </c>
      <c r="Y332">
        <v>0</v>
      </c>
      <c r="Z332" t="s">
        <v>88</v>
      </c>
      <c r="AA332" t="s">
        <v>251</v>
      </c>
      <c r="AB332" t="s">
        <v>10</v>
      </c>
      <c r="AC332">
        <v>0</v>
      </c>
      <c r="AD332">
        <v>0</v>
      </c>
      <c r="AE332">
        <v>726182084575</v>
      </c>
      <c r="AF332">
        <v>106.5</v>
      </c>
      <c r="AG332">
        <v>0</v>
      </c>
      <c r="AH332">
        <v>24.36</v>
      </c>
      <c r="AI332">
        <v>130.86000000000001</v>
      </c>
      <c r="AJ332" t="s">
        <v>2</v>
      </c>
      <c r="AK332" t="s">
        <v>11</v>
      </c>
    </row>
    <row r="333" spans="1:37">
      <c r="A333">
        <v>257724</v>
      </c>
      <c r="B333" s="1">
        <v>45366</v>
      </c>
      <c r="C333" t="s">
        <v>728</v>
      </c>
      <c r="D333" t="s">
        <v>729</v>
      </c>
      <c r="E333" t="s">
        <v>2</v>
      </c>
      <c r="F333" t="s">
        <v>730</v>
      </c>
      <c r="G333" t="s">
        <v>731</v>
      </c>
      <c r="H333">
        <v>18045</v>
      </c>
      <c r="I333" t="s">
        <v>751</v>
      </c>
      <c r="J333" t="s">
        <v>752</v>
      </c>
      <c r="K333" t="s">
        <v>2</v>
      </c>
      <c r="L333" t="s">
        <v>753</v>
      </c>
      <c r="M333" t="s">
        <v>19</v>
      </c>
      <c r="N333" t="s">
        <v>754</v>
      </c>
      <c r="O333" t="s">
        <v>736</v>
      </c>
      <c r="P333">
        <v>2278663</v>
      </c>
      <c r="Q333" t="s">
        <v>38</v>
      </c>
      <c r="R333">
        <v>415657</v>
      </c>
      <c r="S333" t="s">
        <v>84</v>
      </c>
      <c r="T333" s="2">
        <v>1</v>
      </c>
      <c r="U333">
        <v>0</v>
      </c>
      <c r="V333" t="s">
        <v>153</v>
      </c>
      <c r="W333">
        <v>0</v>
      </c>
      <c r="X333">
        <v>0</v>
      </c>
      <c r="Y333">
        <v>0</v>
      </c>
      <c r="Z333" t="s">
        <v>9</v>
      </c>
      <c r="AA333" t="s">
        <v>2</v>
      </c>
      <c r="AB333" t="s">
        <v>10</v>
      </c>
      <c r="AC333">
        <v>0</v>
      </c>
      <c r="AD333">
        <v>0</v>
      </c>
      <c r="AE333">
        <v>726182084586</v>
      </c>
      <c r="AF333">
        <v>163.72</v>
      </c>
      <c r="AG333">
        <v>0</v>
      </c>
      <c r="AH333">
        <v>46.12</v>
      </c>
      <c r="AI333">
        <v>209.84</v>
      </c>
      <c r="AJ333" t="s">
        <v>2</v>
      </c>
      <c r="AK333" t="s">
        <v>11</v>
      </c>
    </row>
    <row r="334" spans="1:37">
      <c r="A334">
        <v>257724</v>
      </c>
      <c r="B334" s="1">
        <v>45366</v>
      </c>
      <c r="C334" t="s">
        <v>728</v>
      </c>
      <c r="D334" t="s">
        <v>729</v>
      </c>
      <c r="E334" t="s">
        <v>2</v>
      </c>
      <c r="F334" t="s">
        <v>730</v>
      </c>
      <c r="G334" t="s">
        <v>731</v>
      </c>
      <c r="H334">
        <v>18045</v>
      </c>
      <c r="I334" t="s">
        <v>751</v>
      </c>
      <c r="J334" t="s">
        <v>752</v>
      </c>
      <c r="K334" t="s">
        <v>2</v>
      </c>
      <c r="L334" t="s">
        <v>753</v>
      </c>
      <c r="M334" t="s">
        <v>19</v>
      </c>
      <c r="N334" t="s">
        <v>754</v>
      </c>
      <c r="O334" t="s">
        <v>736</v>
      </c>
      <c r="P334">
        <v>2278663</v>
      </c>
      <c r="Q334" t="s">
        <v>38</v>
      </c>
      <c r="R334">
        <v>415657</v>
      </c>
      <c r="S334" t="s">
        <v>84</v>
      </c>
      <c r="T334" s="2">
        <v>1</v>
      </c>
      <c r="U334">
        <v>0</v>
      </c>
      <c r="V334" t="s">
        <v>153</v>
      </c>
      <c r="W334">
        <v>1</v>
      </c>
      <c r="X334">
        <v>1</v>
      </c>
      <c r="Y334">
        <v>0</v>
      </c>
      <c r="Z334" t="s">
        <v>755</v>
      </c>
      <c r="AA334" t="s">
        <v>756</v>
      </c>
      <c r="AB334" t="s">
        <v>14</v>
      </c>
      <c r="AC334">
        <v>163.72</v>
      </c>
      <c r="AD334">
        <v>163.72</v>
      </c>
      <c r="AE334">
        <v>726182084586</v>
      </c>
      <c r="AF334">
        <v>163.72</v>
      </c>
      <c r="AG334">
        <v>0</v>
      </c>
      <c r="AH334">
        <v>46.12</v>
      </c>
      <c r="AI334">
        <v>209.84</v>
      </c>
      <c r="AJ334" t="s">
        <v>2</v>
      </c>
      <c r="AK334" t="s">
        <v>11</v>
      </c>
    </row>
    <row r="335" spans="1:37">
      <c r="A335">
        <v>257724</v>
      </c>
      <c r="B335" s="1">
        <v>45366</v>
      </c>
      <c r="C335" t="s">
        <v>728</v>
      </c>
      <c r="D335" t="s">
        <v>729</v>
      </c>
      <c r="E335" t="s">
        <v>2</v>
      </c>
      <c r="F335" t="s">
        <v>730</v>
      </c>
      <c r="G335" t="s">
        <v>731</v>
      </c>
      <c r="H335">
        <v>18045</v>
      </c>
      <c r="I335" t="s">
        <v>751</v>
      </c>
      <c r="J335" t="s">
        <v>752</v>
      </c>
      <c r="K335" t="s">
        <v>2</v>
      </c>
      <c r="L335" t="s">
        <v>753</v>
      </c>
      <c r="M335" t="s">
        <v>19</v>
      </c>
      <c r="N335" t="s">
        <v>754</v>
      </c>
      <c r="O335" t="s">
        <v>736</v>
      </c>
      <c r="P335">
        <v>2278663</v>
      </c>
      <c r="Q335" t="s">
        <v>38</v>
      </c>
      <c r="R335">
        <v>415657</v>
      </c>
      <c r="S335" t="s">
        <v>84</v>
      </c>
      <c r="T335" s="2">
        <v>1</v>
      </c>
      <c r="U335">
        <v>0</v>
      </c>
      <c r="V335" t="s">
        <v>153</v>
      </c>
      <c r="W335">
        <v>0</v>
      </c>
      <c r="X335">
        <v>0</v>
      </c>
      <c r="Y335">
        <v>0</v>
      </c>
      <c r="Z335" t="s">
        <v>88</v>
      </c>
      <c r="AA335" t="s">
        <v>196</v>
      </c>
      <c r="AB335" t="s">
        <v>10</v>
      </c>
      <c r="AC335">
        <v>0</v>
      </c>
      <c r="AD335">
        <v>0</v>
      </c>
      <c r="AE335">
        <v>726182084586</v>
      </c>
      <c r="AF335">
        <v>163.72</v>
      </c>
      <c r="AG335">
        <v>0</v>
      </c>
      <c r="AH335">
        <v>46.12</v>
      </c>
      <c r="AI335">
        <v>209.84</v>
      </c>
      <c r="AJ335" t="s">
        <v>2</v>
      </c>
      <c r="AK335" t="s">
        <v>11</v>
      </c>
    </row>
    <row r="336" spans="1:37">
      <c r="A336">
        <v>257725</v>
      </c>
      <c r="B336" s="1">
        <v>45366</v>
      </c>
      <c r="C336" t="s">
        <v>646</v>
      </c>
      <c r="D336" t="s">
        <v>647</v>
      </c>
      <c r="E336" t="s">
        <v>2</v>
      </c>
      <c r="F336" t="s">
        <v>648</v>
      </c>
      <c r="G336" t="s">
        <v>579</v>
      </c>
      <c r="H336">
        <v>43230</v>
      </c>
      <c r="I336" t="s">
        <v>757</v>
      </c>
      <c r="J336" t="s">
        <v>758</v>
      </c>
      <c r="K336" t="s">
        <v>2</v>
      </c>
      <c r="L336" t="s">
        <v>759</v>
      </c>
      <c r="M336" t="s">
        <v>760</v>
      </c>
      <c r="N336" t="s">
        <v>761</v>
      </c>
      <c r="O336" t="s">
        <v>653</v>
      </c>
      <c r="P336">
        <v>2278786</v>
      </c>
      <c r="Q336" t="s">
        <v>38</v>
      </c>
      <c r="R336">
        <v>415712</v>
      </c>
      <c r="S336" t="s">
        <v>84</v>
      </c>
      <c r="T336" s="2">
        <v>1</v>
      </c>
      <c r="U336">
        <v>0</v>
      </c>
      <c r="V336" t="s">
        <v>153</v>
      </c>
      <c r="W336">
        <v>0</v>
      </c>
      <c r="X336">
        <v>0</v>
      </c>
      <c r="Y336">
        <v>0</v>
      </c>
      <c r="Z336" t="s">
        <v>9</v>
      </c>
      <c r="AA336" t="s">
        <v>2</v>
      </c>
      <c r="AB336" t="s">
        <v>10</v>
      </c>
      <c r="AC336">
        <v>0</v>
      </c>
      <c r="AD336">
        <v>0</v>
      </c>
      <c r="AE336">
        <v>726182084612</v>
      </c>
      <c r="AF336">
        <v>39.57</v>
      </c>
      <c r="AG336">
        <v>0</v>
      </c>
      <c r="AH336">
        <v>18.37</v>
      </c>
      <c r="AI336">
        <v>57.94</v>
      </c>
      <c r="AJ336" t="s">
        <v>2</v>
      </c>
      <c r="AK336" t="s">
        <v>11</v>
      </c>
    </row>
    <row r="337" spans="1:37">
      <c r="A337">
        <v>257725</v>
      </c>
      <c r="B337" s="1">
        <v>45366</v>
      </c>
      <c r="C337" t="s">
        <v>646</v>
      </c>
      <c r="D337" t="s">
        <v>647</v>
      </c>
      <c r="E337" t="s">
        <v>2</v>
      </c>
      <c r="F337" t="s">
        <v>648</v>
      </c>
      <c r="G337" t="s">
        <v>579</v>
      </c>
      <c r="H337">
        <v>43230</v>
      </c>
      <c r="I337" t="s">
        <v>757</v>
      </c>
      <c r="J337" t="s">
        <v>758</v>
      </c>
      <c r="K337" t="s">
        <v>2</v>
      </c>
      <c r="L337" t="s">
        <v>759</v>
      </c>
      <c r="M337" t="s">
        <v>760</v>
      </c>
      <c r="N337" t="s">
        <v>761</v>
      </c>
      <c r="O337" t="s">
        <v>653</v>
      </c>
      <c r="P337">
        <v>2278786</v>
      </c>
      <c r="Q337" t="s">
        <v>38</v>
      </c>
      <c r="R337">
        <v>415712</v>
      </c>
      <c r="S337" t="s">
        <v>84</v>
      </c>
      <c r="T337" s="2">
        <v>1</v>
      </c>
      <c r="U337">
        <v>0</v>
      </c>
      <c r="V337" t="s">
        <v>153</v>
      </c>
      <c r="W337">
        <v>1</v>
      </c>
      <c r="X337">
        <v>1</v>
      </c>
      <c r="Y337">
        <v>0</v>
      </c>
      <c r="Z337" t="s">
        <v>762</v>
      </c>
      <c r="AA337" t="s">
        <v>763</v>
      </c>
      <c r="AB337" t="s">
        <v>14</v>
      </c>
      <c r="AC337">
        <v>39.57</v>
      </c>
      <c r="AD337">
        <v>39.57</v>
      </c>
      <c r="AE337">
        <v>726182084612</v>
      </c>
      <c r="AF337">
        <v>39.57</v>
      </c>
      <c r="AG337">
        <v>0</v>
      </c>
      <c r="AH337">
        <v>18.37</v>
      </c>
      <c r="AI337">
        <v>57.94</v>
      </c>
      <c r="AJ337" t="s">
        <v>2</v>
      </c>
      <c r="AK337" t="s">
        <v>11</v>
      </c>
    </row>
    <row r="338" spans="1:37">
      <c r="A338">
        <v>257725</v>
      </c>
      <c r="B338" s="1">
        <v>45366</v>
      </c>
      <c r="C338" t="s">
        <v>646</v>
      </c>
      <c r="D338" t="s">
        <v>647</v>
      </c>
      <c r="E338" t="s">
        <v>2</v>
      </c>
      <c r="F338" t="s">
        <v>648</v>
      </c>
      <c r="G338" t="s">
        <v>579</v>
      </c>
      <c r="H338">
        <v>43230</v>
      </c>
      <c r="I338" t="s">
        <v>757</v>
      </c>
      <c r="J338" t="s">
        <v>758</v>
      </c>
      <c r="K338" t="s">
        <v>2</v>
      </c>
      <c r="L338" t="s">
        <v>759</v>
      </c>
      <c r="M338" t="s">
        <v>760</v>
      </c>
      <c r="N338" t="s">
        <v>761</v>
      </c>
      <c r="O338" t="s">
        <v>653</v>
      </c>
      <c r="P338">
        <v>2278786</v>
      </c>
      <c r="Q338" t="s">
        <v>38</v>
      </c>
      <c r="R338">
        <v>415712</v>
      </c>
      <c r="S338" t="s">
        <v>84</v>
      </c>
      <c r="T338" s="2">
        <v>1</v>
      </c>
      <c r="U338">
        <v>0</v>
      </c>
      <c r="V338" t="s">
        <v>153</v>
      </c>
      <c r="W338">
        <v>0</v>
      </c>
      <c r="X338">
        <v>0</v>
      </c>
      <c r="Y338">
        <v>0</v>
      </c>
      <c r="Z338" t="s">
        <v>88</v>
      </c>
      <c r="AA338" t="s">
        <v>144</v>
      </c>
      <c r="AB338" t="s">
        <v>10</v>
      </c>
      <c r="AC338">
        <v>0</v>
      </c>
      <c r="AD338">
        <v>0</v>
      </c>
      <c r="AE338">
        <v>726182084612</v>
      </c>
      <c r="AF338">
        <v>39.57</v>
      </c>
      <c r="AG338">
        <v>0</v>
      </c>
      <c r="AH338">
        <v>18.37</v>
      </c>
      <c r="AI338">
        <v>57.94</v>
      </c>
      <c r="AJ338" t="s">
        <v>2</v>
      </c>
      <c r="AK338" t="s">
        <v>11</v>
      </c>
    </row>
    <row r="339" spans="1:37">
      <c r="A339">
        <v>257726</v>
      </c>
      <c r="B339" s="1">
        <v>45366</v>
      </c>
      <c r="C339" t="s">
        <v>764</v>
      </c>
      <c r="D339" t="s">
        <v>765</v>
      </c>
      <c r="E339" t="s">
        <v>2</v>
      </c>
      <c r="F339" t="s">
        <v>766</v>
      </c>
      <c r="G339" t="s">
        <v>767</v>
      </c>
      <c r="H339">
        <v>37217</v>
      </c>
      <c r="I339" t="s">
        <v>768</v>
      </c>
      <c r="J339" t="s">
        <v>769</v>
      </c>
      <c r="K339" t="s">
        <v>2</v>
      </c>
      <c r="L339" t="s">
        <v>770</v>
      </c>
      <c r="M339" t="s">
        <v>767</v>
      </c>
      <c r="N339" t="s">
        <v>771</v>
      </c>
      <c r="O339" t="s">
        <v>772</v>
      </c>
      <c r="P339">
        <v>2278610</v>
      </c>
      <c r="Q339" t="s">
        <v>38</v>
      </c>
      <c r="R339">
        <v>415626</v>
      </c>
      <c r="S339" t="s">
        <v>84</v>
      </c>
      <c r="T339" s="2">
        <v>2</v>
      </c>
      <c r="U339">
        <v>0</v>
      </c>
      <c r="V339" t="s">
        <v>153</v>
      </c>
      <c r="W339">
        <v>0</v>
      </c>
      <c r="X339">
        <v>0</v>
      </c>
      <c r="Y339">
        <v>0</v>
      </c>
      <c r="Z339" t="s">
        <v>9</v>
      </c>
      <c r="AA339" t="s">
        <v>2</v>
      </c>
      <c r="AB339" t="s">
        <v>10</v>
      </c>
      <c r="AC339">
        <v>0</v>
      </c>
      <c r="AD339">
        <v>0</v>
      </c>
      <c r="AE339">
        <v>726182084656</v>
      </c>
      <c r="AF339">
        <v>243.54</v>
      </c>
      <c r="AG339">
        <v>0</v>
      </c>
      <c r="AH339">
        <v>51.63</v>
      </c>
      <c r="AI339">
        <v>295.17</v>
      </c>
      <c r="AJ339" t="s">
        <v>2</v>
      </c>
      <c r="AK339" t="s">
        <v>11</v>
      </c>
    </row>
    <row r="340" spans="1:37">
      <c r="A340">
        <v>257726</v>
      </c>
      <c r="B340" s="1">
        <v>45366</v>
      </c>
      <c r="C340" t="s">
        <v>764</v>
      </c>
      <c r="D340" t="s">
        <v>765</v>
      </c>
      <c r="E340" t="s">
        <v>2</v>
      </c>
      <c r="F340" t="s">
        <v>766</v>
      </c>
      <c r="G340" t="s">
        <v>767</v>
      </c>
      <c r="H340">
        <v>37217</v>
      </c>
      <c r="I340" t="s">
        <v>768</v>
      </c>
      <c r="J340" t="s">
        <v>769</v>
      </c>
      <c r="K340" t="s">
        <v>2</v>
      </c>
      <c r="L340" t="s">
        <v>770</v>
      </c>
      <c r="M340" t="s">
        <v>767</v>
      </c>
      <c r="N340" t="s">
        <v>771</v>
      </c>
      <c r="O340" t="s">
        <v>772</v>
      </c>
      <c r="P340">
        <v>2278610</v>
      </c>
      <c r="Q340" t="s">
        <v>38</v>
      </c>
      <c r="R340">
        <v>415626</v>
      </c>
      <c r="S340" t="s">
        <v>84</v>
      </c>
      <c r="T340" s="2">
        <v>2</v>
      </c>
      <c r="U340">
        <v>0</v>
      </c>
      <c r="V340" t="s">
        <v>153</v>
      </c>
      <c r="W340">
        <v>2</v>
      </c>
      <c r="X340">
        <v>2</v>
      </c>
      <c r="Y340">
        <v>0</v>
      </c>
      <c r="Z340" t="s">
        <v>773</v>
      </c>
      <c r="AA340" t="s">
        <v>774</v>
      </c>
      <c r="AB340" t="s">
        <v>14</v>
      </c>
      <c r="AC340">
        <v>121.77</v>
      </c>
      <c r="AD340">
        <v>243.54</v>
      </c>
      <c r="AE340">
        <v>726182084656</v>
      </c>
      <c r="AF340">
        <v>243.54</v>
      </c>
      <c r="AG340">
        <v>0</v>
      </c>
      <c r="AH340">
        <v>51.63</v>
      </c>
      <c r="AI340">
        <v>295.17</v>
      </c>
      <c r="AJ340" t="s">
        <v>2</v>
      </c>
      <c r="AK340" t="s">
        <v>11</v>
      </c>
    </row>
    <row r="341" spans="1:37">
      <c r="A341">
        <v>257726</v>
      </c>
      <c r="B341" s="1">
        <v>45366</v>
      </c>
      <c r="C341" t="s">
        <v>764</v>
      </c>
      <c r="D341" t="s">
        <v>765</v>
      </c>
      <c r="E341" t="s">
        <v>2</v>
      </c>
      <c r="F341" t="s">
        <v>766</v>
      </c>
      <c r="G341" t="s">
        <v>767</v>
      </c>
      <c r="H341">
        <v>37217</v>
      </c>
      <c r="I341" t="s">
        <v>768</v>
      </c>
      <c r="J341" t="s">
        <v>769</v>
      </c>
      <c r="K341" t="s">
        <v>2</v>
      </c>
      <c r="L341" t="s">
        <v>770</v>
      </c>
      <c r="M341" t="s">
        <v>767</v>
      </c>
      <c r="N341" t="s">
        <v>771</v>
      </c>
      <c r="O341" t="s">
        <v>772</v>
      </c>
      <c r="P341">
        <v>2278610</v>
      </c>
      <c r="Q341" t="s">
        <v>38</v>
      </c>
      <c r="R341">
        <v>415626</v>
      </c>
      <c r="S341" t="s">
        <v>84</v>
      </c>
      <c r="T341" s="2">
        <v>2</v>
      </c>
      <c r="U341">
        <v>0</v>
      </c>
      <c r="V341" t="s">
        <v>153</v>
      </c>
      <c r="W341">
        <v>0</v>
      </c>
      <c r="X341">
        <v>0</v>
      </c>
      <c r="Y341">
        <v>0</v>
      </c>
      <c r="Z341" t="s">
        <v>88</v>
      </c>
      <c r="AA341" t="s">
        <v>144</v>
      </c>
      <c r="AB341" t="s">
        <v>10</v>
      </c>
      <c r="AC341">
        <v>0</v>
      </c>
      <c r="AD341">
        <v>0</v>
      </c>
      <c r="AE341">
        <v>726182084656</v>
      </c>
      <c r="AF341">
        <v>243.54</v>
      </c>
      <c r="AG341">
        <v>0</v>
      </c>
      <c r="AH341">
        <v>51.63</v>
      </c>
      <c r="AI341">
        <v>295.17</v>
      </c>
      <c r="AJ341" t="s">
        <v>2</v>
      </c>
      <c r="AK341" t="s">
        <v>11</v>
      </c>
    </row>
    <row r="342" spans="1:37">
      <c r="A342">
        <v>257727</v>
      </c>
      <c r="B342" s="1">
        <v>45366</v>
      </c>
      <c r="C342" t="s">
        <v>646</v>
      </c>
      <c r="D342" t="s">
        <v>647</v>
      </c>
      <c r="E342" t="s">
        <v>2</v>
      </c>
      <c r="F342" t="s">
        <v>648</v>
      </c>
      <c r="G342" t="s">
        <v>579</v>
      </c>
      <c r="H342">
        <v>43230</v>
      </c>
      <c r="I342" t="s">
        <v>775</v>
      </c>
      <c r="J342" t="s">
        <v>776</v>
      </c>
      <c r="K342" t="s">
        <v>2</v>
      </c>
      <c r="L342" t="s">
        <v>777</v>
      </c>
      <c r="M342" t="s">
        <v>579</v>
      </c>
      <c r="N342" t="s">
        <v>778</v>
      </c>
      <c r="O342" t="s">
        <v>653</v>
      </c>
      <c r="P342">
        <v>2278788</v>
      </c>
      <c r="Q342" t="s">
        <v>38</v>
      </c>
      <c r="R342">
        <v>415713</v>
      </c>
      <c r="S342" t="s">
        <v>84</v>
      </c>
      <c r="T342" s="2">
        <v>1</v>
      </c>
      <c r="U342">
        <v>0</v>
      </c>
      <c r="V342" t="s">
        <v>153</v>
      </c>
      <c r="W342">
        <v>0</v>
      </c>
      <c r="X342">
        <v>0</v>
      </c>
      <c r="Y342">
        <v>0</v>
      </c>
      <c r="Z342" t="s">
        <v>9</v>
      </c>
      <c r="AA342" t="s">
        <v>2</v>
      </c>
      <c r="AB342" t="s">
        <v>10</v>
      </c>
      <c r="AC342">
        <v>0</v>
      </c>
      <c r="AD342">
        <v>0</v>
      </c>
      <c r="AE342">
        <v>726182084678</v>
      </c>
      <c r="AF342">
        <v>271.08999999999997</v>
      </c>
      <c r="AG342">
        <v>0</v>
      </c>
      <c r="AH342">
        <v>39.86</v>
      </c>
      <c r="AI342">
        <v>310.95</v>
      </c>
      <c r="AJ342" t="s">
        <v>2</v>
      </c>
      <c r="AK342" t="s">
        <v>11</v>
      </c>
    </row>
    <row r="343" spans="1:37">
      <c r="A343">
        <v>257727</v>
      </c>
      <c r="B343" s="1">
        <v>45366</v>
      </c>
      <c r="C343" t="s">
        <v>646</v>
      </c>
      <c r="D343" t="s">
        <v>647</v>
      </c>
      <c r="E343" t="s">
        <v>2</v>
      </c>
      <c r="F343" t="s">
        <v>648</v>
      </c>
      <c r="G343" t="s">
        <v>579</v>
      </c>
      <c r="H343">
        <v>43230</v>
      </c>
      <c r="I343" t="s">
        <v>775</v>
      </c>
      <c r="J343" t="s">
        <v>776</v>
      </c>
      <c r="K343" t="s">
        <v>2</v>
      </c>
      <c r="L343" t="s">
        <v>777</v>
      </c>
      <c r="M343" t="s">
        <v>579</v>
      </c>
      <c r="N343" t="s">
        <v>778</v>
      </c>
      <c r="O343" t="s">
        <v>653</v>
      </c>
      <c r="P343">
        <v>2278788</v>
      </c>
      <c r="Q343" t="s">
        <v>38</v>
      </c>
      <c r="R343">
        <v>415713</v>
      </c>
      <c r="S343" t="s">
        <v>84</v>
      </c>
      <c r="T343" s="2">
        <v>1</v>
      </c>
      <c r="U343">
        <v>0</v>
      </c>
      <c r="V343" t="s">
        <v>153</v>
      </c>
      <c r="W343">
        <v>1</v>
      </c>
      <c r="X343">
        <v>1</v>
      </c>
      <c r="Y343">
        <v>0</v>
      </c>
      <c r="Z343" t="s">
        <v>779</v>
      </c>
      <c r="AA343" t="s">
        <v>780</v>
      </c>
      <c r="AB343" t="s">
        <v>14</v>
      </c>
      <c r="AC343">
        <v>271.08999999999997</v>
      </c>
      <c r="AD343">
        <v>271.08999999999997</v>
      </c>
      <c r="AE343">
        <v>726182084678</v>
      </c>
      <c r="AF343">
        <v>271.08999999999997</v>
      </c>
      <c r="AG343">
        <v>0</v>
      </c>
      <c r="AH343">
        <v>39.86</v>
      </c>
      <c r="AI343">
        <v>310.95</v>
      </c>
      <c r="AJ343" t="s">
        <v>2</v>
      </c>
      <c r="AK343" t="s">
        <v>11</v>
      </c>
    </row>
    <row r="344" spans="1:37">
      <c r="A344">
        <v>257727</v>
      </c>
      <c r="B344" s="1">
        <v>45366</v>
      </c>
      <c r="C344" t="s">
        <v>646</v>
      </c>
      <c r="D344" t="s">
        <v>647</v>
      </c>
      <c r="E344" t="s">
        <v>2</v>
      </c>
      <c r="F344" t="s">
        <v>648</v>
      </c>
      <c r="G344" t="s">
        <v>579</v>
      </c>
      <c r="H344">
        <v>43230</v>
      </c>
      <c r="I344" t="s">
        <v>775</v>
      </c>
      <c r="J344" t="s">
        <v>776</v>
      </c>
      <c r="K344" t="s">
        <v>2</v>
      </c>
      <c r="L344" t="s">
        <v>777</v>
      </c>
      <c r="M344" t="s">
        <v>579</v>
      </c>
      <c r="N344" t="s">
        <v>778</v>
      </c>
      <c r="O344" t="s">
        <v>653</v>
      </c>
      <c r="P344">
        <v>2278788</v>
      </c>
      <c r="Q344" t="s">
        <v>38</v>
      </c>
      <c r="R344">
        <v>415713</v>
      </c>
      <c r="S344" t="s">
        <v>84</v>
      </c>
      <c r="T344" s="2">
        <v>1</v>
      </c>
      <c r="U344">
        <v>0</v>
      </c>
      <c r="V344" t="s">
        <v>153</v>
      </c>
      <c r="W344">
        <v>0</v>
      </c>
      <c r="X344">
        <v>0</v>
      </c>
      <c r="Y344">
        <v>0</v>
      </c>
      <c r="Z344" t="s">
        <v>88</v>
      </c>
      <c r="AA344" t="s">
        <v>298</v>
      </c>
      <c r="AB344" t="s">
        <v>10</v>
      </c>
      <c r="AC344">
        <v>0</v>
      </c>
      <c r="AD344">
        <v>0</v>
      </c>
      <c r="AE344">
        <v>726182084678</v>
      </c>
      <c r="AF344">
        <v>271.08999999999997</v>
      </c>
      <c r="AG344">
        <v>0</v>
      </c>
      <c r="AH344">
        <v>39.86</v>
      </c>
      <c r="AI344">
        <v>310.95</v>
      </c>
      <c r="AJ344" t="s">
        <v>2</v>
      </c>
      <c r="AK344" t="s">
        <v>11</v>
      </c>
    </row>
    <row r="345" spans="1:37">
      <c r="A345">
        <v>257728</v>
      </c>
      <c r="B345" s="1">
        <v>45366</v>
      </c>
      <c r="C345" t="s">
        <v>589</v>
      </c>
      <c r="D345" t="s">
        <v>590</v>
      </c>
      <c r="E345" t="s">
        <v>2</v>
      </c>
      <c r="F345" t="s">
        <v>591</v>
      </c>
      <c r="G345" t="s">
        <v>75</v>
      </c>
      <c r="H345">
        <v>55112</v>
      </c>
      <c r="I345" t="s">
        <v>781</v>
      </c>
      <c r="J345" t="s">
        <v>782</v>
      </c>
      <c r="K345" t="s">
        <v>2</v>
      </c>
      <c r="L345" t="s">
        <v>783</v>
      </c>
      <c r="M345" t="s">
        <v>75</v>
      </c>
      <c r="N345">
        <v>55919</v>
      </c>
      <c r="O345" t="s">
        <v>596</v>
      </c>
      <c r="P345">
        <v>2278745</v>
      </c>
      <c r="Q345" t="s">
        <v>38</v>
      </c>
      <c r="R345">
        <v>415693</v>
      </c>
      <c r="S345" t="s">
        <v>84</v>
      </c>
      <c r="T345" s="2">
        <v>1</v>
      </c>
      <c r="U345">
        <v>0</v>
      </c>
      <c r="V345" t="s">
        <v>153</v>
      </c>
      <c r="W345">
        <v>0</v>
      </c>
      <c r="X345">
        <v>0</v>
      </c>
      <c r="Y345">
        <v>0</v>
      </c>
      <c r="Z345" t="s">
        <v>9</v>
      </c>
      <c r="AA345" t="s">
        <v>2</v>
      </c>
      <c r="AB345" t="s">
        <v>10</v>
      </c>
      <c r="AC345">
        <v>0</v>
      </c>
      <c r="AD345">
        <v>0</v>
      </c>
      <c r="AE345">
        <v>726182084748</v>
      </c>
      <c r="AF345">
        <v>89.76</v>
      </c>
      <c r="AG345">
        <v>0</v>
      </c>
      <c r="AH345">
        <v>35.82</v>
      </c>
      <c r="AI345">
        <v>125.58</v>
      </c>
      <c r="AJ345" t="s">
        <v>2</v>
      </c>
      <c r="AK345" t="s">
        <v>11</v>
      </c>
    </row>
    <row r="346" spans="1:37">
      <c r="A346">
        <v>257728</v>
      </c>
      <c r="B346" s="1">
        <v>45366</v>
      </c>
      <c r="C346" t="s">
        <v>589</v>
      </c>
      <c r="D346" t="s">
        <v>590</v>
      </c>
      <c r="E346" t="s">
        <v>2</v>
      </c>
      <c r="F346" t="s">
        <v>591</v>
      </c>
      <c r="G346" t="s">
        <v>75</v>
      </c>
      <c r="H346">
        <v>55112</v>
      </c>
      <c r="I346" t="s">
        <v>781</v>
      </c>
      <c r="J346" t="s">
        <v>782</v>
      </c>
      <c r="K346" t="s">
        <v>2</v>
      </c>
      <c r="L346" t="s">
        <v>783</v>
      </c>
      <c r="M346" t="s">
        <v>75</v>
      </c>
      <c r="N346">
        <v>55919</v>
      </c>
      <c r="O346" t="s">
        <v>596</v>
      </c>
      <c r="P346">
        <v>2278745</v>
      </c>
      <c r="Q346" t="s">
        <v>38</v>
      </c>
      <c r="R346">
        <v>415693</v>
      </c>
      <c r="S346" t="s">
        <v>84</v>
      </c>
      <c r="T346" s="2">
        <v>1</v>
      </c>
      <c r="U346">
        <v>0</v>
      </c>
      <c r="V346" t="s">
        <v>153</v>
      </c>
      <c r="W346">
        <v>1</v>
      </c>
      <c r="X346">
        <v>1</v>
      </c>
      <c r="Y346">
        <v>0</v>
      </c>
      <c r="Z346" t="s">
        <v>784</v>
      </c>
      <c r="AA346" t="s">
        <v>785</v>
      </c>
      <c r="AB346" t="s">
        <v>14</v>
      </c>
      <c r="AC346">
        <v>89.76</v>
      </c>
      <c r="AD346">
        <v>89.76</v>
      </c>
      <c r="AE346">
        <v>726182084748</v>
      </c>
      <c r="AF346">
        <v>89.76</v>
      </c>
      <c r="AG346">
        <v>0</v>
      </c>
      <c r="AH346">
        <v>35.82</v>
      </c>
      <c r="AI346">
        <v>125.58</v>
      </c>
      <c r="AJ346" t="s">
        <v>2</v>
      </c>
      <c r="AK346" t="s">
        <v>11</v>
      </c>
    </row>
    <row r="347" spans="1:37">
      <c r="A347">
        <v>257728</v>
      </c>
      <c r="B347" s="1">
        <v>45366</v>
      </c>
      <c r="C347" t="s">
        <v>589</v>
      </c>
      <c r="D347" t="s">
        <v>590</v>
      </c>
      <c r="E347" t="s">
        <v>2</v>
      </c>
      <c r="F347" t="s">
        <v>591</v>
      </c>
      <c r="G347" t="s">
        <v>75</v>
      </c>
      <c r="H347">
        <v>55112</v>
      </c>
      <c r="I347" t="s">
        <v>781</v>
      </c>
      <c r="J347" t="s">
        <v>782</v>
      </c>
      <c r="K347" t="s">
        <v>2</v>
      </c>
      <c r="L347" t="s">
        <v>783</v>
      </c>
      <c r="M347" t="s">
        <v>75</v>
      </c>
      <c r="N347">
        <v>55919</v>
      </c>
      <c r="O347" t="s">
        <v>596</v>
      </c>
      <c r="P347">
        <v>2278745</v>
      </c>
      <c r="Q347" t="s">
        <v>38</v>
      </c>
      <c r="R347">
        <v>415693</v>
      </c>
      <c r="S347" t="s">
        <v>84</v>
      </c>
      <c r="T347" s="2">
        <v>1</v>
      </c>
      <c r="U347">
        <v>0</v>
      </c>
      <c r="V347" t="s">
        <v>153</v>
      </c>
      <c r="W347">
        <v>0</v>
      </c>
      <c r="X347">
        <v>0</v>
      </c>
      <c r="Y347">
        <v>0</v>
      </c>
      <c r="Z347" t="s">
        <v>88</v>
      </c>
      <c r="AA347" t="s">
        <v>298</v>
      </c>
      <c r="AB347" t="s">
        <v>10</v>
      </c>
      <c r="AC347">
        <v>0</v>
      </c>
      <c r="AD347">
        <v>0</v>
      </c>
      <c r="AE347">
        <v>726182084748</v>
      </c>
      <c r="AF347">
        <v>89.76</v>
      </c>
      <c r="AG347">
        <v>0</v>
      </c>
      <c r="AH347">
        <v>35.82</v>
      </c>
      <c r="AI347">
        <v>125.58</v>
      </c>
      <c r="AJ347" t="s">
        <v>2</v>
      </c>
      <c r="AK347" t="s">
        <v>11</v>
      </c>
    </row>
    <row r="348" spans="1:37">
      <c r="A348">
        <v>257729</v>
      </c>
      <c r="B348" s="1">
        <v>45366</v>
      </c>
      <c r="C348" t="s">
        <v>705</v>
      </c>
      <c r="D348" t="s">
        <v>706</v>
      </c>
      <c r="E348" t="s">
        <v>707</v>
      </c>
      <c r="F348" t="s">
        <v>708</v>
      </c>
      <c r="G348" t="s">
        <v>579</v>
      </c>
      <c r="H348">
        <v>44310</v>
      </c>
      <c r="I348" t="s">
        <v>786</v>
      </c>
      <c r="J348" t="s">
        <v>787</v>
      </c>
      <c r="K348" t="s">
        <v>2</v>
      </c>
      <c r="L348" t="s">
        <v>788</v>
      </c>
      <c r="M348" t="s">
        <v>731</v>
      </c>
      <c r="N348" t="s">
        <v>789</v>
      </c>
      <c r="O348" t="s">
        <v>712</v>
      </c>
      <c r="P348">
        <v>2278787</v>
      </c>
      <c r="Q348" t="s">
        <v>38</v>
      </c>
      <c r="R348">
        <v>415710</v>
      </c>
      <c r="S348" t="s">
        <v>84</v>
      </c>
      <c r="T348" s="2">
        <v>1</v>
      </c>
      <c r="U348">
        <v>0</v>
      </c>
      <c r="V348" t="s">
        <v>153</v>
      </c>
      <c r="W348">
        <v>0</v>
      </c>
      <c r="X348">
        <v>0</v>
      </c>
      <c r="Y348">
        <v>0</v>
      </c>
      <c r="Z348" t="s">
        <v>9</v>
      </c>
      <c r="AA348" t="s">
        <v>2</v>
      </c>
      <c r="AB348" t="s">
        <v>10</v>
      </c>
      <c r="AC348">
        <v>0</v>
      </c>
      <c r="AD348">
        <v>0</v>
      </c>
      <c r="AE348">
        <v>726182084770</v>
      </c>
      <c r="AF348">
        <v>53.85</v>
      </c>
      <c r="AG348">
        <v>0</v>
      </c>
      <c r="AH348">
        <v>14.26</v>
      </c>
      <c r="AI348">
        <v>68.11</v>
      </c>
      <c r="AJ348" t="s">
        <v>2</v>
      </c>
      <c r="AK348" t="s">
        <v>11</v>
      </c>
    </row>
    <row r="349" spans="1:37">
      <c r="A349">
        <v>257729</v>
      </c>
      <c r="B349" s="1">
        <v>45366</v>
      </c>
      <c r="C349" t="s">
        <v>705</v>
      </c>
      <c r="D349" t="s">
        <v>706</v>
      </c>
      <c r="E349" t="s">
        <v>707</v>
      </c>
      <c r="F349" t="s">
        <v>708</v>
      </c>
      <c r="G349" t="s">
        <v>579</v>
      </c>
      <c r="H349">
        <v>44310</v>
      </c>
      <c r="I349" t="s">
        <v>786</v>
      </c>
      <c r="J349" t="s">
        <v>787</v>
      </c>
      <c r="K349" t="s">
        <v>2</v>
      </c>
      <c r="L349" t="s">
        <v>788</v>
      </c>
      <c r="M349" t="s">
        <v>731</v>
      </c>
      <c r="N349" t="s">
        <v>789</v>
      </c>
      <c r="O349" t="s">
        <v>712</v>
      </c>
      <c r="P349">
        <v>2278787</v>
      </c>
      <c r="Q349" t="s">
        <v>38</v>
      </c>
      <c r="R349">
        <v>415710</v>
      </c>
      <c r="S349" t="s">
        <v>84</v>
      </c>
      <c r="T349" s="2">
        <v>1</v>
      </c>
      <c r="U349">
        <v>0</v>
      </c>
      <c r="V349" t="s">
        <v>153</v>
      </c>
      <c r="W349">
        <v>1</v>
      </c>
      <c r="X349">
        <v>1</v>
      </c>
      <c r="Y349">
        <v>0</v>
      </c>
      <c r="Z349" t="s">
        <v>790</v>
      </c>
      <c r="AA349" t="s">
        <v>791</v>
      </c>
      <c r="AB349" t="s">
        <v>14</v>
      </c>
      <c r="AC349">
        <v>53.85</v>
      </c>
      <c r="AD349">
        <v>53.85</v>
      </c>
      <c r="AE349">
        <v>726182084770</v>
      </c>
      <c r="AF349">
        <v>53.85</v>
      </c>
      <c r="AG349">
        <v>0</v>
      </c>
      <c r="AH349">
        <v>14.26</v>
      </c>
      <c r="AI349">
        <v>68.11</v>
      </c>
      <c r="AJ349" t="s">
        <v>2</v>
      </c>
      <c r="AK349" t="s">
        <v>11</v>
      </c>
    </row>
    <row r="350" spans="1:37">
      <c r="A350">
        <v>257729</v>
      </c>
      <c r="B350" s="1">
        <v>45366</v>
      </c>
      <c r="C350" t="s">
        <v>705</v>
      </c>
      <c r="D350" t="s">
        <v>706</v>
      </c>
      <c r="E350" t="s">
        <v>707</v>
      </c>
      <c r="F350" t="s">
        <v>708</v>
      </c>
      <c r="G350" t="s">
        <v>579</v>
      </c>
      <c r="H350">
        <v>44310</v>
      </c>
      <c r="I350" t="s">
        <v>786</v>
      </c>
      <c r="J350" t="s">
        <v>787</v>
      </c>
      <c r="K350" t="s">
        <v>2</v>
      </c>
      <c r="L350" t="s">
        <v>788</v>
      </c>
      <c r="M350" t="s">
        <v>731</v>
      </c>
      <c r="N350" t="s">
        <v>789</v>
      </c>
      <c r="O350" t="s">
        <v>712</v>
      </c>
      <c r="P350">
        <v>2278787</v>
      </c>
      <c r="Q350" t="s">
        <v>38</v>
      </c>
      <c r="R350">
        <v>415710</v>
      </c>
      <c r="S350" t="s">
        <v>84</v>
      </c>
      <c r="T350" s="2">
        <v>1</v>
      </c>
      <c r="U350">
        <v>0</v>
      </c>
      <c r="V350" t="s">
        <v>153</v>
      </c>
      <c r="W350">
        <v>0</v>
      </c>
      <c r="X350">
        <v>0</v>
      </c>
      <c r="Y350">
        <v>0</v>
      </c>
      <c r="Z350" t="s">
        <v>88</v>
      </c>
      <c r="AA350" t="s">
        <v>144</v>
      </c>
      <c r="AB350" t="s">
        <v>10</v>
      </c>
      <c r="AC350">
        <v>0</v>
      </c>
      <c r="AD350">
        <v>0</v>
      </c>
      <c r="AE350">
        <v>726182084770</v>
      </c>
      <c r="AF350">
        <v>53.85</v>
      </c>
      <c r="AG350">
        <v>0</v>
      </c>
      <c r="AH350">
        <v>14.26</v>
      </c>
      <c r="AI350">
        <v>68.11</v>
      </c>
      <c r="AJ350" t="s">
        <v>2</v>
      </c>
      <c r="AK350" t="s">
        <v>11</v>
      </c>
    </row>
    <row r="351" spans="1:37">
      <c r="A351">
        <v>257730</v>
      </c>
      <c r="B351" s="1">
        <v>45366</v>
      </c>
      <c r="C351" t="s">
        <v>792</v>
      </c>
      <c r="D351" t="s">
        <v>793</v>
      </c>
      <c r="E351" t="s">
        <v>794</v>
      </c>
      <c r="F351" t="s">
        <v>795</v>
      </c>
      <c r="G351" t="s">
        <v>67</v>
      </c>
      <c r="H351">
        <v>75019</v>
      </c>
      <c r="I351" t="s">
        <v>796</v>
      </c>
      <c r="J351" t="s">
        <v>797</v>
      </c>
      <c r="K351" t="s">
        <v>2</v>
      </c>
      <c r="L351" t="s">
        <v>66</v>
      </c>
      <c r="M351" t="s">
        <v>67</v>
      </c>
      <c r="N351" t="s">
        <v>798</v>
      </c>
      <c r="O351" t="s">
        <v>799</v>
      </c>
      <c r="P351">
        <v>2278638</v>
      </c>
      <c r="Q351" t="s">
        <v>38</v>
      </c>
      <c r="R351">
        <v>415638</v>
      </c>
      <c r="S351" t="s">
        <v>84</v>
      </c>
      <c r="T351" s="2">
        <v>1</v>
      </c>
      <c r="U351">
        <v>0</v>
      </c>
      <c r="V351" t="s">
        <v>153</v>
      </c>
      <c r="W351">
        <v>0</v>
      </c>
      <c r="X351">
        <v>0</v>
      </c>
      <c r="Y351">
        <v>0</v>
      </c>
      <c r="Z351" t="s">
        <v>9</v>
      </c>
      <c r="AA351" t="s">
        <v>2</v>
      </c>
      <c r="AB351" t="s">
        <v>10</v>
      </c>
      <c r="AC351">
        <v>0</v>
      </c>
      <c r="AD351">
        <v>0</v>
      </c>
      <c r="AE351">
        <v>726182084818</v>
      </c>
      <c r="AF351">
        <v>59.21</v>
      </c>
      <c r="AG351">
        <v>0</v>
      </c>
      <c r="AH351">
        <v>45.72</v>
      </c>
      <c r="AI351">
        <v>104.93</v>
      </c>
      <c r="AJ351" t="s">
        <v>2</v>
      </c>
      <c r="AK351" t="s">
        <v>11</v>
      </c>
    </row>
    <row r="352" spans="1:37">
      <c r="A352">
        <v>257730</v>
      </c>
      <c r="B352" s="1">
        <v>45366</v>
      </c>
      <c r="C352" t="s">
        <v>792</v>
      </c>
      <c r="D352" t="s">
        <v>793</v>
      </c>
      <c r="E352" t="s">
        <v>794</v>
      </c>
      <c r="F352" t="s">
        <v>795</v>
      </c>
      <c r="G352" t="s">
        <v>67</v>
      </c>
      <c r="H352">
        <v>75019</v>
      </c>
      <c r="I352" t="s">
        <v>796</v>
      </c>
      <c r="J352" t="s">
        <v>797</v>
      </c>
      <c r="K352" t="s">
        <v>2</v>
      </c>
      <c r="L352" t="s">
        <v>66</v>
      </c>
      <c r="M352" t="s">
        <v>67</v>
      </c>
      <c r="N352" t="s">
        <v>798</v>
      </c>
      <c r="O352" t="s">
        <v>799</v>
      </c>
      <c r="P352">
        <v>2278638</v>
      </c>
      <c r="Q352" t="s">
        <v>38</v>
      </c>
      <c r="R352">
        <v>415638</v>
      </c>
      <c r="S352" t="s">
        <v>84</v>
      </c>
      <c r="T352" s="2">
        <v>1</v>
      </c>
      <c r="U352">
        <v>0</v>
      </c>
      <c r="V352" t="s">
        <v>153</v>
      </c>
      <c r="W352">
        <v>1</v>
      </c>
      <c r="X352">
        <v>1</v>
      </c>
      <c r="Y352">
        <v>0</v>
      </c>
      <c r="Z352" t="s">
        <v>800</v>
      </c>
      <c r="AA352" t="s">
        <v>801</v>
      </c>
      <c r="AB352" t="s">
        <v>14</v>
      </c>
      <c r="AC352">
        <v>59.21</v>
      </c>
      <c r="AD352">
        <v>59.21</v>
      </c>
      <c r="AE352">
        <v>726182084818</v>
      </c>
      <c r="AF352">
        <v>59.21</v>
      </c>
      <c r="AG352">
        <v>0</v>
      </c>
      <c r="AH352">
        <v>45.72</v>
      </c>
      <c r="AI352">
        <v>104.93</v>
      </c>
      <c r="AJ352" t="s">
        <v>2</v>
      </c>
      <c r="AK352" t="s">
        <v>11</v>
      </c>
    </row>
    <row r="353" spans="1:37">
      <c r="A353">
        <v>257730</v>
      </c>
      <c r="B353" s="1">
        <v>45366</v>
      </c>
      <c r="C353" t="s">
        <v>792</v>
      </c>
      <c r="D353" t="s">
        <v>793</v>
      </c>
      <c r="E353" t="s">
        <v>794</v>
      </c>
      <c r="F353" t="s">
        <v>795</v>
      </c>
      <c r="G353" t="s">
        <v>67</v>
      </c>
      <c r="H353">
        <v>75019</v>
      </c>
      <c r="I353" t="s">
        <v>796</v>
      </c>
      <c r="J353" t="s">
        <v>797</v>
      </c>
      <c r="K353" t="s">
        <v>2</v>
      </c>
      <c r="L353" t="s">
        <v>66</v>
      </c>
      <c r="M353" t="s">
        <v>67</v>
      </c>
      <c r="N353" t="s">
        <v>798</v>
      </c>
      <c r="O353" t="s">
        <v>799</v>
      </c>
      <c r="P353">
        <v>2278638</v>
      </c>
      <c r="Q353" t="s">
        <v>38</v>
      </c>
      <c r="R353">
        <v>415638</v>
      </c>
      <c r="S353" t="s">
        <v>84</v>
      </c>
      <c r="T353" s="2">
        <v>1</v>
      </c>
      <c r="U353">
        <v>0</v>
      </c>
      <c r="V353" t="s">
        <v>153</v>
      </c>
      <c r="W353">
        <v>0</v>
      </c>
      <c r="X353">
        <v>0</v>
      </c>
      <c r="Y353">
        <v>0</v>
      </c>
      <c r="Z353" t="s">
        <v>88</v>
      </c>
      <c r="AA353" t="s">
        <v>317</v>
      </c>
      <c r="AB353" t="s">
        <v>10</v>
      </c>
      <c r="AC353">
        <v>0</v>
      </c>
      <c r="AD353">
        <v>0</v>
      </c>
      <c r="AE353">
        <v>726182084818</v>
      </c>
      <c r="AF353">
        <v>59.21</v>
      </c>
      <c r="AG353">
        <v>0</v>
      </c>
      <c r="AH353">
        <v>45.72</v>
      </c>
      <c r="AI353">
        <v>104.93</v>
      </c>
      <c r="AJ353" t="s">
        <v>2</v>
      </c>
      <c r="AK353" t="s">
        <v>11</v>
      </c>
    </row>
    <row r="354" spans="1:37">
      <c r="A354">
        <v>257731</v>
      </c>
      <c r="B354" s="1">
        <v>45366</v>
      </c>
      <c r="C354" t="s">
        <v>241</v>
      </c>
      <c r="D354" t="s">
        <v>242</v>
      </c>
      <c r="E354" t="s">
        <v>2</v>
      </c>
      <c r="F354" t="s">
        <v>243</v>
      </c>
      <c r="G354" t="s">
        <v>60</v>
      </c>
      <c r="H354">
        <v>1821</v>
      </c>
      <c r="I354" t="s">
        <v>802</v>
      </c>
      <c r="J354" t="s">
        <v>803</v>
      </c>
      <c r="K354" t="s">
        <v>2</v>
      </c>
      <c r="L354" t="s">
        <v>804</v>
      </c>
      <c r="M354" t="s">
        <v>805</v>
      </c>
      <c r="N354" t="s">
        <v>806</v>
      </c>
      <c r="O354" t="s">
        <v>248</v>
      </c>
      <c r="P354">
        <v>2278744</v>
      </c>
      <c r="Q354" t="s">
        <v>38</v>
      </c>
      <c r="R354">
        <v>415690</v>
      </c>
      <c r="S354" t="s">
        <v>84</v>
      </c>
      <c r="T354" s="2">
        <v>1</v>
      </c>
      <c r="U354">
        <v>0</v>
      </c>
      <c r="V354" t="s">
        <v>153</v>
      </c>
      <c r="W354">
        <v>0</v>
      </c>
      <c r="X354">
        <v>0</v>
      </c>
      <c r="Y354">
        <v>0</v>
      </c>
      <c r="Z354" t="s">
        <v>9</v>
      </c>
      <c r="AA354" t="s">
        <v>2</v>
      </c>
      <c r="AB354" t="s">
        <v>10</v>
      </c>
      <c r="AC354">
        <v>0</v>
      </c>
      <c r="AD354">
        <v>0</v>
      </c>
      <c r="AE354">
        <v>726182084873</v>
      </c>
      <c r="AF354">
        <v>362.4</v>
      </c>
      <c r="AG354">
        <v>0</v>
      </c>
      <c r="AH354">
        <v>24.13</v>
      </c>
      <c r="AI354">
        <v>386.53</v>
      </c>
      <c r="AJ354" t="s">
        <v>2</v>
      </c>
      <c r="AK354" t="s">
        <v>11</v>
      </c>
    </row>
    <row r="355" spans="1:37">
      <c r="A355">
        <v>257731</v>
      </c>
      <c r="B355" s="1">
        <v>45366</v>
      </c>
      <c r="C355" t="s">
        <v>241</v>
      </c>
      <c r="D355" t="s">
        <v>242</v>
      </c>
      <c r="E355" t="s">
        <v>2</v>
      </c>
      <c r="F355" t="s">
        <v>243</v>
      </c>
      <c r="G355" t="s">
        <v>60</v>
      </c>
      <c r="H355">
        <v>1821</v>
      </c>
      <c r="I355" t="s">
        <v>802</v>
      </c>
      <c r="J355" t="s">
        <v>803</v>
      </c>
      <c r="K355" t="s">
        <v>2</v>
      </c>
      <c r="L355" t="s">
        <v>804</v>
      </c>
      <c r="M355" t="s">
        <v>805</v>
      </c>
      <c r="N355" t="s">
        <v>806</v>
      </c>
      <c r="O355" t="s">
        <v>248</v>
      </c>
      <c r="P355">
        <v>2278744</v>
      </c>
      <c r="Q355" t="s">
        <v>38</v>
      </c>
      <c r="R355">
        <v>415690</v>
      </c>
      <c r="S355" t="s">
        <v>84</v>
      </c>
      <c r="T355" s="2">
        <v>1</v>
      </c>
      <c r="U355">
        <v>0</v>
      </c>
      <c r="V355" t="s">
        <v>153</v>
      </c>
      <c r="W355">
        <v>1</v>
      </c>
      <c r="X355">
        <v>1</v>
      </c>
      <c r="Y355">
        <v>0</v>
      </c>
      <c r="Z355" t="s">
        <v>807</v>
      </c>
      <c r="AA355" t="s">
        <v>808</v>
      </c>
      <c r="AB355" t="s">
        <v>14</v>
      </c>
      <c r="AC355">
        <v>362.4</v>
      </c>
      <c r="AD355">
        <v>362.4</v>
      </c>
      <c r="AE355">
        <v>726182084873</v>
      </c>
      <c r="AF355">
        <v>362.4</v>
      </c>
      <c r="AG355">
        <v>0</v>
      </c>
      <c r="AH355">
        <v>24.13</v>
      </c>
      <c r="AI355">
        <v>386.53</v>
      </c>
      <c r="AJ355" t="s">
        <v>2</v>
      </c>
      <c r="AK355" t="s">
        <v>11</v>
      </c>
    </row>
    <row r="356" spans="1:37">
      <c r="A356">
        <v>257731</v>
      </c>
      <c r="B356" s="1">
        <v>45366</v>
      </c>
      <c r="C356" t="s">
        <v>241</v>
      </c>
      <c r="D356" t="s">
        <v>242</v>
      </c>
      <c r="E356" t="s">
        <v>2</v>
      </c>
      <c r="F356" t="s">
        <v>243</v>
      </c>
      <c r="G356" t="s">
        <v>60</v>
      </c>
      <c r="H356">
        <v>1821</v>
      </c>
      <c r="I356" t="s">
        <v>802</v>
      </c>
      <c r="J356" t="s">
        <v>803</v>
      </c>
      <c r="K356" t="s">
        <v>2</v>
      </c>
      <c r="L356" t="s">
        <v>804</v>
      </c>
      <c r="M356" t="s">
        <v>805</v>
      </c>
      <c r="N356" t="s">
        <v>806</v>
      </c>
      <c r="O356" t="s">
        <v>248</v>
      </c>
      <c r="P356">
        <v>2278744</v>
      </c>
      <c r="Q356" t="s">
        <v>38</v>
      </c>
      <c r="R356">
        <v>415690</v>
      </c>
      <c r="S356" t="s">
        <v>84</v>
      </c>
      <c r="T356" s="2">
        <v>1</v>
      </c>
      <c r="U356">
        <v>0</v>
      </c>
      <c r="V356" t="s">
        <v>153</v>
      </c>
      <c r="W356">
        <v>0</v>
      </c>
      <c r="X356">
        <v>0</v>
      </c>
      <c r="Y356">
        <v>0</v>
      </c>
      <c r="Z356" t="s">
        <v>88</v>
      </c>
      <c r="AA356" t="s">
        <v>144</v>
      </c>
      <c r="AB356" t="s">
        <v>10</v>
      </c>
      <c r="AC356">
        <v>0</v>
      </c>
      <c r="AD356">
        <v>0</v>
      </c>
      <c r="AE356">
        <v>726182084873</v>
      </c>
      <c r="AF356">
        <v>362.4</v>
      </c>
      <c r="AG356">
        <v>0</v>
      </c>
      <c r="AH356">
        <v>24.13</v>
      </c>
      <c r="AI356">
        <v>386.53</v>
      </c>
      <c r="AJ356" t="s">
        <v>2</v>
      </c>
      <c r="AK356" t="s">
        <v>11</v>
      </c>
    </row>
    <row r="357" spans="1:37">
      <c r="A357">
        <v>257732</v>
      </c>
      <c r="B357" s="1">
        <v>45366</v>
      </c>
      <c r="C357" t="s">
        <v>728</v>
      </c>
      <c r="D357" t="s">
        <v>729</v>
      </c>
      <c r="E357" t="s">
        <v>2</v>
      </c>
      <c r="F357" t="s">
        <v>730</v>
      </c>
      <c r="G357" t="s">
        <v>731</v>
      </c>
      <c r="H357">
        <v>18045</v>
      </c>
      <c r="I357" t="s">
        <v>809</v>
      </c>
      <c r="J357" t="s">
        <v>810</v>
      </c>
      <c r="K357" t="s">
        <v>2</v>
      </c>
      <c r="L357" t="s">
        <v>811</v>
      </c>
      <c r="M357" t="s">
        <v>731</v>
      </c>
      <c r="N357" t="s">
        <v>812</v>
      </c>
      <c r="O357" t="s">
        <v>736</v>
      </c>
      <c r="P357">
        <v>2278718</v>
      </c>
      <c r="Q357" t="s">
        <v>38</v>
      </c>
      <c r="R357">
        <v>415677</v>
      </c>
      <c r="S357" t="s">
        <v>84</v>
      </c>
      <c r="T357" s="2">
        <v>1</v>
      </c>
      <c r="U357">
        <v>0</v>
      </c>
      <c r="V357" t="s">
        <v>153</v>
      </c>
      <c r="W357">
        <v>0</v>
      </c>
      <c r="X357">
        <v>0</v>
      </c>
      <c r="Y357">
        <v>0</v>
      </c>
      <c r="Z357" t="s">
        <v>9</v>
      </c>
      <c r="AA357" t="s">
        <v>2</v>
      </c>
      <c r="AB357" t="s">
        <v>10</v>
      </c>
      <c r="AC357">
        <v>0</v>
      </c>
      <c r="AD357">
        <v>0</v>
      </c>
      <c r="AE357">
        <v>726182084932</v>
      </c>
      <c r="AF357">
        <v>141.13999999999999</v>
      </c>
      <c r="AG357">
        <v>0</v>
      </c>
      <c r="AH357">
        <v>60.31</v>
      </c>
      <c r="AI357">
        <v>201.45</v>
      </c>
      <c r="AJ357" t="s">
        <v>2</v>
      </c>
      <c r="AK357" t="s">
        <v>11</v>
      </c>
    </row>
    <row r="358" spans="1:37">
      <c r="A358">
        <v>257732</v>
      </c>
      <c r="B358" s="1">
        <v>45366</v>
      </c>
      <c r="C358" t="s">
        <v>728</v>
      </c>
      <c r="D358" t="s">
        <v>729</v>
      </c>
      <c r="E358" t="s">
        <v>2</v>
      </c>
      <c r="F358" t="s">
        <v>730</v>
      </c>
      <c r="G358" t="s">
        <v>731</v>
      </c>
      <c r="H358">
        <v>18045</v>
      </c>
      <c r="I358" t="s">
        <v>809</v>
      </c>
      <c r="J358" t="s">
        <v>810</v>
      </c>
      <c r="K358" t="s">
        <v>2</v>
      </c>
      <c r="L358" t="s">
        <v>811</v>
      </c>
      <c r="M358" t="s">
        <v>731</v>
      </c>
      <c r="N358" t="s">
        <v>812</v>
      </c>
      <c r="O358" t="s">
        <v>736</v>
      </c>
      <c r="P358">
        <v>2278718</v>
      </c>
      <c r="Q358" t="s">
        <v>38</v>
      </c>
      <c r="R358">
        <v>415677</v>
      </c>
      <c r="S358" t="s">
        <v>84</v>
      </c>
      <c r="T358" s="2">
        <v>1</v>
      </c>
      <c r="U358">
        <v>0</v>
      </c>
      <c r="V358" t="s">
        <v>153</v>
      </c>
      <c r="W358">
        <v>1</v>
      </c>
      <c r="X358">
        <v>1</v>
      </c>
      <c r="Y358">
        <v>0</v>
      </c>
      <c r="Z358" t="s">
        <v>813</v>
      </c>
      <c r="AA358" t="s">
        <v>814</v>
      </c>
      <c r="AB358" t="s">
        <v>14</v>
      </c>
      <c r="AC358">
        <v>141.13999999999999</v>
      </c>
      <c r="AD358">
        <v>141.13999999999999</v>
      </c>
      <c r="AE358">
        <v>726182084932</v>
      </c>
      <c r="AF358">
        <v>141.13999999999999</v>
      </c>
      <c r="AG358">
        <v>0</v>
      </c>
      <c r="AH358">
        <v>60.31</v>
      </c>
      <c r="AI358">
        <v>201.45</v>
      </c>
      <c r="AJ358" t="s">
        <v>2</v>
      </c>
      <c r="AK358" t="s">
        <v>11</v>
      </c>
    </row>
    <row r="359" spans="1:37">
      <c r="A359">
        <v>257732</v>
      </c>
      <c r="B359" s="1">
        <v>45366</v>
      </c>
      <c r="C359" t="s">
        <v>728</v>
      </c>
      <c r="D359" t="s">
        <v>729</v>
      </c>
      <c r="E359" t="s">
        <v>2</v>
      </c>
      <c r="F359" t="s">
        <v>730</v>
      </c>
      <c r="G359" t="s">
        <v>731</v>
      </c>
      <c r="H359">
        <v>18045</v>
      </c>
      <c r="I359" t="s">
        <v>809</v>
      </c>
      <c r="J359" t="s">
        <v>810</v>
      </c>
      <c r="K359" t="s">
        <v>2</v>
      </c>
      <c r="L359" t="s">
        <v>811</v>
      </c>
      <c r="M359" t="s">
        <v>731</v>
      </c>
      <c r="N359" t="s">
        <v>812</v>
      </c>
      <c r="O359" t="s">
        <v>736</v>
      </c>
      <c r="P359">
        <v>2278718</v>
      </c>
      <c r="Q359" t="s">
        <v>38</v>
      </c>
      <c r="R359">
        <v>415677</v>
      </c>
      <c r="S359" t="s">
        <v>84</v>
      </c>
      <c r="T359" s="2">
        <v>1</v>
      </c>
      <c r="U359">
        <v>0</v>
      </c>
      <c r="V359" t="s">
        <v>153</v>
      </c>
      <c r="W359">
        <v>0</v>
      </c>
      <c r="X359">
        <v>0</v>
      </c>
      <c r="Y359">
        <v>0</v>
      </c>
      <c r="Z359" t="s">
        <v>88</v>
      </c>
      <c r="AA359" t="s">
        <v>240</v>
      </c>
      <c r="AB359" t="s">
        <v>10</v>
      </c>
      <c r="AC359">
        <v>0</v>
      </c>
      <c r="AD359">
        <v>0</v>
      </c>
      <c r="AE359">
        <v>726182084932</v>
      </c>
      <c r="AF359">
        <v>141.13999999999999</v>
      </c>
      <c r="AG359">
        <v>0</v>
      </c>
      <c r="AH359">
        <v>60.31</v>
      </c>
      <c r="AI359">
        <v>201.45</v>
      </c>
      <c r="AJ359" t="s">
        <v>2</v>
      </c>
      <c r="AK359" t="s">
        <v>11</v>
      </c>
    </row>
    <row r="360" spans="1:37">
      <c r="A360">
        <v>257733</v>
      </c>
      <c r="B360" s="1">
        <v>45366</v>
      </c>
      <c r="C360" t="s">
        <v>815</v>
      </c>
      <c r="D360" t="s">
        <v>816</v>
      </c>
      <c r="E360" t="s">
        <v>817</v>
      </c>
      <c r="F360" t="s">
        <v>818</v>
      </c>
      <c r="G360" t="s">
        <v>587</v>
      </c>
      <c r="H360">
        <v>46268</v>
      </c>
      <c r="I360" t="s">
        <v>819</v>
      </c>
      <c r="J360" t="s">
        <v>820</v>
      </c>
      <c r="K360" t="s">
        <v>2</v>
      </c>
      <c r="L360" t="s">
        <v>821</v>
      </c>
      <c r="M360" t="s">
        <v>587</v>
      </c>
      <c r="N360" t="s">
        <v>822</v>
      </c>
      <c r="O360" t="s">
        <v>823</v>
      </c>
      <c r="P360">
        <v>2278741</v>
      </c>
      <c r="Q360" t="s">
        <v>38</v>
      </c>
      <c r="R360">
        <v>415692</v>
      </c>
      <c r="S360" t="s">
        <v>84</v>
      </c>
      <c r="T360" s="2">
        <v>1</v>
      </c>
      <c r="U360">
        <v>0</v>
      </c>
      <c r="V360" t="s">
        <v>153</v>
      </c>
      <c r="W360">
        <v>0</v>
      </c>
      <c r="X360">
        <v>0</v>
      </c>
      <c r="Y360">
        <v>0</v>
      </c>
      <c r="Z360" t="s">
        <v>9</v>
      </c>
      <c r="AA360" t="s">
        <v>2</v>
      </c>
      <c r="AB360" t="s">
        <v>10</v>
      </c>
      <c r="AC360">
        <v>0</v>
      </c>
      <c r="AD360">
        <v>0</v>
      </c>
      <c r="AE360">
        <v>726182084943</v>
      </c>
      <c r="AF360">
        <v>213.59</v>
      </c>
      <c r="AG360">
        <v>0</v>
      </c>
      <c r="AH360">
        <v>39.86</v>
      </c>
      <c r="AI360">
        <v>253.45</v>
      </c>
      <c r="AJ360" t="s">
        <v>2</v>
      </c>
      <c r="AK360" t="s">
        <v>11</v>
      </c>
    </row>
    <row r="361" spans="1:37">
      <c r="A361">
        <v>257733</v>
      </c>
      <c r="B361" s="1">
        <v>45366</v>
      </c>
      <c r="C361" t="s">
        <v>815</v>
      </c>
      <c r="D361" t="s">
        <v>816</v>
      </c>
      <c r="E361" t="s">
        <v>817</v>
      </c>
      <c r="F361" t="s">
        <v>818</v>
      </c>
      <c r="G361" t="s">
        <v>587</v>
      </c>
      <c r="H361">
        <v>46268</v>
      </c>
      <c r="I361" t="s">
        <v>819</v>
      </c>
      <c r="J361" t="s">
        <v>820</v>
      </c>
      <c r="K361" t="s">
        <v>2</v>
      </c>
      <c r="L361" t="s">
        <v>821</v>
      </c>
      <c r="M361" t="s">
        <v>587</v>
      </c>
      <c r="N361" t="s">
        <v>822</v>
      </c>
      <c r="O361" t="s">
        <v>823</v>
      </c>
      <c r="P361">
        <v>2278741</v>
      </c>
      <c r="Q361" t="s">
        <v>38</v>
      </c>
      <c r="R361">
        <v>415692</v>
      </c>
      <c r="S361" t="s">
        <v>84</v>
      </c>
      <c r="T361" s="2">
        <v>1</v>
      </c>
      <c r="U361">
        <v>0</v>
      </c>
      <c r="V361" t="s">
        <v>153</v>
      </c>
      <c r="W361">
        <v>1</v>
      </c>
      <c r="X361">
        <v>1</v>
      </c>
      <c r="Y361">
        <v>0</v>
      </c>
      <c r="Z361" t="s">
        <v>824</v>
      </c>
      <c r="AA361" t="s">
        <v>825</v>
      </c>
      <c r="AB361" t="s">
        <v>14</v>
      </c>
      <c r="AC361">
        <v>213.59</v>
      </c>
      <c r="AD361">
        <v>213.59</v>
      </c>
      <c r="AE361">
        <v>726182084943</v>
      </c>
      <c r="AF361">
        <v>213.59</v>
      </c>
      <c r="AG361">
        <v>0</v>
      </c>
      <c r="AH361">
        <v>39.86</v>
      </c>
      <c r="AI361">
        <v>253.45</v>
      </c>
      <c r="AJ361" t="s">
        <v>2</v>
      </c>
      <c r="AK361" t="s">
        <v>11</v>
      </c>
    </row>
    <row r="362" spans="1:37">
      <c r="A362">
        <v>257733</v>
      </c>
      <c r="B362" s="1">
        <v>45366</v>
      </c>
      <c r="C362" t="s">
        <v>815</v>
      </c>
      <c r="D362" t="s">
        <v>816</v>
      </c>
      <c r="E362" t="s">
        <v>817</v>
      </c>
      <c r="F362" t="s">
        <v>818</v>
      </c>
      <c r="G362" t="s">
        <v>587</v>
      </c>
      <c r="H362">
        <v>46268</v>
      </c>
      <c r="I362" t="s">
        <v>819</v>
      </c>
      <c r="J362" t="s">
        <v>820</v>
      </c>
      <c r="K362" t="s">
        <v>2</v>
      </c>
      <c r="L362" t="s">
        <v>821</v>
      </c>
      <c r="M362" t="s">
        <v>587</v>
      </c>
      <c r="N362" t="s">
        <v>822</v>
      </c>
      <c r="O362" t="s">
        <v>823</v>
      </c>
      <c r="P362">
        <v>2278741</v>
      </c>
      <c r="Q362" t="s">
        <v>38</v>
      </c>
      <c r="R362">
        <v>415692</v>
      </c>
      <c r="S362" t="s">
        <v>84</v>
      </c>
      <c r="T362" s="2">
        <v>1</v>
      </c>
      <c r="U362">
        <v>0</v>
      </c>
      <c r="V362" t="s">
        <v>153</v>
      </c>
      <c r="W362">
        <v>0</v>
      </c>
      <c r="X362">
        <v>0</v>
      </c>
      <c r="Y362">
        <v>0</v>
      </c>
      <c r="Z362" t="s">
        <v>88</v>
      </c>
      <c r="AA362" t="s">
        <v>196</v>
      </c>
      <c r="AB362" t="s">
        <v>10</v>
      </c>
      <c r="AC362">
        <v>0</v>
      </c>
      <c r="AD362">
        <v>0</v>
      </c>
      <c r="AE362">
        <v>726182084943</v>
      </c>
      <c r="AF362">
        <v>213.59</v>
      </c>
      <c r="AG362">
        <v>0</v>
      </c>
      <c r="AH362">
        <v>39.86</v>
      </c>
      <c r="AI362">
        <v>253.45</v>
      </c>
      <c r="AJ362" t="s">
        <v>2</v>
      </c>
      <c r="AK362" t="s">
        <v>11</v>
      </c>
    </row>
    <row r="363" spans="1:37">
      <c r="A363">
        <v>257734</v>
      </c>
      <c r="B363" s="1">
        <v>45366</v>
      </c>
      <c r="C363" t="s">
        <v>826</v>
      </c>
      <c r="D363" t="s">
        <v>827</v>
      </c>
      <c r="E363" t="s">
        <v>2</v>
      </c>
      <c r="F363" t="s">
        <v>828</v>
      </c>
      <c r="G363" t="s">
        <v>103</v>
      </c>
      <c r="H363">
        <v>11211</v>
      </c>
      <c r="I363" t="s">
        <v>829</v>
      </c>
      <c r="J363" t="s">
        <v>830</v>
      </c>
      <c r="K363" t="s">
        <v>2</v>
      </c>
      <c r="L363" t="s">
        <v>831</v>
      </c>
      <c r="M363" t="s">
        <v>624</v>
      </c>
      <c r="N363">
        <v>50126</v>
      </c>
      <c r="O363" t="s">
        <v>832</v>
      </c>
      <c r="P363">
        <v>36532</v>
      </c>
      <c r="Q363" t="s">
        <v>21</v>
      </c>
      <c r="R363">
        <v>415629</v>
      </c>
      <c r="S363" t="s">
        <v>84</v>
      </c>
      <c r="T363" s="2">
        <v>1</v>
      </c>
      <c r="U363">
        <v>0</v>
      </c>
      <c r="V363" t="s">
        <v>260</v>
      </c>
      <c r="W363">
        <v>0</v>
      </c>
      <c r="X363">
        <v>0</v>
      </c>
      <c r="Y363">
        <v>0</v>
      </c>
      <c r="Z363" t="s">
        <v>9</v>
      </c>
      <c r="AA363" t="s">
        <v>2</v>
      </c>
      <c r="AB363" t="s">
        <v>10</v>
      </c>
      <c r="AC363">
        <v>0</v>
      </c>
      <c r="AD363">
        <v>0</v>
      </c>
      <c r="AE363">
        <v>726182085001</v>
      </c>
      <c r="AF363">
        <v>175.77</v>
      </c>
      <c r="AG363">
        <v>0</v>
      </c>
      <c r="AH363">
        <v>34.159999999999997</v>
      </c>
      <c r="AI363">
        <v>209.93</v>
      </c>
      <c r="AJ363" t="s">
        <v>2</v>
      </c>
      <c r="AK363" t="s">
        <v>11</v>
      </c>
    </row>
    <row r="364" spans="1:37">
      <c r="A364">
        <v>257734</v>
      </c>
      <c r="B364" s="1">
        <v>45366</v>
      </c>
      <c r="C364" t="s">
        <v>826</v>
      </c>
      <c r="D364" t="s">
        <v>827</v>
      </c>
      <c r="E364" t="s">
        <v>2</v>
      </c>
      <c r="F364" t="s">
        <v>828</v>
      </c>
      <c r="G364" t="s">
        <v>103</v>
      </c>
      <c r="H364">
        <v>11211</v>
      </c>
      <c r="I364" t="s">
        <v>829</v>
      </c>
      <c r="J364" t="s">
        <v>830</v>
      </c>
      <c r="K364" t="s">
        <v>2</v>
      </c>
      <c r="L364" t="s">
        <v>831</v>
      </c>
      <c r="M364" t="s">
        <v>624</v>
      </c>
      <c r="N364">
        <v>50126</v>
      </c>
      <c r="O364" t="s">
        <v>832</v>
      </c>
      <c r="P364">
        <v>36532</v>
      </c>
      <c r="Q364" t="s">
        <v>21</v>
      </c>
      <c r="R364">
        <v>415629</v>
      </c>
      <c r="S364" t="s">
        <v>84</v>
      </c>
      <c r="T364" s="2">
        <v>1</v>
      </c>
      <c r="U364">
        <v>0</v>
      </c>
      <c r="V364" t="s">
        <v>260</v>
      </c>
      <c r="W364">
        <v>1</v>
      </c>
      <c r="X364">
        <v>1</v>
      </c>
      <c r="Y364">
        <v>0</v>
      </c>
      <c r="Z364" t="s">
        <v>833</v>
      </c>
      <c r="AA364" t="s">
        <v>834</v>
      </c>
      <c r="AB364" t="s">
        <v>14</v>
      </c>
      <c r="AC364">
        <v>175.77010000000001</v>
      </c>
      <c r="AD364">
        <v>175.77</v>
      </c>
      <c r="AE364">
        <v>726182085001</v>
      </c>
      <c r="AF364">
        <v>175.77</v>
      </c>
      <c r="AG364">
        <v>0</v>
      </c>
      <c r="AH364">
        <v>34.159999999999997</v>
      </c>
      <c r="AI364">
        <v>209.93</v>
      </c>
      <c r="AJ364" t="s">
        <v>2</v>
      </c>
      <c r="AK364" t="s">
        <v>11</v>
      </c>
    </row>
    <row r="365" spans="1:37">
      <c r="A365">
        <v>257734</v>
      </c>
      <c r="B365" s="1">
        <v>45366</v>
      </c>
      <c r="C365" t="s">
        <v>826</v>
      </c>
      <c r="D365" t="s">
        <v>827</v>
      </c>
      <c r="E365" t="s">
        <v>2</v>
      </c>
      <c r="F365" t="s">
        <v>828</v>
      </c>
      <c r="G365" t="s">
        <v>103</v>
      </c>
      <c r="H365">
        <v>11211</v>
      </c>
      <c r="I365" t="s">
        <v>829</v>
      </c>
      <c r="J365" t="s">
        <v>830</v>
      </c>
      <c r="K365" t="s">
        <v>2</v>
      </c>
      <c r="L365" t="s">
        <v>831</v>
      </c>
      <c r="M365" t="s">
        <v>624</v>
      </c>
      <c r="N365">
        <v>50126</v>
      </c>
      <c r="O365" t="s">
        <v>832</v>
      </c>
      <c r="P365">
        <v>36532</v>
      </c>
      <c r="Q365" t="s">
        <v>21</v>
      </c>
      <c r="R365">
        <v>415629</v>
      </c>
      <c r="S365" t="s">
        <v>84</v>
      </c>
      <c r="T365" s="2">
        <v>1</v>
      </c>
      <c r="U365">
        <v>0</v>
      </c>
      <c r="V365" t="s">
        <v>260</v>
      </c>
      <c r="W365">
        <v>0</v>
      </c>
      <c r="X365">
        <v>0</v>
      </c>
      <c r="Y365">
        <v>0</v>
      </c>
      <c r="Z365" t="s">
        <v>88</v>
      </c>
      <c r="AA365" t="s">
        <v>107</v>
      </c>
      <c r="AB365" t="s">
        <v>10</v>
      </c>
      <c r="AC365">
        <v>0</v>
      </c>
      <c r="AD365">
        <v>0</v>
      </c>
      <c r="AE365">
        <v>726182085001</v>
      </c>
      <c r="AF365">
        <v>175.77</v>
      </c>
      <c r="AG365">
        <v>0</v>
      </c>
      <c r="AH365">
        <v>34.159999999999997</v>
      </c>
      <c r="AI365">
        <v>209.93</v>
      </c>
      <c r="AJ365" t="s">
        <v>2</v>
      </c>
      <c r="AK365" t="s">
        <v>11</v>
      </c>
    </row>
    <row r="366" spans="1:37">
      <c r="A366">
        <v>257735</v>
      </c>
      <c r="B366" s="1">
        <v>45366</v>
      </c>
      <c r="C366" t="s">
        <v>835</v>
      </c>
      <c r="D366" t="s">
        <v>836</v>
      </c>
      <c r="E366" t="s">
        <v>2</v>
      </c>
      <c r="F366" t="s">
        <v>837</v>
      </c>
      <c r="G366" t="s">
        <v>767</v>
      </c>
      <c r="H366">
        <v>38118</v>
      </c>
      <c r="I366" t="s">
        <v>838</v>
      </c>
      <c r="J366" t="s">
        <v>839</v>
      </c>
      <c r="K366" t="s">
        <v>840</v>
      </c>
      <c r="L366" t="s">
        <v>837</v>
      </c>
      <c r="M366" t="s">
        <v>767</v>
      </c>
      <c r="N366">
        <v>38104</v>
      </c>
      <c r="O366" t="s">
        <v>841</v>
      </c>
      <c r="P366">
        <v>960574</v>
      </c>
      <c r="Q366" t="s">
        <v>21</v>
      </c>
      <c r="R366">
        <v>415718</v>
      </c>
      <c r="S366" t="s">
        <v>84</v>
      </c>
      <c r="T366" s="2">
        <v>2</v>
      </c>
      <c r="U366">
        <v>0</v>
      </c>
      <c r="V366" t="s">
        <v>236</v>
      </c>
      <c r="W366">
        <v>0</v>
      </c>
      <c r="X366">
        <v>0</v>
      </c>
      <c r="Y366">
        <v>0</v>
      </c>
      <c r="Z366" t="s">
        <v>9</v>
      </c>
      <c r="AA366" t="s">
        <v>2</v>
      </c>
      <c r="AB366" t="s">
        <v>10</v>
      </c>
      <c r="AC366">
        <v>0</v>
      </c>
      <c r="AD366">
        <v>0</v>
      </c>
      <c r="AE366">
        <v>706810567390</v>
      </c>
      <c r="AF366">
        <v>859.24</v>
      </c>
      <c r="AG366">
        <v>0</v>
      </c>
      <c r="AH366">
        <v>65</v>
      </c>
      <c r="AI366">
        <v>924.24</v>
      </c>
      <c r="AJ366" t="s">
        <v>2</v>
      </c>
      <c r="AK366" t="s">
        <v>11</v>
      </c>
    </row>
    <row r="367" spans="1:37">
      <c r="A367">
        <v>257735</v>
      </c>
      <c r="B367" s="1">
        <v>45366</v>
      </c>
      <c r="C367" t="s">
        <v>835</v>
      </c>
      <c r="D367" t="s">
        <v>836</v>
      </c>
      <c r="E367" t="s">
        <v>2</v>
      </c>
      <c r="F367" t="s">
        <v>837</v>
      </c>
      <c r="G367" t="s">
        <v>767</v>
      </c>
      <c r="H367">
        <v>38118</v>
      </c>
      <c r="I367" t="s">
        <v>838</v>
      </c>
      <c r="J367" t="s">
        <v>839</v>
      </c>
      <c r="K367" t="s">
        <v>840</v>
      </c>
      <c r="L367" t="s">
        <v>837</v>
      </c>
      <c r="M367" t="s">
        <v>767</v>
      </c>
      <c r="N367">
        <v>38104</v>
      </c>
      <c r="O367" t="s">
        <v>841</v>
      </c>
      <c r="P367">
        <v>960574</v>
      </c>
      <c r="Q367" t="s">
        <v>21</v>
      </c>
      <c r="R367">
        <v>415718</v>
      </c>
      <c r="S367" t="s">
        <v>84</v>
      </c>
      <c r="T367" s="2">
        <v>2</v>
      </c>
      <c r="U367">
        <v>0</v>
      </c>
      <c r="V367" t="s">
        <v>236</v>
      </c>
      <c r="W367">
        <v>1</v>
      </c>
      <c r="X367">
        <v>1</v>
      </c>
      <c r="Y367">
        <v>0</v>
      </c>
      <c r="Z367" t="s">
        <v>842</v>
      </c>
      <c r="AA367" t="s">
        <v>843</v>
      </c>
      <c r="AB367" t="s">
        <v>14</v>
      </c>
      <c r="AC367">
        <v>294.59519999999998</v>
      </c>
      <c r="AD367">
        <v>294.60000000000002</v>
      </c>
      <c r="AE367">
        <v>706810567390</v>
      </c>
      <c r="AF367">
        <v>859.24</v>
      </c>
      <c r="AG367">
        <v>0</v>
      </c>
      <c r="AH367">
        <v>65</v>
      </c>
      <c r="AI367">
        <v>924.24</v>
      </c>
      <c r="AJ367" t="s">
        <v>2</v>
      </c>
      <c r="AK367" t="s">
        <v>11</v>
      </c>
    </row>
    <row r="368" spans="1:37">
      <c r="A368">
        <v>257735</v>
      </c>
      <c r="B368" s="1">
        <v>45366</v>
      </c>
      <c r="C368" t="s">
        <v>835</v>
      </c>
      <c r="D368" t="s">
        <v>836</v>
      </c>
      <c r="E368" t="s">
        <v>2</v>
      </c>
      <c r="F368" t="s">
        <v>837</v>
      </c>
      <c r="G368" t="s">
        <v>767</v>
      </c>
      <c r="H368">
        <v>38118</v>
      </c>
      <c r="I368" t="s">
        <v>838</v>
      </c>
      <c r="J368" t="s">
        <v>839</v>
      </c>
      <c r="K368" t="s">
        <v>840</v>
      </c>
      <c r="L368" t="s">
        <v>837</v>
      </c>
      <c r="M368" t="s">
        <v>767</v>
      </c>
      <c r="N368">
        <v>38104</v>
      </c>
      <c r="O368" t="s">
        <v>841</v>
      </c>
      <c r="P368">
        <v>960574</v>
      </c>
      <c r="Q368" t="s">
        <v>21</v>
      </c>
      <c r="R368">
        <v>415718</v>
      </c>
      <c r="S368" t="s">
        <v>84</v>
      </c>
      <c r="T368" s="2">
        <v>2</v>
      </c>
      <c r="U368">
        <v>0</v>
      </c>
      <c r="V368" t="s">
        <v>236</v>
      </c>
      <c r="W368">
        <v>0</v>
      </c>
      <c r="X368">
        <v>0</v>
      </c>
      <c r="Y368">
        <v>0</v>
      </c>
      <c r="Z368" t="s">
        <v>88</v>
      </c>
      <c r="AA368" t="s">
        <v>844</v>
      </c>
      <c r="AB368" t="s">
        <v>10</v>
      </c>
      <c r="AC368">
        <v>0</v>
      </c>
      <c r="AD368">
        <v>0</v>
      </c>
      <c r="AE368">
        <v>706810567390</v>
      </c>
      <c r="AF368">
        <v>859.24</v>
      </c>
      <c r="AG368">
        <v>0</v>
      </c>
      <c r="AH368">
        <v>65</v>
      </c>
      <c r="AI368">
        <v>924.24</v>
      </c>
      <c r="AJ368" t="s">
        <v>2</v>
      </c>
      <c r="AK368" t="s">
        <v>11</v>
      </c>
    </row>
    <row r="369" spans="1:37">
      <c r="A369">
        <v>257735</v>
      </c>
      <c r="B369" s="1">
        <v>45366</v>
      </c>
      <c r="C369" t="s">
        <v>835</v>
      </c>
      <c r="D369" t="s">
        <v>836</v>
      </c>
      <c r="E369" t="s">
        <v>2</v>
      </c>
      <c r="F369" t="s">
        <v>837</v>
      </c>
      <c r="G369" t="s">
        <v>767</v>
      </c>
      <c r="H369">
        <v>38118</v>
      </c>
      <c r="I369" t="s">
        <v>838</v>
      </c>
      <c r="J369" t="s">
        <v>839</v>
      </c>
      <c r="K369" t="s">
        <v>840</v>
      </c>
      <c r="L369" t="s">
        <v>837</v>
      </c>
      <c r="M369" t="s">
        <v>767</v>
      </c>
      <c r="N369">
        <v>38104</v>
      </c>
      <c r="O369" t="s">
        <v>841</v>
      </c>
      <c r="P369">
        <v>960574</v>
      </c>
      <c r="Q369" t="s">
        <v>21</v>
      </c>
      <c r="R369">
        <v>415718</v>
      </c>
      <c r="S369" t="s">
        <v>84</v>
      </c>
      <c r="T369" s="2">
        <v>2</v>
      </c>
      <c r="U369">
        <v>0</v>
      </c>
      <c r="V369" t="s">
        <v>236</v>
      </c>
      <c r="W369">
        <v>1</v>
      </c>
      <c r="X369">
        <v>1</v>
      </c>
      <c r="Y369">
        <v>0</v>
      </c>
      <c r="Z369" t="s">
        <v>845</v>
      </c>
      <c r="AA369" t="s">
        <v>846</v>
      </c>
      <c r="AB369" t="s">
        <v>14</v>
      </c>
      <c r="AC369">
        <v>564.64080000000001</v>
      </c>
      <c r="AD369">
        <v>564.64</v>
      </c>
      <c r="AE369">
        <v>706810567390</v>
      </c>
      <c r="AF369">
        <v>859.24</v>
      </c>
      <c r="AG369">
        <v>0</v>
      </c>
      <c r="AH369">
        <v>65</v>
      </c>
      <c r="AI369">
        <v>924.24</v>
      </c>
      <c r="AJ369" t="s">
        <v>2</v>
      </c>
      <c r="AK369" t="s">
        <v>11</v>
      </c>
    </row>
    <row r="370" spans="1:37">
      <c r="A370">
        <v>257735</v>
      </c>
      <c r="B370" s="1">
        <v>45366</v>
      </c>
      <c r="C370" t="s">
        <v>835</v>
      </c>
      <c r="D370" t="s">
        <v>836</v>
      </c>
      <c r="E370" t="s">
        <v>2</v>
      </c>
      <c r="F370" t="s">
        <v>837</v>
      </c>
      <c r="G370" t="s">
        <v>767</v>
      </c>
      <c r="H370">
        <v>38118</v>
      </c>
      <c r="I370" t="s">
        <v>838</v>
      </c>
      <c r="J370" t="s">
        <v>839</v>
      </c>
      <c r="K370" t="s">
        <v>840</v>
      </c>
      <c r="L370" t="s">
        <v>837</v>
      </c>
      <c r="M370" t="s">
        <v>767</v>
      </c>
      <c r="N370">
        <v>38104</v>
      </c>
      <c r="O370" t="s">
        <v>841</v>
      </c>
      <c r="P370">
        <v>960574</v>
      </c>
      <c r="Q370" t="s">
        <v>21</v>
      </c>
      <c r="R370">
        <v>415718</v>
      </c>
      <c r="S370" t="s">
        <v>84</v>
      </c>
      <c r="T370" s="2">
        <v>2</v>
      </c>
      <c r="U370">
        <v>0</v>
      </c>
      <c r="V370" t="s">
        <v>236</v>
      </c>
      <c r="W370">
        <v>0</v>
      </c>
      <c r="X370">
        <v>0</v>
      </c>
      <c r="Y370">
        <v>0</v>
      </c>
      <c r="Z370" t="s">
        <v>88</v>
      </c>
      <c r="AA370" t="s">
        <v>844</v>
      </c>
      <c r="AB370" t="s">
        <v>10</v>
      </c>
      <c r="AC370">
        <v>0</v>
      </c>
      <c r="AD370">
        <v>0</v>
      </c>
      <c r="AE370">
        <v>706810567390</v>
      </c>
      <c r="AF370">
        <v>859.24</v>
      </c>
      <c r="AG370">
        <v>0</v>
      </c>
      <c r="AH370">
        <v>65</v>
      </c>
      <c r="AI370">
        <v>924.24</v>
      </c>
      <c r="AJ370" t="s">
        <v>2</v>
      </c>
      <c r="AK370" t="s">
        <v>11</v>
      </c>
    </row>
    <row r="371" spans="1:37">
      <c r="A371">
        <v>257736</v>
      </c>
      <c r="B371" s="1">
        <v>45366</v>
      </c>
      <c r="C371" t="s">
        <v>277</v>
      </c>
      <c r="D371" t="s">
        <v>278</v>
      </c>
      <c r="E371" t="s">
        <v>2</v>
      </c>
      <c r="F371" t="s">
        <v>279</v>
      </c>
      <c r="G371" t="s">
        <v>137</v>
      </c>
      <c r="H371">
        <v>90640</v>
      </c>
      <c r="I371" t="s">
        <v>280</v>
      </c>
      <c r="J371" t="s">
        <v>281</v>
      </c>
      <c r="K371" t="s">
        <v>2</v>
      </c>
      <c r="L371" t="s">
        <v>279</v>
      </c>
      <c r="M371" t="s">
        <v>137</v>
      </c>
      <c r="N371">
        <v>90640</v>
      </c>
      <c r="O371" t="s">
        <v>282</v>
      </c>
      <c r="P371" t="s">
        <v>847</v>
      </c>
      <c r="Q371" t="s">
        <v>46</v>
      </c>
      <c r="R371">
        <v>415723</v>
      </c>
      <c r="S371" t="s">
        <v>84</v>
      </c>
      <c r="T371" s="2">
        <v>2</v>
      </c>
      <c r="U371">
        <v>0</v>
      </c>
      <c r="V371" t="s">
        <v>284</v>
      </c>
      <c r="W371">
        <v>0</v>
      </c>
      <c r="X371">
        <v>0</v>
      </c>
      <c r="Y371">
        <v>0</v>
      </c>
      <c r="Z371" t="s">
        <v>9</v>
      </c>
      <c r="AA371" t="s">
        <v>2</v>
      </c>
      <c r="AB371" t="s">
        <v>10</v>
      </c>
      <c r="AC371">
        <v>0</v>
      </c>
      <c r="AD371">
        <v>0</v>
      </c>
      <c r="AE371">
        <v>726182085192</v>
      </c>
      <c r="AF371">
        <v>2007.86</v>
      </c>
      <c r="AG371">
        <v>0</v>
      </c>
      <c r="AH371">
        <v>0</v>
      </c>
      <c r="AI371">
        <v>2007.86</v>
      </c>
      <c r="AJ371" t="s">
        <v>2</v>
      </c>
      <c r="AK371" t="s">
        <v>11</v>
      </c>
    </row>
    <row r="372" spans="1:37">
      <c r="A372">
        <v>257736</v>
      </c>
      <c r="B372" s="1">
        <v>45366</v>
      </c>
      <c r="C372" t="s">
        <v>277</v>
      </c>
      <c r="D372" t="s">
        <v>278</v>
      </c>
      <c r="E372" t="s">
        <v>2</v>
      </c>
      <c r="F372" t="s">
        <v>279</v>
      </c>
      <c r="G372" t="s">
        <v>137</v>
      </c>
      <c r="H372">
        <v>90640</v>
      </c>
      <c r="I372" t="s">
        <v>280</v>
      </c>
      <c r="J372" t="s">
        <v>281</v>
      </c>
      <c r="K372" t="s">
        <v>2</v>
      </c>
      <c r="L372" t="s">
        <v>279</v>
      </c>
      <c r="M372" t="s">
        <v>137</v>
      </c>
      <c r="N372">
        <v>90640</v>
      </c>
      <c r="O372" t="s">
        <v>282</v>
      </c>
      <c r="P372" t="s">
        <v>847</v>
      </c>
      <c r="Q372" t="s">
        <v>46</v>
      </c>
      <c r="R372">
        <v>415723</v>
      </c>
      <c r="S372" t="s">
        <v>84</v>
      </c>
      <c r="T372" s="2">
        <v>2</v>
      </c>
      <c r="U372">
        <v>0</v>
      </c>
      <c r="V372" t="s">
        <v>284</v>
      </c>
      <c r="W372">
        <v>1</v>
      </c>
      <c r="X372">
        <v>1</v>
      </c>
      <c r="Y372">
        <v>0</v>
      </c>
      <c r="Z372" t="s">
        <v>848</v>
      </c>
      <c r="AA372" t="s">
        <v>849</v>
      </c>
      <c r="AB372" t="s">
        <v>14</v>
      </c>
      <c r="AC372">
        <v>1003.9309</v>
      </c>
      <c r="AD372">
        <v>1003.93</v>
      </c>
      <c r="AE372">
        <v>726182085192</v>
      </c>
      <c r="AF372">
        <v>2007.86</v>
      </c>
      <c r="AG372">
        <v>0</v>
      </c>
      <c r="AH372">
        <v>0</v>
      </c>
      <c r="AI372">
        <v>2007.86</v>
      </c>
      <c r="AJ372" t="s">
        <v>2</v>
      </c>
      <c r="AK372" t="s">
        <v>11</v>
      </c>
    </row>
    <row r="373" spans="1:37">
      <c r="A373">
        <v>257736</v>
      </c>
      <c r="B373" s="1">
        <v>45366</v>
      </c>
      <c r="C373" t="s">
        <v>277</v>
      </c>
      <c r="D373" t="s">
        <v>278</v>
      </c>
      <c r="E373" t="s">
        <v>2</v>
      </c>
      <c r="F373" t="s">
        <v>279</v>
      </c>
      <c r="G373" t="s">
        <v>137</v>
      </c>
      <c r="H373">
        <v>90640</v>
      </c>
      <c r="I373" t="s">
        <v>280</v>
      </c>
      <c r="J373" t="s">
        <v>281</v>
      </c>
      <c r="K373" t="s">
        <v>2</v>
      </c>
      <c r="L373" t="s">
        <v>279</v>
      </c>
      <c r="M373" t="s">
        <v>137</v>
      </c>
      <c r="N373">
        <v>90640</v>
      </c>
      <c r="O373" t="s">
        <v>282</v>
      </c>
      <c r="P373" t="s">
        <v>847</v>
      </c>
      <c r="Q373" t="s">
        <v>46</v>
      </c>
      <c r="R373">
        <v>415723</v>
      </c>
      <c r="S373" t="s">
        <v>84</v>
      </c>
      <c r="T373" s="2">
        <v>2</v>
      </c>
      <c r="U373">
        <v>0</v>
      </c>
      <c r="V373" t="s">
        <v>284</v>
      </c>
      <c r="W373">
        <v>0</v>
      </c>
      <c r="X373">
        <v>0</v>
      </c>
      <c r="Y373">
        <v>0</v>
      </c>
      <c r="Z373" t="s">
        <v>88</v>
      </c>
      <c r="AA373" t="s">
        <v>251</v>
      </c>
      <c r="AB373" t="s">
        <v>10</v>
      </c>
      <c r="AC373">
        <v>0</v>
      </c>
      <c r="AD373">
        <v>0</v>
      </c>
      <c r="AE373">
        <v>726182085192</v>
      </c>
      <c r="AF373">
        <v>2007.86</v>
      </c>
      <c r="AG373">
        <v>0</v>
      </c>
      <c r="AH373">
        <v>0</v>
      </c>
      <c r="AI373">
        <v>2007.86</v>
      </c>
      <c r="AJ373" t="s">
        <v>2</v>
      </c>
      <c r="AK373" t="s">
        <v>11</v>
      </c>
    </row>
    <row r="374" spans="1:37">
      <c r="A374">
        <v>257736</v>
      </c>
      <c r="B374" s="1">
        <v>45366</v>
      </c>
      <c r="C374" t="s">
        <v>277</v>
      </c>
      <c r="D374" t="s">
        <v>278</v>
      </c>
      <c r="E374" t="s">
        <v>2</v>
      </c>
      <c r="F374" t="s">
        <v>279</v>
      </c>
      <c r="G374" t="s">
        <v>137</v>
      </c>
      <c r="H374">
        <v>90640</v>
      </c>
      <c r="I374" t="s">
        <v>280</v>
      </c>
      <c r="J374" t="s">
        <v>281</v>
      </c>
      <c r="K374" t="s">
        <v>2</v>
      </c>
      <c r="L374" t="s">
        <v>279</v>
      </c>
      <c r="M374" t="s">
        <v>137</v>
      </c>
      <c r="N374">
        <v>90640</v>
      </c>
      <c r="O374" t="s">
        <v>282</v>
      </c>
      <c r="P374" t="s">
        <v>847</v>
      </c>
      <c r="Q374" t="s">
        <v>46</v>
      </c>
      <c r="R374">
        <v>415723</v>
      </c>
      <c r="S374" t="s">
        <v>84</v>
      </c>
      <c r="T374" s="2">
        <v>2</v>
      </c>
      <c r="U374">
        <v>0</v>
      </c>
      <c r="V374" t="s">
        <v>284</v>
      </c>
      <c r="W374">
        <v>1</v>
      </c>
      <c r="X374">
        <v>1</v>
      </c>
      <c r="Y374">
        <v>0</v>
      </c>
      <c r="Z374" t="s">
        <v>850</v>
      </c>
      <c r="AA374" t="s">
        <v>851</v>
      </c>
      <c r="AB374" t="s">
        <v>14</v>
      </c>
      <c r="AC374">
        <v>1003.9309</v>
      </c>
      <c r="AD374">
        <v>1003.93</v>
      </c>
      <c r="AE374">
        <v>726182085192</v>
      </c>
      <c r="AF374">
        <v>2007.86</v>
      </c>
      <c r="AG374">
        <v>0</v>
      </c>
      <c r="AH374">
        <v>0</v>
      </c>
      <c r="AI374">
        <v>2007.86</v>
      </c>
      <c r="AJ374" t="s">
        <v>2</v>
      </c>
      <c r="AK374" t="s">
        <v>11</v>
      </c>
    </row>
    <row r="375" spans="1:37">
      <c r="A375">
        <v>257736</v>
      </c>
      <c r="B375" s="1">
        <v>45366</v>
      </c>
      <c r="C375" t="s">
        <v>277</v>
      </c>
      <c r="D375" t="s">
        <v>278</v>
      </c>
      <c r="E375" t="s">
        <v>2</v>
      </c>
      <c r="F375" t="s">
        <v>279</v>
      </c>
      <c r="G375" t="s">
        <v>137</v>
      </c>
      <c r="H375">
        <v>90640</v>
      </c>
      <c r="I375" t="s">
        <v>280</v>
      </c>
      <c r="J375" t="s">
        <v>281</v>
      </c>
      <c r="K375" t="s">
        <v>2</v>
      </c>
      <c r="L375" t="s">
        <v>279</v>
      </c>
      <c r="M375" t="s">
        <v>137</v>
      </c>
      <c r="N375">
        <v>90640</v>
      </c>
      <c r="O375" t="s">
        <v>282</v>
      </c>
      <c r="P375" t="s">
        <v>847</v>
      </c>
      <c r="Q375" t="s">
        <v>46</v>
      </c>
      <c r="R375">
        <v>415723</v>
      </c>
      <c r="S375" t="s">
        <v>84</v>
      </c>
      <c r="T375" s="2">
        <v>2</v>
      </c>
      <c r="U375">
        <v>0</v>
      </c>
      <c r="V375" t="s">
        <v>284</v>
      </c>
      <c r="W375">
        <v>0</v>
      </c>
      <c r="X375">
        <v>0</v>
      </c>
      <c r="Y375">
        <v>0</v>
      </c>
      <c r="Z375" t="s">
        <v>88</v>
      </c>
      <c r="AA375" t="s">
        <v>251</v>
      </c>
      <c r="AB375" t="s">
        <v>10</v>
      </c>
      <c r="AC375">
        <v>0</v>
      </c>
      <c r="AD375">
        <v>0</v>
      </c>
      <c r="AE375">
        <v>726182085192</v>
      </c>
      <c r="AF375">
        <v>2007.86</v>
      </c>
      <c r="AG375">
        <v>0</v>
      </c>
      <c r="AH375">
        <v>0</v>
      </c>
      <c r="AI375">
        <v>2007.86</v>
      </c>
      <c r="AJ375" t="s">
        <v>2</v>
      </c>
      <c r="AK375" t="s">
        <v>11</v>
      </c>
    </row>
    <row r="376" spans="1:37">
      <c r="A376">
        <v>257736</v>
      </c>
      <c r="B376" s="1">
        <v>45366</v>
      </c>
      <c r="C376" t="s">
        <v>277</v>
      </c>
      <c r="D376" t="s">
        <v>278</v>
      </c>
      <c r="E376" t="s">
        <v>2</v>
      </c>
      <c r="F376" t="s">
        <v>279</v>
      </c>
      <c r="G376" t="s">
        <v>137</v>
      </c>
      <c r="H376">
        <v>90640</v>
      </c>
      <c r="I376" t="s">
        <v>280</v>
      </c>
      <c r="J376" t="s">
        <v>281</v>
      </c>
      <c r="K376" t="s">
        <v>2</v>
      </c>
      <c r="L376" t="s">
        <v>279</v>
      </c>
      <c r="M376" t="s">
        <v>137</v>
      </c>
      <c r="N376">
        <v>90640</v>
      </c>
      <c r="O376" t="s">
        <v>282</v>
      </c>
      <c r="P376" t="s">
        <v>847</v>
      </c>
      <c r="Q376" t="s">
        <v>46</v>
      </c>
      <c r="R376">
        <v>415723</v>
      </c>
      <c r="S376" t="s">
        <v>84</v>
      </c>
      <c r="T376" s="2">
        <v>2</v>
      </c>
      <c r="U376">
        <v>0</v>
      </c>
      <c r="V376" t="s">
        <v>284</v>
      </c>
      <c r="W376">
        <v>0</v>
      </c>
      <c r="X376">
        <v>0</v>
      </c>
      <c r="Y376">
        <v>0</v>
      </c>
      <c r="Z376" t="s">
        <v>88</v>
      </c>
      <c r="AA376" t="s">
        <v>2</v>
      </c>
      <c r="AB376" t="s">
        <v>10</v>
      </c>
      <c r="AC376">
        <v>0</v>
      </c>
      <c r="AD376">
        <v>0</v>
      </c>
      <c r="AE376">
        <v>726182085192</v>
      </c>
      <c r="AF376">
        <v>2007.86</v>
      </c>
      <c r="AG376">
        <v>0</v>
      </c>
      <c r="AH376">
        <v>0</v>
      </c>
      <c r="AI376">
        <v>2007.86</v>
      </c>
      <c r="AJ376" t="s">
        <v>2</v>
      </c>
      <c r="AK376" t="s">
        <v>11</v>
      </c>
    </row>
    <row r="377" spans="1:37">
      <c r="A377">
        <v>257736</v>
      </c>
      <c r="B377" s="1">
        <v>45366</v>
      </c>
      <c r="C377" t="s">
        <v>277</v>
      </c>
      <c r="D377" t="s">
        <v>278</v>
      </c>
      <c r="E377" t="s">
        <v>2</v>
      </c>
      <c r="F377" t="s">
        <v>279</v>
      </c>
      <c r="G377" t="s">
        <v>137</v>
      </c>
      <c r="H377">
        <v>90640</v>
      </c>
      <c r="I377" t="s">
        <v>280</v>
      </c>
      <c r="J377" t="s">
        <v>281</v>
      </c>
      <c r="K377" t="s">
        <v>2</v>
      </c>
      <c r="L377" t="s">
        <v>279</v>
      </c>
      <c r="M377" t="s">
        <v>137</v>
      </c>
      <c r="N377">
        <v>90640</v>
      </c>
      <c r="O377" t="s">
        <v>282</v>
      </c>
      <c r="P377" t="s">
        <v>847</v>
      </c>
      <c r="Q377" t="s">
        <v>46</v>
      </c>
      <c r="R377">
        <v>415723</v>
      </c>
      <c r="S377" t="s">
        <v>84</v>
      </c>
      <c r="T377" s="2">
        <v>2</v>
      </c>
      <c r="U377">
        <v>0</v>
      </c>
      <c r="V377" t="s">
        <v>284</v>
      </c>
      <c r="W377">
        <v>0</v>
      </c>
      <c r="X377">
        <v>0</v>
      </c>
      <c r="Y377">
        <v>0</v>
      </c>
      <c r="Z377" t="s">
        <v>88</v>
      </c>
      <c r="AA377" t="e">
        <f>-SPLIT ORDER</f>
        <v>#NAME?</v>
      </c>
      <c r="AB377" t="s">
        <v>10</v>
      </c>
      <c r="AC377">
        <v>0</v>
      </c>
      <c r="AD377">
        <v>0</v>
      </c>
      <c r="AE377">
        <v>726182085192</v>
      </c>
      <c r="AF377">
        <v>2007.86</v>
      </c>
      <c r="AG377">
        <v>0</v>
      </c>
      <c r="AH377">
        <v>0</v>
      </c>
      <c r="AI377">
        <v>2007.86</v>
      </c>
      <c r="AJ377" t="s">
        <v>2</v>
      </c>
      <c r="AK377" t="s">
        <v>11</v>
      </c>
    </row>
    <row r="378" spans="1:37">
      <c r="A378">
        <v>257736</v>
      </c>
      <c r="B378" s="1">
        <v>45366</v>
      </c>
      <c r="C378" t="s">
        <v>277</v>
      </c>
      <c r="D378" t="s">
        <v>278</v>
      </c>
      <c r="E378" t="s">
        <v>2</v>
      </c>
      <c r="F378" t="s">
        <v>279</v>
      </c>
      <c r="G378" t="s">
        <v>137</v>
      </c>
      <c r="H378">
        <v>90640</v>
      </c>
      <c r="I378" t="s">
        <v>280</v>
      </c>
      <c r="J378" t="s">
        <v>281</v>
      </c>
      <c r="K378" t="s">
        <v>2</v>
      </c>
      <c r="L378" t="s">
        <v>279</v>
      </c>
      <c r="M378" t="s">
        <v>137</v>
      </c>
      <c r="N378">
        <v>90640</v>
      </c>
      <c r="O378" t="s">
        <v>282</v>
      </c>
      <c r="P378" t="s">
        <v>847</v>
      </c>
      <c r="Q378" t="s">
        <v>46</v>
      </c>
      <c r="R378">
        <v>415723</v>
      </c>
      <c r="S378" t="s">
        <v>84</v>
      </c>
      <c r="T378" s="2">
        <v>2</v>
      </c>
      <c r="U378">
        <v>0</v>
      </c>
      <c r="V378" t="s">
        <v>284</v>
      </c>
      <c r="W378">
        <v>0</v>
      </c>
      <c r="X378">
        <v>0</v>
      </c>
      <c r="Y378">
        <v>0</v>
      </c>
      <c r="Z378" t="s">
        <v>88</v>
      </c>
      <c r="AA378" t="s">
        <v>852</v>
      </c>
      <c r="AB378" t="s">
        <v>10</v>
      </c>
      <c r="AC378">
        <v>0</v>
      </c>
      <c r="AD378">
        <v>0</v>
      </c>
      <c r="AE378">
        <v>726182085192</v>
      </c>
      <c r="AF378">
        <v>2007.86</v>
      </c>
      <c r="AG378">
        <v>0</v>
      </c>
      <c r="AH378">
        <v>0</v>
      </c>
      <c r="AI378">
        <v>2007.86</v>
      </c>
      <c r="AJ378" t="s">
        <v>2</v>
      </c>
      <c r="AK378" t="s">
        <v>11</v>
      </c>
    </row>
    <row r="379" spans="1:37">
      <c r="A379">
        <v>257737</v>
      </c>
      <c r="B379" s="1">
        <v>45366</v>
      </c>
      <c r="C379" t="s">
        <v>853</v>
      </c>
      <c r="D379" t="s">
        <v>854</v>
      </c>
      <c r="E379" t="s">
        <v>855</v>
      </c>
      <c r="F379" t="s">
        <v>856</v>
      </c>
      <c r="G379" t="s">
        <v>539</v>
      </c>
      <c r="H379">
        <v>28269</v>
      </c>
      <c r="I379" t="s">
        <v>857</v>
      </c>
      <c r="J379" t="s">
        <v>858</v>
      </c>
      <c r="K379" t="s">
        <v>2</v>
      </c>
      <c r="L379" t="s">
        <v>859</v>
      </c>
      <c r="M379" t="s">
        <v>539</v>
      </c>
      <c r="N379">
        <v>28412</v>
      </c>
      <c r="O379" t="s">
        <v>860</v>
      </c>
      <c r="P379" t="s">
        <v>861</v>
      </c>
      <c r="Q379" t="s">
        <v>21</v>
      </c>
      <c r="R379">
        <v>415597</v>
      </c>
      <c r="S379" t="s">
        <v>84</v>
      </c>
      <c r="T379" s="2">
        <v>1</v>
      </c>
      <c r="U379">
        <v>0</v>
      </c>
      <c r="V379" t="s">
        <v>260</v>
      </c>
      <c r="W379">
        <v>0</v>
      </c>
      <c r="X379">
        <v>0</v>
      </c>
      <c r="Y379">
        <v>0</v>
      </c>
      <c r="Z379" t="s">
        <v>9</v>
      </c>
      <c r="AA379" t="s">
        <v>2</v>
      </c>
      <c r="AB379" t="s">
        <v>10</v>
      </c>
      <c r="AC379">
        <v>0</v>
      </c>
      <c r="AD379">
        <v>0</v>
      </c>
      <c r="AE379">
        <v>726182085126</v>
      </c>
      <c r="AF379">
        <v>47.99</v>
      </c>
      <c r="AG379">
        <v>0</v>
      </c>
      <c r="AH379">
        <v>20.48</v>
      </c>
      <c r="AI379">
        <v>68.47</v>
      </c>
      <c r="AJ379" t="s">
        <v>2</v>
      </c>
      <c r="AK379" t="s">
        <v>11</v>
      </c>
    </row>
    <row r="380" spans="1:37">
      <c r="A380">
        <v>257737</v>
      </c>
      <c r="B380" s="1">
        <v>45366</v>
      </c>
      <c r="C380" t="s">
        <v>853</v>
      </c>
      <c r="D380" t="s">
        <v>854</v>
      </c>
      <c r="E380" t="s">
        <v>855</v>
      </c>
      <c r="F380" t="s">
        <v>856</v>
      </c>
      <c r="G380" t="s">
        <v>539</v>
      </c>
      <c r="H380">
        <v>28269</v>
      </c>
      <c r="I380" t="s">
        <v>857</v>
      </c>
      <c r="J380" t="s">
        <v>858</v>
      </c>
      <c r="K380" t="s">
        <v>2</v>
      </c>
      <c r="L380" t="s">
        <v>859</v>
      </c>
      <c r="M380" t="s">
        <v>539</v>
      </c>
      <c r="N380">
        <v>28412</v>
      </c>
      <c r="O380" t="s">
        <v>860</v>
      </c>
      <c r="P380" t="s">
        <v>861</v>
      </c>
      <c r="Q380" t="s">
        <v>21</v>
      </c>
      <c r="R380">
        <v>415597</v>
      </c>
      <c r="S380" t="s">
        <v>84</v>
      </c>
      <c r="T380" s="2">
        <v>1</v>
      </c>
      <c r="U380">
        <v>0</v>
      </c>
      <c r="V380" t="s">
        <v>260</v>
      </c>
      <c r="W380">
        <v>1</v>
      </c>
      <c r="X380">
        <v>1</v>
      </c>
      <c r="Y380">
        <v>0</v>
      </c>
      <c r="Z380" t="s">
        <v>862</v>
      </c>
      <c r="AA380" t="s">
        <v>863</v>
      </c>
      <c r="AB380" t="s">
        <v>14</v>
      </c>
      <c r="AC380">
        <v>47.992199999999997</v>
      </c>
      <c r="AD380">
        <v>47.99</v>
      </c>
      <c r="AE380">
        <v>726182085126</v>
      </c>
      <c r="AF380">
        <v>47.99</v>
      </c>
      <c r="AG380">
        <v>0</v>
      </c>
      <c r="AH380">
        <v>20.48</v>
      </c>
      <c r="AI380">
        <v>68.47</v>
      </c>
      <c r="AJ380" t="s">
        <v>2</v>
      </c>
      <c r="AK380" t="s">
        <v>11</v>
      </c>
    </row>
    <row r="381" spans="1:37">
      <c r="A381">
        <v>257737</v>
      </c>
      <c r="B381" s="1">
        <v>45366</v>
      </c>
      <c r="C381" t="s">
        <v>853</v>
      </c>
      <c r="D381" t="s">
        <v>854</v>
      </c>
      <c r="E381" t="s">
        <v>855</v>
      </c>
      <c r="F381" t="s">
        <v>856</v>
      </c>
      <c r="G381" t="s">
        <v>539</v>
      </c>
      <c r="H381">
        <v>28269</v>
      </c>
      <c r="I381" t="s">
        <v>857</v>
      </c>
      <c r="J381" t="s">
        <v>858</v>
      </c>
      <c r="K381" t="s">
        <v>2</v>
      </c>
      <c r="L381" t="s">
        <v>859</v>
      </c>
      <c r="M381" t="s">
        <v>539</v>
      </c>
      <c r="N381">
        <v>28412</v>
      </c>
      <c r="O381" t="s">
        <v>860</v>
      </c>
      <c r="P381" t="s">
        <v>861</v>
      </c>
      <c r="Q381" t="s">
        <v>21</v>
      </c>
      <c r="R381">
        <v>415597</v>
      </c>
      <c r="S381" t="s">
        <v>84</v>
      </c>
      <c r="T381" s="2">
        <v>1</v>
      </c>
      <c r="U381">
        <v>0</v>
      </c>
      <c r="V381" t="s">
        <v>260</v>
      </c>
      <c r="W381">
        <v>0</v>
      </c>
      <c r="X381">
        <v>0</v>
      </c>
      <c r="Y381">
        <v>0</v>
      </c>
      <c r="Z381" t="s">
        <v>88</v>
      </c>
      <c r="AA381" t="s">
        <v>107</v>
      </c>
      <c r="AB381" t="s">
        <v>10</v>
      </c>
      <c r="AC381">
        <v>0</v>
      </c>
      <c r="AD381">
        <v>0</v>
      </c>
      <c r="AE381">
        <v>726182085126</v>
      </c>
      <c r="AF381">
        <v>47.99</v>
      </c>
      <c r="AG381">
        <v>0</v>
      </c>
      <c r="AH381">
        <v>20.48</v>
      </c>
      <c r="AI381">
        <v>68.47</v>
      </c>
      <c r="AJ381" t="s">
        <v>2</v>
      </c>
      <c r="AK381" t="s">
        <v>11</v>
      </c>
    </row>
    <row r="382" spans="1:37">
      <c r="A382">
        <v>257738</v>
      </c>
      <c r="B382" s="1">
        <v>45366</v>
      </c>
      <c r="C382" t="s">
        <v>64</v>
      </c>
      <c r="D382" t="s">
        <v>65</v>
      </c>
      <c r="E382" t="s">
        <v>2</v>
      </c>
      <c r="F382" t="s">
        <v>66</v>
      </c>
      <c r="G382" t="s">
        <v>67</v>
      </c>
      <c r="H382">
        <v>75224</v>
      </c>
      <c r="I382" t="s">
        <v>864</v>
      </c>
      <c r="J382" t="s">
        <v>865</v>
      </c>
      <c r="K382" t="s">
        <v>2</v>
      </c>
      <c r="L382" t="s">
        <v>866</v>
      </c>
      <c r="M382" t="s">
        <v>67</v>
      </c>
      <c r="N382">
        <v>77076</v>
      </c>
      <c r="O382" t="s">
        <v>68</v>
      </c>
      <c r="P382" t="s">
        <v>867</v>
      </c>
      <c r="Q382" t="s">
        <v>6</v>
      </c>
      <c r="R382">
        <v>415605</v>
      </c>
      <c r="S382" t="s">
        <v>84</v>
      </c>
      <c r="T382" s="2">
        <v>1</v>
      </c>
      <c r="U382">
        <v>0</v>
      </c>
      <c r="V382" t="s">
        <v>260</v>
      </c>
      <c r="W382">
        <v>0</v>
      </c>
      <c r="X382">
        <v>0</v>
      </c>
      <c r="Y382">
        <v>0</v>
      </c>
      <c r="Z382" t="s">
        <v>9</v>
      </c>
      <c r="AA382" t="s">
        <v>2</v>
      </c>
      <c r="AB382" t="s">
        <v>10</v>
      </c>
      <c r="AC382">
        <v>0</v>
      </c>
      <c r="AD382">
        <v>0</v>
      </c>
      <c r="AE382">
        <v>726182085090</v>
      </c>
      <c r="AF382">
        <v>217.23</v>
      </c>
      <c r="AG382">
        <v>0</v>
      </c>
      <c r="AH382">
        <v>55.17</v>
      </c>
      <c r="AI382">
        <v>272.39999999999998</v>
      </c>
      <c r="AJ382" t="s">
        <v>2</v>
      </c>
      <c r="AK382" t="s">
        <v>11</v>
      </c>
    </row>
    <row r="383" spans="1:37">
      <c r="A383">
        <v>257738</v>
      </c>
      <c r="B383" s="1">
        <v>45366</v>
      </c>
      <c r="C383" t="s">
        <v>64</v>
      </c>
      <c r="D383" t="s">
        <v>65</v>
      </c>
      <c r="E383" t="s">
        <v>2</v>
      </c>
      <c r="F383" t="s">
        <v>66</v>
      </c>
      <c r="G383" t="s">
        <v>67</v>
      </c>
      <c r="H383">
        <v>75224</v>
      </c>
      <c r="I383" t="s">
        <v>864</v>
      </c>
      <c r="J383" t="s">
        <v>865</v>
      </c>
      <c r="K383" t="s">
        <v>2</v>
      </c>
      <c r="L383" t="s">
        <v>866</v>
      </c>
      <c r="M383" t="s">
        <v>67</v>
      </c>
      <c r="N383">
        <v>77076</v>
      </c>
      <c r="O383" t="s">
        <v>68</v>
      </c>
      <c r="P383" t="s">
        <v>867</v>
      </c>
      <c r="Q383" t="s">
        <v>6</v>
      </c>
      <c r="R383">
        <v>415605</v>
      </c>
      <c r="S383" t="s">
        <v>84</v>
      </c>
      <c r="T383" s="2">
        <v>1</v>
      </c>
      <c r="U383">
        <v>0</v>
      </c>
      <c r="V383" t="s">
        <v>260</v>
      </c>
      <c r="W383">
        <v>1</v>
      </c>
      <c r="X383">
        <v>1</v>
      </c>
      <c r="Y383">
        <v>0</v>
      </c>
      <c r="Z383" t="s">
        <v>824</v>
      </c>
      <c r="AA383" t="s">
        <v>825</v>
      </c>
      <c r="AB383" t="s">
        <v>14</v>
      </c>
      <c r="AC383">
        <v>217.2269</v>
      </c>
      <c r="AD383">
        <v>217.23</v>
      </c>
      <c r="AE383">
        <v>726182085090</v>
      </c>
      <c r="AF383">
        <v>217.23</v>
      </c>
      <c r="AG383">
        <v>0</v>
      </c>
      <c r="AH383">
        <v>55.17</v>
      </c>
      <c r="AI383">
        <v>272.39999999999998</v>
      </c>
      <c r="AJ383" t="s">
        <v>2</v>
      </c>
      <c r="AK383" t="s">
        <v>11</v>
      </c>
    </row>
    <row r="384" spans="1:37">
      <c r="A384">
        <v>257738</v>
      </c>
      <c r="B384" s="1">
        <v>45366</v>
      </c>
      <c r="C384" t="s">
        <v>64</v>
      </c>
      <c r="D384" t="s">
        <v>65</v>
      </c>
      <c r="E384" t="s">
        <v>2</v>
      </c>
      <c r="F384" t="s">
        <v>66</v>
      </c>
      <c r="G384" t="s">
        <v>67</v>
      </c>
      <c r="H384">
        <v>75224</v>
      </c>
      <c r="I384" t="s">
        <v>864</v>
      </c>
      <c r="J384" t="s">
        <v>865</v>
      </c>
      <c r="K384" t="s">
        <v>2</v>
      </c>
      <c r="L384" t="s">
        <v>866</v>
      </c>
      <c r="M384" t="s">
        <v>67</v>
      </c>
      <c r="N384">
        <v>77076</v>
      </c>
      <c r="O384" t="s">
        <v>68</v>
      </c>
      <c r="P384" t="s">
        <v>867</v>
      </c>
      <c r="Q384" t="s">
        <v>6</v>
      </c>
      <c r="R384">
        <v>415605</v>
      </c>
      <c r="S384" t="s">
        <v>84</v>
      </c>
      <c r="T384" s="2">
        <v>1</v>
      </c>
      <c r="U384">
        <v>0</v>
      </c>
      <c r="V384" t="s">
        <v>260</v>
      </c>
      <c r="W384">
        <v>0</v>
      </c>
      <c r="X384">
        <v>0</v>
      </c>
      <c r="Y384">
        <v>0</v>
      </c>
      <c r="Z384" t="s">
        <v>88</v>
      </c>
      <c r="AA384" t="s">
        <v>196</v>
      </c>
      <c r="AB384" t="s">
        <v>10</v>
      </c>
      <c r="AC384">
        <v>0</v>
      </c>
      <c r="AD384">
        <v>0</v>
      </c>
      <c r="AE384">
        <v>726182085090</v>
      </c>
      <c r="AF384">
        <v>217.23</v>
      </c>
      <c r="AG384">
        <v>0</v>
      </c>
      <c r="AH384">
        <v>55.17</v>
      </c>
      <c r="AI384">
        <v>272.39999999999998</v>
      </c>
      <c r="AJ384" t="s">
        <v>2</v>
      </c>
      <c r="AK384" t="s">
        <v>11</v>
      </c>
    </row>
    <row r="385" spans="1:37">
      <c r="A385">
        <v>257739</v>
      </c>
      <c r="B385" s="1">
        <v>45366</v>
      </c>
      <c r="C385" t="s">
        <v>868</v>
      </c>
      <c r="D385" t="s">
        <v>869</v>
      </c>
      <c r="E385" t="s">
        <v>2</v>
      </c>
      <c r="F385" t="s">
        <v>856</v>
      </c>
      <c r="G385" t="s">
        <v>539</v>
      </c>
      <c r="H385">
        <v>28217</v>
      </c>
      <c r="I385" t="s">
        <v>870</v>
      </c>
      <c r="J385" t="s">
        <v>871</v>
      </c>
      <c r="K385" t="s">
        <v>872</v>
      </c>
      <c r="L385" t="s">
        <v>873</v>
      </c>
      <c r="M385" t="s">
        <v>539</v>
      </c>
      <c r="N385">
        <v>28334</v>
      </c>
      <c r="O385" t="s">
        <v>874</v>
      </c>
      <c r="P385">
        <v>960529</v>
      </c>
      <c r="Q385" t="s">
        <v>21</v>
      </c>
      <c r="R385">
        <v>415635</v>
      </c>
      <c r="S385" t="s">
        <v>84</v>
      </c>
      <c r="T385" s="2">
        <v>2</v>
      </c>
      <c r="U385">
        <v>0</v>
      </c>
      <c r="V385" t="s">
        <v>236</v>
      </c>
      <c r="W385">
        <v>0</v>
      </c>
      <c r="X385">
        <v>0</v>
      </c>
      <c r="Y385">
        <v>0</v>
      </c>
      <c r="Z385" t="s">
        <v>9</v>
      </c>
      <c r="AA385" t="s">
        <v>2</v>
      </c>
      <c r="AB385" t="s">
        <v>10</v>
      </c>
      <c r="AC385">
        <v>0</v>
      </c>
      <c r="AD385">
        <v>0</v>
      </c>
      <c r="AE385">
        <v>726182084998</v>
      </c>
      <c r="AF385">
        <v>724.8</v>
      </c>
      <c r="AG385">
        <v>0</v>
      </c>
      <c r="AH385">
        <v>49.27</v>
      </c>
      <c r="AI385">
        <v>774.07</v>
      </c>
      <c r="AJ385" t="s">
        <v>2</v>
      </c>
      <c r="AK385" t="s">
        <v>11</v>
      </c>
    </row>
    <row r="386" spans="1:37">
      <c r="A386">
        <v>257739</v>
      </c>
      <c r="B386" s="1">
        <v>45366</v>
      </c>
      <c r="C386" t="s">
        <v>868</v>
      </c>
      <c r="D386" t="s">
        <v>869</v>
      </c>
      <c r="E386" t="s">
        <v>2</v>
      </c>
      <c r="F386" t="s">
        <v>856</v>
      </c>
      <c r="G386" t="s">
        <v>539</v>
      </c>
      <c r="H386">
        <v>28217</v>
      </c>
      <c r="I386" t="s">
        <v>870</v>
      </c>
      <c r="J386" t="s">
        <v>871</v>
      </c>
      <c r="K386" t="s">
        <v>872</v>
      </c>
      <c r="L386" t="s">
        <v>873</v>
      </c>
      <c r="M386" t="s">
        <v>539</v>
      </c>
      <c r="N386">
        <v>28334</v>
      </c>
      <c r="O386" t="s">
        <v>874</v>
      </c>
      <c r="P386">
        <v>960529</v>
      </c>
      <c r="Q386" t="s">
        <v>21</v>
      </c>
      <c r="R386">
        <v>415635</v>
      </c>
      <c r="S386" t="s">
        <v>84</v>
      </c>
      <c r="T386" s="2">
        <v>2</v>
      </c>
      <c r="U386">
        <v>0</v>
      </c>
      <c r="V386" t="s">
        <v>236</v>
      </c>
      <c r="W386">
        <v>1</v>
      </c>
      <c r="X386">
        <v>1</v>
      </c>
      <c r="Y386">
        <v>0</v>
      </c>
      <c r="Z386" t="s">
        <v>875</v>
      </c>
      <c r="AA386" t="s">
        <v>876</v>
      </c>
      <c r="AB386" t="s">
        <v>14</v>
      </c>
      <c r="AC386">
        <v>362.39909999999998</v>
      </c>
      <c r="AD386">
        <v>362.4</v>
      </c>
      <c r="AE386">
        <v>726182084998</v>
      </c>
      <c r="AF386">
        <v>724.8</v>
      </c>
      <c r="AG386">
        <v>0</v>
      </c>
      <c r="AH386">
        <v>49.27</v>
      </c>
      <c r="AI386">
        <v>774.07</v>
      </c>
      <c r="AJ386" t="s">
        <v>2</v>
      </c>
      <c r="AK386" t="s">
        <v>11</v>
      </c>
    </row>
    <row r="387" spans="1:37">
      <c r="A387">
        <v>257739</v>
      </c>
      <c r="B387" s="1">
        <v>45366</v>
      </c>
      <c r="C387" t="s">
        <v>868</v>
      </c>
      <c r="D387" t="s">
        <v>869</v>
      </c>
      <c r="E387" t="s">
        <v>2</v>
      </c>
      <c r="F387" t="s">
        <v>856</v>
      </c>
      <c r="G387" t="s">
        <v>539</v>
      </c>
      <c r="H387">
        <v>28217</v>
      </c>
      <c r="I387" t="s">
        <v>870</v>
      </c>
      <c r="J387" t="s">
        <v>871</v>
      </c>
      <c r="K387" t="s">
        <v>872</v>
      </c>
      <c r="L387" t="s">
        <v>873</v>
      </c>
      <c r="M387" t="s">
        <v>539</v>
      </c>
      <c r="N387">
        <v>28334</v>
      </c>
      <c r="O387" t="s">
        <v>874</v>
      </c>
      <c r="P387">
        <v>960529</v>
      </c>
      <c r="Q387" t="s">
        <v>21</v>
      </c>
      <c r="R387">
        <v>415635</v>
      </c>
      <c r="S387" t="s">
        <v>84</v>
      </c>
      <c r="T387" s="2">
        <v>2</v>
      </c>
      <c r="U387">
        <v>0</v>
      </c>
      <c r="V387" t="s">
        <v>236</v>
      </c>
      <c r="W387">
        <v>0</v>
      </c>
      <c r="X387">
        <v>0</v>
      </c>
      <c r="Y387">
        <v>0</v>
      </c>
      <c r="Z387" t="s">
        <v>88</v>
      </c>
      <c r="AA387" t="s">
        <v>144</v>
      </c>
      <c r="AB387" t="s">
        <v>10</v>
      </c>
      <c r="AC387">
        <v>0</v>
      </c>
      <c r="AD387">
        <v>0</v>
      </c>
      <c r="AE387">
        <v>726182084998</v>
      </c>
      <c r="AF387">
        <v>724.8</v>
      </c>
      <c r="AG387">
        <v>0</v>
      </c>
      <c r="AH387">
        <v>49.27</v>
      </c>
      <c r="AI387">
        <v>774.07</v>
      </c>
      <c r="AJ387" t="s">
        <v>2</v>
      </c>
      <c r="AK387" t="s">
        <v>11</v>
      </c>
    </row>
    <row r="388" spans="1:37">
      <c r="A388">
        <v>257739</v>
      </c>
      <c r="B388" s="1">
        <v>45366</v>
      </c>
      <c r="C388" t="s">
        <v>868</v>
      </c>
      <c r="D388" t="s">
        <v>869</v>
      </c>
      <c r="E388" t="s">
        <v>2</v>
      </c>
      <c r="F388" t="s">
        <v>856</v>
      </c>
      <c r="G388" t="s">
        <v>539</v>
      </c>
      <c r="H388">
        <v>28217</v>
      </c>
      <c r="I388" t="s">
        <v>870</v>
      </c>
      <c r="J388" t="s">
        <v>871</v>
      </c>
      <c r="K388" t="s">
        <v>872</v>
      </c>
      <c r="L388" t="s">
        <v>873</v>
      </c>
      <c r="M388" t="s">
        <v>539</v>
      </c>
      <c r="N388">
        <v>28334</v>
      </c>
      <c r="O388" t="s">
        <v>874</v>
      </c>
      <c r="P388">
        <v>960529</v>
      </c>
      <c r="Q388" t="s">
        <v>21</v>
      </c>
      <c r="R388">
        <v>415635</v>
      </c>
      <c r="S388" t="s">
        <v>84</v>
      </c>
      <c r="T388" s="2">
        <v>2</v>
      </c>
      <c r="U388">
        <v>0</v>
      </c>
      <c r="V388" t="s">
        <v>236</v>
      </c>
      <c r="W388">
        <v>1</v>
      </c>
      <c r="X388">
        <v>1</v>
      </c>
      <c r="Y388">
        <v>0</v>
      </c>
      <c r="Z388" t="s">
        <v>877</v>
      </c>
      <c r="AA388" t="s">
        <v>878</v>
      </c>
      <c r="AB388" t="s">
        <v>14</v>
      </c>
      <c r="AC388">
        <v>362.39909999999998</v>
      </c>
      <c r="AD388">
        <v>362.4</v>
      </c>
      <c r="AE388">
        <v>726182084998</v>
      </c>
      <c r="AF388">
        <v>724.8</v>
      </c>
      <c r="AG388">
        <v>0</v>
      </c>
      <c r="AH388">
        <v>49.27</v>
      </c>
      <c r="AI388">
        <v>774.07</v>
      </c>
      <c r="AJ388" t="s">
        <v>2</v>
      </c>
      <c r="AK388" t="s">
        <v>11</v>
      </c>
    </row>
    <row r="389" spans="1:37">
      <c r="A389">
        <v>257739</v>
      </c>
      <c r="B389" s="1">
        <v>45366</v>
      </c>
      <c r="C389" t="s">
        <v>868</v>
      </c>
      <c r="D389" t="s">
        <v>869</v>
      </c>
      <c r="E389" t="s">
        <v>2</v>
      </c>
      <c r="F389" t="s">
        <v>856</v>
      </c>
      <c r="G389" t="s">
        <v>539</v>
      </c>
      <c r="H389">
        <v>28217</v>
      </c>
      <c r="I389" t="s">
        <v>870</v>
      </c>
      <c r="J389" t="s">
        <v>871</v>
      </c>
      <c r="K389" t="s">
        <v>872</v>
      </c>
      <c r="L389" t="s">
        <v>873</v>
      </c>
      <c r="M389" t="s">
        <v>539</v>
      </c>
      <c r="N389">
        <v>28334</v>
      </c>
      <c r="O389" t="s">
        <v>874</v>
      </c>
      <c r="P389">
        <v>960529</v>
      </c>
      <c r="Q389" t="s">
        <v>21</v>
      </c>
      <c r="R389">
        <v>415635</v>
      </c>
      <c r="S389" t="s">
        <v>84</v>
      </c>
      <c r="T389" s="2">
        <v>2</v>
      </c>
      <c r="U389">
        <v>0</v>
      </c>
      <c r="V389" t="s">
        <v>236</v>
      </c>
      <c r="W389">
        <v>0</v>
      </c>
      <c r="X389">
        <v>0</v>
      </c>
      <c r="Y389">
        <v>0</v>
      </c>
      <c r="Z389" t="s">
        <v>88</v>
      </c>
      <c r="AA389" t="s">
        <v>144</v>
      </c>
      <c r="AB389" t="s">
        <v>10</v>
      </c>
      <c r="AC389">
        <v>0</v>
      </c>
      <c r="AD389">
        <v>0</v>
      </c>
      <c r="AE389">
        <v>726182084998</v>
      </c>
      <c r="AF389">
        <v>724.8</v>
      </c>
      <c r="AG389">
        <v>0</v>
      </c>
      <c r="AH389">
        <v>49.27</v>
      </c>
      <c r="AI389">
        <v>774.07</v>
      </c>
      <c r="AJ389" t="s">
        <v>2</v>
      </c>
      <c r="AK389" t="s">
        <v>11</v>
      </c>
    </row>
    <row r="390" spans="1:37">
      <c r="A390">
        <v>257740</v>
      </c>
      <c r="B390" s="1">
        <v>45366</v>
      </c>
      <c r="C390" t="s">
        <v>424</v>
      </c>
      <c r="D390" t="s">
        <v>425</v>
      </c>
      <c r="E390" t="s">
        <v>426</v>
      </c>
      <c r="F390" t="s">
        <v>427</v>
      </c>
      <c r="G390" t="s">
        <v>103</v>
      </c>
      <c r="H390">
        <v>10013</v>
      </c>
      <c r="I390" t="s">
        <v>879</v>
      </c>
      <c r="J390" t="s">
        <v>880</v>
      </c>
      <c r="K390" t="s">
        <v>881</v>
      </c>
      <c r="L390" t="s">
        <v>438</v>
      </c>
      <c r="M390" t="s">
        <v>439</v>
      </c>
      <c r="N390">
        <v>67226</v>
      </c>
      <c r="O390" t="s">
        <v>431</v>
      </c>
      <c r="P390">
        <v>1054874</v>
      </c>
      <c r="Q390" t="s">
        <v>21</v>
      </c>
      <c r="R390">
        <v>415637</v>
      </c>
      <c r="S390" t="s">
        <v>84</v>
      </c>
      <c r="T390" s="2">
        <v>5</v>
      </c>
      <c r="U390">
        <v>0</v>
      </c>
      <c r="V390" t="s">
        <v>260</v>
      </c>
      <c r="W390">
        <v>0</v>
      </c>
      <c r="X390">
        <v>0</v>
      </c>
      <c r="Y390">
        <v>0</v>
      </c>
      <c r="Z390" t="s">
        <v>9</v>
      </c>
      <c r="AA390" t="s">
        <v>2</v>
      </c>
      <c r="AB390" t="s">
        <v>10</v>
      </c>
      <c r="AC390">
        <v>0</v>
      </c>
      <c r="AD390">
        <v>0</v>
      </c>
      <c r="AE390">
        <v>706810567379</v>
      </c>
      <c r="AF390">
        <v>865.36</v>
      </c>
      <c r="AG390">
        <v>0</v>
      </c>
      <c r="AH390">
        <v>115.76</v>
      </c>
      <c r="AI390">
        <v>981.12</v>
      </c>
      <c r="AJ390" t="s">
        <v>2</v>
      </c>
      <c r="AK390" t="s">
        <v>11</v>
      </c>
    </row>
    <row r="391" spans="1:37">
      <c r="A391">
        <v>257740</v>
      </c>
      <c r="B391" s="1">
        <v>45366</v>
      </c>
      <c r="C391" t="s">
        <v>424</v>
      </c>
      <c r="D391" t="s">
        <v>425</v>
      </c>
      <c r="E391" t="s">
        <v>426</v>
      </c>
      <c r="F391" t="s">
        <v>427</v>
      </c>
      <c r="G391" t="s">
        <v>103</v>
      </c>
      <c r="H391">
        <v>10013</v>
      </c>
      <c r="I391" t="s">
        <v>879</v>
      </c>
      <c r="J391" t="s">
        <v>880</v>
      </c>
      <c r="K391" t="s">
        <v>881</v>
      </c>
      <c r="L391" t="s">
        <v>438</v>
      </c>
      <c r="M391" t="s">
        <v>439</v>
      </c>
      <c r="N391">
        <v>67226</v>
      </c>
      <c r="O391" t="s">
        <v>431</v>
      </c>
      <c r="P391">
        <v>1054874</v>
      </c>
      <c r="Q391" t="s">
        <v>21</v>
      </c>
      <c r="R391">
        <v>415637</v>
      </c>
      <c r="S391" t="s">
        <v>84</v>
      </c>
      <c r="T391" s="2">
        <v>5</v>
      </c>
      <c r="U391">
        <v>0</v>
      </c>
      <c r="V391" t="s">
        <v>260</v>
      </c>
      <c r="W391">
        <v>1</v>
      </c>
      <c r="X391">
        <v>1</v>
      </c>
      <c r="Y391">
        <v>0</v>
      </c>
      <c r="Z391" t="s">
        <v>882</v>
      </c>
      <c r="AA391" t="s">
        <v>883</v>
      </c>
      <c r="AB391" t="s">
        <v>14</v>
      </c>
      <c r="AC391">
        <v>173.10669999999999</v>
      </c>
      <c r="AD391">
        <v>173.11</v>
      </c>
      <c r="AE391">
        <v>706810567379</v>
      </c>
      <c r="AF391">
        <v>865.36</v>
      </c>
      <c r="AG391">
        <v>0</v>
      </c>
      <c r="AH391">
        <v>115.76</v>
      </c>
      <c r="AI391">
        <v>981.12</v>
      </c>
      <c r="AJ391" t="s">
        <v>2</v>
      </c>
      <c r="AK391" t="s">
        <v>11</v>
      </c>
    </row>
    <row r="392" spans="1:37">
      <c r="A392">
        <v>257740</v>
      </c>
      <c r="B392" s="1">
        <v>45366</v>
      </c>
      <c r="C392" t="s">
        <v>424</v>
      </c>
      <c r="D392" t="s">
        <v>425</v>
      </c>
      <c r="E392" t="s">
        <v>426</v>
      </c>
      <c r="F392" t="s">
        <v>427</v>
      </c>
      <c r="G392" t="s">
        <v>103</v>
      </c>
      <c r="H392">
        <v>10013</v>
      </c>
      <c r="I392" t="s">
        <v>879</v>
      </c>
      <c r="J392" t="s">
        <v>880</v>
      </c>
      <c r="K392" t="s">
        <v>881</v>
      </c>
      <c r="L392" t="s">
        <v>438</v>
      </c>
      <c r="M392" t="s">
        <v>439</v>
      </c>
      <c r="N392">
        <v>67226</v>
      </c>
      <c r="O392" t="s">
        <v>431</v>
      </c>
      <c r="P392">
        <v>1054874</v>
      </c>
      <c r="Q392" t="s">
        <v>21</v>
      </c>
      <c r="R392">
        <v>415637</v>
      </c>
      <c r="S392" t="s">
        <v>84</v>
      </c>
      <c r="T392" s="2">
        <v>5</v>
      </c>
      <c r="U392">
        <v>0</v>
      </c>
      <c r="V392" t="s">
        <v>260</v>
      </c>
      <c r="W392">
        <v>0</v>
      </c>
      <c r="X392">
        <v>0</v>
      </c>
      <c r="Y392">
        <v>0</v>
      </c>
      <c r="Z392" t="s">
        <v>88</v>
      </c>
      <c r="AA392" t="s">
        <v>884</v>
      </c>
      <c r="AB392" t="s">
        <v>10</v>
      </c>
      <c r="AC392">
        <v>0</v>
      </c>
      <c r="AD392">
        <v>0</v>
      </c>
      <c r="AE392">
        <v>706810567379</v>
      </c>
      <c r="AF392">
        <v>865.36</v>
      </c>
      <c r="AG392">
        <v>0</v>
      </c>
      <c r="AH392">
        <v>115.76</v>
      </c>
      <c r="AI392">
        <v>981.12</v>
      </c>
      <c r="AJ392" t="s">
        <v>2</v>
      </c>
      <c r="AK392" t="s">
        <v>11</v>
      </c>
    </row>
    <row r="393" spans="1:37">
      <c r="A393">
        <v>257740</v>
      </c>
      <c r="B393" s="1">
        <v>45366</v>
      </c>
      <c r="C393" t="s">
        <v>424</v>
      </c>
      <c r="D393" t="s">
        <v>425</v>
      </c>
      <c r="E393" t="s">
        <v>426</v>
      </c>
      <c r="F393" t="s">
        <v>427</v>
      </c>
      <c r="G393" t="s">
        <v>103</v>
      </c>
      <c r="H393">
        <v>10013</v>
      </c>
      <c r="I393" t="s">
        <v>879</v>
      </c>
      <c r="J393" t="s">
        <v>880</v>
      </c>
      <c r="K393" t="s">
        <v>881</v>
      </c>
      <c r="L393" t="s">
        <v>438</v>
      </c>
      <c r="M393" t="s">
        <v>439</v>
      </c>
      <c r="N393">
        <v>67226</v>
      </c>
      <c r="O393" t="s">
        <v>431</v>
      </c>
      <c r="P393">
        <v>1054874</v>
      </c>
      <c r="Q393" t="s">
        <v>21</v>
      </c>
      <c r="R393">
        <v>415637</v>
      </c>
      <c r="S393" t="s">
        <v>84</v>
      </c>
      <c r="T393" s="2">
        <v>5</v>
      </c>
      <c r="U393">
        <v>0</v>
      </c>
      <c r="V393" t="s">
        <v>260</v>
      </c>
      <c r="W393">
        <v>1</v>
      </c>
      <c r="X393">
        <v>1</v>
      </c>
      <c r="Y393">
        <v>0</v>
      </c>
      <c r="Z393" t="s">
        <v>885</v>
      </c>
      <c r="AA393" t="s">
        <v>886</v>
      </c>
      <c r="AB393" t="s">
        <v>14</v>
      </c>
      <c r="AC393">
        <v>191.9383</v>
      </c>
      <c r="AD393">
        <v>191.94</v>
      </c>
      <c r="AE393">
        <v>706810567379</v>
      </c>
      <c r="AF393">
        <v>865.36</v>
      </c>
      <c r="AG393">
        <v>0</v>
      </c>
      <c r="AH393">
        <v>115.76</v>
      </c>
      <c r="AI393">
        <v>981.12</v>
      </c>
      <c r="AJ393" t="s">
        <v>2</v>
      </c>
      <c r="AK393" t="s">
        <v>11</v>
      </c>
    </row>
    <row r="394" spans="1:37">
      <c r="A394">
        <v>257740</v>
      </c>
      <c r="B394" s="1">
        <v>45366</v>
      </c>
      <c r="C394" t="s">
        <v>424</v>
      </c>
      <c r="D394" t="s">
        <v>425</v>
      </c>
      <c r="E394" t="s">
        <v>426</v>
      </c>
      <c r="F394" t="s">
        <v>427</v>
      </c>
      <c r="G394" t="s">
        <v>103</v>
      </c>
      <c r="H394">
        <v>10013</v>
      </c>
      <c r="I394" t="s">
        <v>879</v>
      </c>
      <c r="J394" t="s">
        <v>880</v>
      </c>
      <c r="K394" t="s">
        <v>881</v>
      </c>
      <c r="L394" t="s">
        <v>438</v>
      </c>
      <c r="M394" t="s">
        <v>439</v>
      </c>
      <c r="N394">
        <v>67226</v>
      </c>
      <c r="O394" t="s">
        <v>431</v>
      </c>
      <c r="P394">
        <v>1054874</v>
      </c>
      <c r="Q394" t="s">
        <v>21</v>
      </c>
      <c r="R394">
        <v>415637</v>
      </c>
      <c r="S394" t="s">
        <v>84</v>
      </c>
      <c r="T394" s="2">
        <v>5</v>
      </c>
      <c r="U394">
        <v>0</v>
      </c>
      <c r="V394" t="s">
        <v>260</v>
      </c>
      <c r="W394">
        <v>0</v>
      </c>
      <c r="X394">
        <v>0</v>
      </c>
      <c r="Y394">
        <v>0</v>
      </c>
      <c r="Z394" t="s">
        <v>88</v>
      </c>
      <c r="AA394" t="s">
        <v>887</v>
      </c>
      <c r="AB394" t="s">
        <v>10</v>
      </c>
      <c r="AC394">
        <v>0</v>
      </c>
      <c r="AD394">
        <v>0</v>
      </c>
      <c r="AE394">
        <v>706810567379</v>
      </c>
      <c r="AF394">
        <v>865.36</v>
      </c>
      <c r="AG394">
        <v>0</v>
      </c>
      <c r="AH394">
        <v>115.76</v>
      </c>
      <c r="AI394">
        <v>981.12</v>
      </c>
      <c r="AJ394" t="s">
        <v>2</v>
      </c>
      <c r="AK394" t="s">
        <v>11</v>
      </c>
    </row>
    <row r="395" spans="1:37">
      <c r="A395">
        <v>257740</v>
      </c>
      <c r="B395" s="1">
        <v>45366</v>
      </c>
      <c r="C395" t="s">
        <v>424</v>
      </c>
      <c r="D395" t="s">
        <v>425</v>
      </c>
      <c r="E395" t="s">
        <v>426</v>
      </c>
      <c r="F395" t="s">
        <v>427</v>
      </c>
      <c r="G395" t="s">
        <v>103</v>
      </c>
      <c r="H395">
        <v>10013</v>
      </c>
      <c r="I395" t="s">
        <v>879</v>
      </c>
      <c r="J395" t="s">
        <v>880</v>
      </c>
      <c r="K395" t="s">
        <v>881</v>
      </c>
      <c r="L395" t="s">
        <v>438</v>
      </c>
      <c r="M395" t="s">
        <v>439</v>
      </c>
      <c r="N395">
        <v>67226</v>
      </c>
      <c r="O395" t="s">
        <v>431</v>
      </c>
      <c r="P395">
        <v>1054874</v>
      </c>
      <c r="Q395" t="s">
        <v>21</v>
      </c>
      <c r="R395">
        <v>415637</v>
      </c>
      <c r="S395" t="s">
        <v>84</v>
      </c>
      <c r="T395" s="2">
        <v>5</v>
      </c>
      <c r="U395">
        <v>0</v>
      </c>
      <c r="V395" t="s">
        <v>260</v>
      </c>
      <c r="W395">
        <v>1</v>
      </c>
      <c r="X395">
        <v>1</v>
      </c>
      <c r="Y395">
        <v>0</v>
      </c>
      <c r="Z395" t="s">
        <v>888</v>
      </c>
      <c r="AA395" t="s">
        <v>889</v>
      </c>
      <c r="AB395" t="s">
        <v>14</v>
      </c>
      <c r="AC395">
        <v>210.58029999999999</v>
      </c>
      <c r="AD395">
        <v>210.58</v>
      </c>
      <c r="AE395">
        <v>706810567379</v>
      </c>
      <c r="AF395">
        <v>865.36</v>
      </c>
      <c r="AG395">
        <v>0</v>
      </c>
      <c r="AH395">
        <v>115.76</v>
      </c>
      <c r="AI395">
        <v>981.12</v>
      </c>
      <c r="AJ395" t="s">
        <v>2</v>
      </c>
      <c r="AK395" t="s">
        <v>11</v>
      </c>
    </row>
    <row r="396" spans="1:37">
      <c r="A396">
        <v>257740</v>
      </c>
      <c r="B396" s="1">
        <v>45366</v>
      </c>
      <c r="C396" t="s">
        <v>424</v>
      </c>
      <c r="D396" t="s">
        <v>425</v>
      </c>
      <c r="E396" t="s">
        <v>426</v>
      </c>
      <c r="F396" t="s">
        <v>427</v>
      </c>
      <c r="G396" t="s">
        <v>103</v>
      </c>
      <c r="H396">
        <v>10013</v>
      </c>
      <c r="I396" t="s">
        <v>879</v>
      </c>
      <c r="J396" t="s">
        <v>880</v>
      </c>
      <c r="K396" t="s">
        <v>881</v>
      </c>
      <c r="L396" t="s">
        <v>438</v>
      </c>
      <c r="M396" t="s">
        <v>439</v>
      </c>
      <c r="N396">
        <v>67226</v>
      </c>
      <c r="O396" t="s">
        <v>431</v>
      </c>
      <c r="P396">
        <v>1054874</v>
      </c>
      <c r="Q396" t="s">
        <v>21</v>
      </c>
      <c r="R396">
        <v>415637</v>
      </c>
      <c r="S396" t="s">
        <v>84</v>
      </c>
      <c r="T396" s="2">
        <v>5</v>
      </c>
      <c r="U396">
        <v>0</v>
      </c>
      <c r="V396" t="s">
        <v>260</v>
      </c>
      <c r="W396">
        <v>0</v>
      </c>
      <c r="X396">
        <v>0</v>
      </c>
      <c r="Y396">
        <v>0</v>
      </c>
      <c r="Z396" t="s">
        <v>88</v>
      </c>
      <c r="AA396" t="s">
        <v>890</v>
      </c>
      <c r="AB396" t="s">
        <v>10</v>
      </c>
      <c r="AC396">
        <v>0</v>
      </c>
      <c r="AD396">
        <v>0</v>
      </c>
      <c r="AE396">
        <v>706810567379</v>
      </c>
      <c r="AF396">
        <v>865.36</v>
      </c>
      <c r="AG396">
        <v>0</v>
      </c>
      <c r="AH396">
        <v>115.76</v>
      </c>
      <c r="AI396">
        <v>981.12</v>
      </c>
      <c r="AJ396" t="s">
        <v>2</v>
      </c>
      <c r="AK396" t="s">
        <v>11</v>
      </c>
    </row>
    <row r="397" spans="1:37">
      <c r="A397">
        <v>257740</v>
      </c>
      <c r="B397" s="1">
        <v>45366</v>
      </c>
      <c r="C397" t="s">
        <v>424</v>
      </c>
      <c r="D397" t="s">
        <v>425</v>
      </c>
      <c r="E397" t="s">
        <v>426</v>
      </c>
      <c r="F397" t="s">
        <v>427</v>
      </c>
      <c r="G397" t="s">
        <v>103</v>
      </c>
      <c r="H397">
        <v>10013</v>
      </c>
      <c r="I397" t="s">
        <v>879</v>
      </c>
      <c r="J397" t="s">
        <v>880</v>
      </c>
      <c r="K397" t="s">
        <v>881</v>
      </c>
      <c r="L397" t="s">
        <v>438</v>
      </c>
      <c r="M397" t="s">
        <v>439</v>
      </c>
      <c r="N397">
        <v>67226</v>
      </c>
      <c r="O397" t="s">
        <v>431</v>
      </c>
      <c r="P397">
        <v>1054874</v>
      </c>
      <c r="Q397" t="s">
        <v>21</v>
      </c>
      <c r="R397">
        <v>415637</v>
      </c>
      <c r="S397" t="s">
        <v>84</v>
      </c>
      <c r="T397" s="2">
        <v>5</v>
      </c>
      <c r="U397">
        <v>0</v>
      </c>
      <c r="V397" t="s">
        <v>260</v>
      </c>
      <c r="W397">
        <v>1</v>
      </c>
      <c r="X397">
        <v>1</v>
      </c>
      <c r="Y397">
        <v>0</v>
      </c>
      <c r="Z397" t="s">
        <v>891</v>
      </c>
      <c r="AA397" t="s">
        <v>892</v>
      </c>
      <c r="AB397" t="s">
        <v>14</v>
      </c>
      <c r="AC397">
        <v>130.06710000000001</v>
      </c>
      <c r="AD397">
        <v>130.07</v>
      </c>
      <c r="AE397">
        <v>706810567379</v>
      </c>
      <c r="AF397">
        <v>865.36</v>
      </c>
      <c r="AG397">
        <v>0</v>
      </c>
      <c r="AH397">
        <v>115.76</v>
      </c>
      <c r="AI397">
        <v>981.12</v>
      </c>
      <c r="AJ397" t="s">
        <v>2</v>
      </c>
      <c r="AK397" t="s">
        <v>11</v>
      </c>
    </row>
    <row r="398" spans="1:37">
      <c r="A398">
        <v>257740</v>
      </c>
      <c r="B398" s="1">
        <v>45366</v>
      </c>
      <c r="C398" t="s">
        <v>424</v>
      </c>
      <c r="D398" t="s">
        <v>425</v>
      </c>
      <c r="E398" t="s">
        <v>426</v>
      </c>
      <c r="F398" t="s">
        <v>427</v>
      </c>
      <c r="G398" t="s">
        <v>103</v>
      </c>
      <c r="H398">
        <v>10013</v>
      </c>
      <c r="I398" t="s">
        <v>879</v>
      </c>
      <c r="J398" t="s">
        <v>880</v>
      </c>
      <c r="K398" t="s">
        <v>881</v>
      </c>
      <c r="L398" t="s">
        <v>438</v>
      </c>
      <c r="M398" t="s">
        <v>439</v>
      </c>
      <c r="N398">
        <v>67226</v>
      </c>
      <c r="O398" t="s">
        <v>431</v>
      </c>
      <c r="P398">
        <v>1054874</v>
      </c>
      <c r="Q398" t="s">
        <v>21</v>
      </c>
      <c r="R398">
        <v>415637</v>
      </c>
      <c r="S398" t="s">
        <v>84</v>
      </c>
      <c r="T398" s="2">
        <v>5</v>
      </c>
      <c r="U398">
        <v>0</v>
      </c>
      <c r="V398" t="s">
        <v>260</v>
      </c>
      <c r="W398">
        <v>0</v>
      </c>
      <c r="X398">
        <v>0</v>
      </c>
      <c r="Y398">
        <v>0</v>
      </c>
      <c r="Z398" t="s">
        <v>88</v>
      </c>
      <c r="AA398" t="s">
        <v>893</v>
      </c>
      <c r="AB398" t="s">
        <v>10</v>
      </c>
      <c r="AC398">
        <v>0</v>
      </c>
      <c r="AD398">
        <v>0</v>
      </c>
      <c r="AE398">
        <v>706810567379</v>
      </c>
      <c r="AF398">
        <v>865.36</v>
      </c>
      <c r="AG398">
        <v>0</v>
      </c>
      <c r="AH398">
        <v>115.76</v>
      </c>
      <c r="AI398">
        <v>981.12</v>
      </c>
      <c r="AJ398" t="s">
        <v>2</v>
      </c>
      <c r="AK398" t="s">
        <v>11</v>
      </c>
    </row>
    <row r="399" spans="1:37">
      <c r="A399">
        <v>257740</v>
      </c>
      <c r="B399" s="1">
        <v>45366</v>
      </c>
      <c r="C399" t="s">
        <v>424</v>
      </c>
      <c r="D399" t="s">
        <v>425</v>
      </c>
      <c r="E399" t="s">
        <v>426</v>
      </c>
      <c r="F399" t="s">
        <v>427</v>
      </c>
      <c r="G399" t="s">
        <v>103</v>
      </c>
      <c r="H399">
        <v>10013</v>
      </c>
      <c r="I399" t="s">
        <v>879</v>
      </c>
      <c r="J399" t="s">
        <v>880</v>
      </c>
      <c r="K399" t="s">
        <v>881</v>
      </c>
      <c r="L399" t="s">
        <v>438</v>
      </c>
      <c r="M399" t="s">
        <v>439</v>
      </c>
      <c r="N399">
        <v>67226</v>
      </c>
      <c r="O399" t="s">
        <v>431</v>
      </c>
      <c r="P399">
        <v>1054874</v>
      </c>
      <c r="Q399" t="s">
        <v>21</v>
      </c>
      <c r="R399">
        <v>415637</v>
      </c>
      <c r="S399" t="s">
        <v>84</v>
      </c>
      <c r="T399" s="2">
        <v>5</v>
      </c>
      <c r="U399">
        <v>0</v>
      </c>
      <c r="V399" t="s">
        <v>260</v>
      </c>
      <c r="W399">
        <v>1</v>
      </c>
      <c r="X399">
        <v>1</v>
      </c>
      <c r="Y399">
        <v>0</v>
      </c>
      <c r="Z399" t="s">
        <v>894</v>
      </c>
      <c r="AA399" t="s">
        <v>895</v>
      </c>
      <c r="AB399" t="s">
        <v>14</v>
      </c>
      <c r="AC399">
        <v>159.661</v>
      </c>
      <c r="AD399">
        <v>159.66</v>
      </c>
      <c r="AE399">
        <v>706810567379</v>
      </c>
      <c r="AF399">
        <v>865.36</v>
      </c>
      <c r="AG399">
        <v>0</v>
      </c>
      <c r="AH399">
        <v>115.76</v>
      </c>
      <c r="AI399">
        <v>981.12</v>
      </c>
      <c r="AJ399" t="s">
        <v>2</v>
      </c>
      <c r="AK399" t="s">
        <v>11</v>
      </c>
    </row>
    <row r="400" spans="1:37">
      <c r="A400">
        <v>257740</v>
      </c>
      <c r="B400" s="1">
        <v>45366</v>
      </c>
      <c r="C400" t="s">
        <v>424</v>
      </c>
      <c r="D400" t="s">
        <v>425</v>
      </c>
      <c r="E400" t="s">
        <v>426</v>
      </c>
      <c r="F400" t="s">
        <v>427</v>
      </c>
      <c r="G400" t="s">
        <v>103</v>
      </c>
      <c r="H400">
        <v>10013</v>
      </c>
      <c r="I400" t="s">
        <v>879</v>
      </c>
      <c r="J400" t="s">
        <v>880</v>
      </c>
      <c r="K400" t="s">
        <v>881</v>
      </c>
      <c r="L400" t="s">
        <v>438</v>
      </c>
      <c r="M400" t="s">
        <v>439</v>
      </c>
      <c r="N400">
        <v>67226</v>
      </c>
      <c r="O400" t="s">
        <v>431</v>
      </c>
      <c r="P400">
        <v>1054874</v>
      </c>
      <c r="Q400" t="s">
        <v>21</v>
      </c>
      <c r="R400">
        <v>415637</v>
      </c>
      <c r="S400" t="s">
        <v>84</v>
      </c>
      <c r="T400" s="2">
        <v>5</v>
      </c>
      <c r="U400">
        <v>0</v>
      </c>
      <c r="V400" t="s">
        <v>260</v>
      </c>
      <c r="W400">
        <v>0</v>
      </c>
      <c r="X400">
        <v>0</v>
      </c>
      <c r="Y400">
        <v>0</v>
      </c>
      <c r="Z400" t="s">
        <v>88</v>
      </c>
      <c r="AA400" t="s">
        <v>896</v>
      </c>
      <c r="AB400" t="s">
        <v>10</v>
      </c>
      <c r="AC400">
        <v>0</v>
      </c>
      <c r="AD400">
        <v>0</v>
      </c>
      <c r="AE400">
        <v>706810567379</v>
      </c>
      <c r="AF400">
        <v>865.36</v>
      </c>
      <c r="AG400">
        <v>0</v>
      </c>
      <c r="AH400">
        <v>115.76</v>
      </c>
      <c r="AI400">
        <v>981.12</v>
      </c>
      <c r="AJ400" t="s">
        <v>2</v>
      </c>
      <c r="AK400" t="s">
        <v>11</v>
      </c>
    </row>
    <row r="401" spans="1:37">
      <c r="A401">
        <v>257741</v>
      </c>
      <c r="B401" s="1">
        <v>45366</v>
      </c>
      <c r="C401" t="s">
        <v>897</v>
      </c>
      <c r="D401" t="s">
        <v>898</v>
      </c>
      <c r="E401" t="s">
        <v>2</v>
      </c>
      <c r="F401" t="s">
        <v>899</v>
      </c>
      <c r="G401" t="s">
        <v>19</v>
      </c>
      <c r="H401">
        <v>8876</v>
      </c>
      <c r="I401" t="s">
        <v>900</v>
      </c>
      <c r="J401" t="s">
        <v>901</v>
      </c>
      <c r="K401" t="s">
        <v>902</v>
      </c>
      <c r="L401" t="s">
        <v>903</v>
      </c>
      <c r="M401" t="s">
        <v>19</v>
      </c>
      <c r="N401">
        <v>7849</v>
      </c>
      <c r="O401" t="s">
        <v>904</v>
      </c>
      <c r="P401">
        <v>200190</v>
      </c>
      <c r="Q401" t="s">
        <v>21</v>
      </c>
      <c r="R401">
        <v>415655</v>
      </c>
      <c r="S401" t="s">
        <v>84</v>
      </c>
      <c r="T401" s="2">
        <v>4</v>
      </c>
      <c r="U401">
        <v>0</v>
      </c>
      <c r="V401" t="s">
        <v>260</v>
      </c>
      <c r="W401">
        <v>0</v>
      </c>
      <c r="X401">
        <v>0</v>
      </c>
      <c r="Y401">
        <v>0</v>
      </c>
      <c r="Z401" t="s">
        <v>9</v>
      </c>
      <c r="AA401" t="s">
        <v>2</v>
      </c>
      <c r="AB401" t="s">
        <v>10</v>
      </c>
      <c r="AC401">
        <v>0</v>
      </c>
      <c r="AD401">
        <v>0</v>
      </c>
      <c r="AE401">
        <v>726182085170</v>
      </c>
      <c r="AF401">
        <v>436.06</v>
      </c>
      <c r="AG401">
        <v>0</v>
      </c>
      <c r="AH401">
        <v>33.159999999999997</v>
      </c>
      <c r="AI401">
        <v>469.22</v>
      </c>
      <c r="AJ401" t="s">
        <v>2</v>
      </c>
      <c r="AK401" t="s">
        <v>11</v>
      </c>
    </row>
    <row r="402" spans="1:37">
      <c r="A402">
        <v>257741</v>
      </c>
      <c r="B402" s="1">
        <v>45366</v>
      </c>
      <c r="C402" t="s">
        <v>897</v>
      </c>
      <c r="D402" t="s">
        <v>898</v>
      </c>
      <c r="E402" t="s">
        <v>2</v>
      </c>
      <c r="F402" t="s">
        <v>899</v>
      </c>
      <c r="G402" t="s">
        <v>19</v>
      </c>
      <c r="H402">
        <v>8876</v>
      </c>
      <c r="I402" t="s">
        <v>900</v>
      </c>
      <c r="J402" t="s">
        <v>901</v>
      </c>
      <c r="K402" t="s">
        <v>902</v>
      </c>
      <c r="L402" t="s">
        <v>903</v>
      </c>
      <c r="M402" t="s">
        <v>19</v>
      </c>
      <c r="N402">
        <v>7849</v>
      </c>
      <c r="O402" t="s">
        <v>904</v>
      </c>
      <c r="P402">
        <v>200190</v>
      </c>
      <c r="Q402" t="s">
        <v>21</v>
      </c>
      <c r="R402">
        <v>415655</v>
      </c>
      <c r="S402" t="s">
        <v>84</v>
      </c>
      <c r="T402" s="2">
        <v>4</v>
      </c>
      <c r="U402">
        <v>0</v>
      </c>
      <c r="V402" t="s">
        <v>260</v>
      </c>
      <c r="W402">
        <v>1</v>
      </c>
      <c r="X402">
        <v>1</v>
      </c>
      <c r="Y402">
        <v>0</v>
      </c>
      <c r="Z402" t="s">
        <v>905</v>
      </c>
      <c r="AA402" t="s">
        <v>906</v>
      </c>
      <c r="AB402" t="s">
        <v>14</v>
      </c>
      <c r="AC402">
        <v>245.47</v>
      </c>
      <c r="AD402">
        <v>245.47</v>
      </c>
      <c r="AE402">
        <v>726182085170</v>
      </c>
      <c r="AF402">
        <v>436.06</v>
      </c>
      <c r="AG402">
        <v>0</v>
      </c>
      <c r="AH402">
        <v>33.159999999999997</v>
      </c>
      <c r="AI402">
        <v>469.22</v>
      </c>
      <c r="AJ402" t="s">
        <v>2</v>
      </c>
      <c r="AK402" t="s">
        <v>11</v>
      </c>
    </row>
    <row r="403" spans="1:37">
      <c r="A403">
        <v>257741</v>
      </c>
      <c r="B403" s="1">
        <v>45366</v>
      </c>
      <c r="C403" t="s">
        <v>897</v>
      </c>
      <c r="D403" t="s">
        <v>898</v>
      </c>
      <c r="E403" t="s">
        <v>2</v>
      </c>
      <c r="F403" t="s">
        <v>899</v>
      </c>
      <c r="G403" t="s">
        <v>19</v>
      </c>
      <c r="H403">
        <v>8876</v>
      </c>
      <c r="I403" t="s">
        <v>900</v>
      </c>
      <c r="J403" t="s">
        <v>901</v>
      </c>
      <c r="K403" t="s">
        <v>902</v>
      </c>
      <c r="L403" t="s">
        <v>903</v>
      </c>
      <c r="M403" t="s">
        <v>19</v>
      </c>
      <c r="N403">
        <v>7849</v>
      </c>
      <c r="O403" t="s">
        <v>904</v>
      </c>
      <c r="P403">
        <v>200190</v>
      </c>
      <c r="Q403" t="s">
        <v>21</v>
      </c>
      <c r="R403">
        <v>415655</v>
      </c>
      <c r="S403" t="s">
        <v>84</v>
      </c>
      <c r="T403" s="2">
        <v>4</v>
      </c>
      <c r="U403">
        <v>0</v>
      </c>
      <c r="V403" t="s">
        <v>260</v>
      </c>
      <c r="W403">
        <v>0</v>
      </c>
      <c r="X403">
        <v>0</v>
      </c>
      <c r="Y403">
        <v>0</v>
      </c>
      <c r="Z403" t="s">
        <v>88</v>
      </c>
      <c r="AA403" t="s">
        <v>213</v>
      </c>
      <c r="AB403" t="s">
        <v>10</v>
      </c>
      <c r="AC403">
        <v>0</v>
      </c>
      <c r="AD403">
        <v>0</v>
      </c>
      <c r="AE403">
        <v>726182085170</v>
      </c>
      <c r="AF403">
        <v>436.06</v>
      </c>
      <c r="AG403">
        <v>0</v>
      </c>
      <c r="AH403">
        <v>33.159999999999997</v>
      </c>
      <c r="AI403">
        <v>469.22</v>
      </c>
      <c r="AJ403" t="s">
        <v>2</v>
      </c>
      <c r="AK403" t="s">
        <v>11</v>
      </c>
    </row>
    <row r="404" spans="1:37">
      <c r="A404">
        <v>257741</v>
      </c>
      <c r="B404" s="1">
        <v>45366</v>
      </c>
      <c r="C404" t="s">
        <v>897</v>
      </c>
      <c r="D404" t="s">
        <v>898</v>
      </c>
      <c r="E404" t="s">
        <v>2</v>
      </c>
      <c r="F404" t="s">
        <v>899</v>
      </c>
      <c r="G404" t="s">
        <v>19</v>
      </c>
      <c r="H404">
        <v>8876</v>
      </c>
      <c r="I404" t="s">
        <v>900</v>
      </c>
      <c r="J404" t="s">
        <v>901</v>
      </c>
      <c r="K404" t="s">
        <v>902</v>
      </c>
      <c r="L404" t="s">
        <v>903</v>
      </c>
      <c r="M404" t="s">
        <v>19</v>
      </c>
      <c r="N404">
        <v>7849</v>
      </c>
      <c r="O404" t="s">
        <v>904</v>
      </c>
      <c r="P404">
        <v>200190</v>
      </c>
      <c r="Q404" t="s">
        <v>21</v>
      </c>
      <c r="R404">
        <v>415655</v>
      </c>
      <c r="S404" t="s">
        <v>84</v>
      </c>
      <c r="T404" s="2">
        <v>4</v>
      </c>
      <c r="U404">
        <v>0</v>
      </c>
      <c r="V404" t="s">
        <v>260</v>
      </c>
      <c r="W404">
        <v>3</v>
      </c>
      <c r="X404">
        <v>3</v>
      </c>
      <c r="Y404">
        <v>0</v>
      </c>
      <c r="Z404" t="s">
        <v>907</v>
      </c>
      <c r="AA404" t="s">
        <v>908</v>
      </c>
      <c r="AB404" t="s">
        <v>14</v>
      </c>
      <c r="AC404">
        <v>63.53</v>
      </c>
      <c r="AD404">
        <v>190.59</v>
      </c>
      <c r="AE404">
        <v>726182085170</v>
      </c>
      <c r="AF404">
        <v>436.06</v>
      </c>
      <c r="AG404">
        <v>0</v>
      </c>
      <c r="AH404">
        <v>33.159999999999997</v>
      </c>
      <c r="AI404">
        <v>469.22</v>
      </c>
      <c r="AJ404" t="s">
        <v>2</v>
      </c>
      <c r="AK404" t="s">
        <v>11</v>
      </c>
    </row>
    <row r="405" spans="1:37">
      <c r="A405">
        <v>257741</v>
      </c>
      <c r="B405" s="1">
        <v>45366</v>
      </c>
      <c r="C405" t="s">
        <v>897</v>
      </c>
      <c r="D405" t="s">
        <v>898</v>
      </c>
      <c r="E405" t="s">
        <v>2</v>
      </c>
      <c r="F405" t="s">
        <v>899</v>
      </c>
      <c r="G405" t="s">
        <v>19</v>
      </c>
      <c r="H405">
        <v>8876</v>
      </c>
      <c r="I405" t="s">
        <v>900</v>
      </c>
      <c r="J405" t="s">
        <v>901</v>
      </c>
      <c r="K405" t="s">
        <v>902</v>
      </c>
      <c r="L405" t="s">
        <v>903</v>
      </c>
      <c r="M405" t="s">
        <v>19</v>
      </c>
      <c r="N405">
        <v>7849</v>
      </c>
      <c r="O405" t="s">
        <v>904</v>
      </c>
      <c r="P405">
        <v>200190</v>
      </c>
      <c r="Q405" t="s">
        <v>21</v>
      </c>
      <c r="R405">
        <v>415655</v>
      </c>
      <c r="S405" t="s">
        <v>84</v>
      </c>
      <c r="T405" s="2">
        <v>4</v>
      </c>
      <c r="U405">
        <v>0</v>
      </c>
      <c r="V405" t="s">
        <v>260</v>
      </c>
      <c r="W405">
        <v>0</v>
      </c>
      <c r="X405">
        <v>0</v>
      </c>
      <c r="Y405">
        <v>0</v>
      </c>
      <c r="Z405" t="s">
        <v>88</v>
      </c>
      <c r="AA405" t="s">
        <v>144</v>
      </c>
      <c r="AB405" t="s">
        <v>10</v>
      </c>
      <c r="AC405">
        <v>0</v>
      </c>
      <c r="AD405">
        <v>0</v>
      </c>
      <c r="AE405">
        <v>726182085170</v>
      </c>
      <c r="AF405">
        <v>436.06</v>
      </c>
      <c r="AG405">
        <v>0</v>
      </c>
      <c r="AH405">
        <v>33.159999999999997</v>
      </c>
      <c r="AI405">
        <v>469.22</v>
      </c>
      <c r="AJ405" t="s">
        <v>2</v>
      </c>
      <c r="AK405" t="s">
        <v>11</v>
      </c>
    </row>
    <row r="406" spans="1:37">
      <c r="A406">
        <v>257742</v>
      </c>
      <c r="B406" s="1">
        <v>45366</v>
      </c>
      <c r="C406" t="s">
        <v>909</v>
      </c>
      <c r="D406" t="s">
        <v>910</v>
      </c>
      <c r="E406" t="s">
        <v>2</v>
      </c>
      <c r="F406" t="s">
        <v>766</v>
      </c>
      <c r="G406" t="s">
        <v>767</v>
      </c>
      <c r="H406">
        <v>37210</v>
      </c>
      <c r="I406" t="s">
        <v>911</v>
      </c>
      <c r="J406" t="s">
        <v>912</v>
      </c>
      <c r="K406" t="s">
        <v>913</v>
      </c>
      <c r="L406" t="s">
        <v>766</v>
      </c>
      <c r="M406" t="s">
        <v>767</v>
      </c>
      <c r="N406" t="s">
        <v>914</v>
      </c>
      <c r="O406" t="s">
        <v>915</v>
      </c>
      <c r="P406">
        <v>960552</v>
      </c>
      <c r="Q406" t="s">
        <v>21</v>
      </c>
      <c r="R406">
        <v>415663</v>
      </c>
      <c r="S406" t="s">
        <v>84</v>
      </c>
      <c r="T406" s="2">
        <v>1</v>
      </c>
      <c r="U406">
        <v>0</v>
      </c>
      <c r="V406" t="s">
        <v>236</v>
      </c>
      <c r="W406">
        <v>0</v>
      </c>
      <c r="X406">
        <v>0</v>
      </c>
      <c r="Y406">
        <v>0</v>
      </c>
      <c r="Z406" t="s">
        <v>9</v>
      </c>
      <c r="AA406" t="s">
        <v>2</v>
      </c>
      <c r="AB406" t="s">
        <v>10</v>
      </c>
      <c r="AC406">
        <v>0</v>
      </c>
      <c r="AD406">
        <v>0</v>
      </c>
      <c r="AE406">
        <v>726182085023</v>
      </c>
      <c r="AF406">
        <v>70</v>
      </c>
      <c r="AG406">
        <v>0</v>
      </c>
      <c r="AH406">
        <v>22.9</v>
      </c>
      <c r="AI406">
        <v>92.9</v>
      </c>
      <c r="AJ406" t="s">
        <v>2</v>
      </c>
      <c r="AK406" t="s">
        <v>11</v>
      </c>
    </row>
    <row r="407" spans="1:37">
      <c r="A407">
        <v>257742</v>
      </c>
      <c r="B407" s="1">
        <v>45366</v>
      </c>
      <c r="C407" t="s">
        <v>909</v>
      </c>
      <c r="D407" t="s">
        <v>910</v>
      </c>
      <c r="E407" t="s">
        <v>2</v>
      </c>
      <c r="F407" t="s">
        <v>766</v>
      </c>
      <c r="G407" t="s">
        <v>767</v>
      </c>
      <c r="H407">
        <v>37210</v>
      </c>
      <c r="I407" t="s">
        <v>911</v>
      </c>
      <c r="J407" t="s">
        <v>912</v>
      </c>
      <c r="K407" t="s">
        <v>913</v>
      </c>
      <c r="L407" t="s">
        <v>766</v>
      </c>
      <c r="M407" t="s">
        <v>767</v>
      </c>
      <c r="N407" t="s">
        <v>914</v>
      </c>
      <c r="O407" t="s">
        <v>915</v>
      </c>
      <c r="P407">
        <v>960552</v>
      </c>
      <c r="Q407" t="s">
        <v>21</v>
      </c>
      <c r="R407">
        <v>415663</v>
      </c>
      <c r="S407" t="s">
        <v>84</v>
      </c>
      <c r="T407" s="2">
        <v>1</v>
      </c>
      <c r="U407">
        <v>0</v>
      </c>
      <c r="V407" t="s">
        <v>236</v>
      </c>
      <c r="W407">
        <v>1</v>
      </c>
      <c r="X407">
        <v>1</v>
      </c>
      <c r="Y407">
        <v>0</v>
      </c>
      <c r="Z407" t="s">
        <v>916</v>
      </c>
      <c r="AA407" t="s">
        <v>917</v>
      </c>
      <c r="AB407" t="s">
        <v>14</v>
      </c>
      <c r="AC407">
        <v>70.0047</v>
      </c>
      <c r="AD407">
        <v>70</v>
      </c>
      <c r="AE407">
        <v>726182085023</v>
      </c>
      <c r="AF407">
        <v>70</v>
      </c>
      <c r="AG407">
        <v>0</v>
      </c>
      <c r="AH407">
        <v>22.9</v>
      </c>
      <c r="AI407">
        <v>92.9</v>
      </c>
      <c r="AJ407" t="s">
        <v>2</v>
      </c>
      <c r="AK407" t="s">
        <v>11</v>
      </c>
    </row>
    <row r="408" spans="1:37">
      <c r="A408">
        <v>257742</v>
      </c>
      <c r="B408" s="1">
        <v>45366</v>
      </c>
      <c r="C408" t="s">
        <v>909</v>
      </c>
      <c r="D408" t="s">
        <v>910</v>
      </c>
      <c r="E408" t="s">
        <v>2</v>
      </c>
      <c r="F408" t="s">
        <v>766</v>
      </c>
      <c r="G408" t="s">
        <v>767</v>
      </c>
      <c r="H408">
        <v>37210</v>
      </c>
      <c r="I408" t="s">
        <v>911</v>
      </c>
      <c r="J408" t="s">
        <v>912</v>
      </c>
      <c r="K408" t="s">
        <v>913</v>
      </c>
      <c r="L408" t="s">
        <v>766</v>
      </c>
      <c r="M408" t="s">
        <v>767</v>
      </c>
      <c r="N408" t="s">
        <v>914</v>
      </c>
      <c r="O408" t="s">
        <v>915</v>
      </c>
      <c r="P408">
        <v>960552</v>
      </c>
      <c r="Q408" t="s">
        <v>21</v>
      </c>
      <c r="R408">
        <v>415663</v>
      </c>
      <c r="S408" t="s">
        <v>84</v>
      </c>
      <c r="T408" s="2">
        <v>1</v>
      </c>
      <c r="U408">
        <v>0</v>
      </c>
      <c r="V408" t="s">
        <v>236</v>
      </c>
      <c r="W408">
        <v>0</v>
      </c>
      <c r="X408">
        <v>0</v>
      </c>
      <c r="Y408">
        <v>0</v>
      </c>
      <c r="Z408" t="s">
        <v>88</v>
      </c>
      <c r="AA408" t="s">
        <v>144</v>
      </c>
      <c r="AB408" t="s">
        <v>10</v>
      </c>
      <c r="AC408">
        <v>0</v>
      </c>
      <c r="AD408">
        <v>0</v>
      </c>
      <c r="AE408">
        <v>726182085023</v>
      </c>
      <c r="AF408">
        <v>70</v>
      </c>
      <c r="AG408">
        <v>0</v>
      </c>
      <c r="AH408">
        <v>22.9</v>
      </c>
      <c r="AI408">
        <v>92.9</v>
      </c>
      <c r="AJ408" t="s">
        <v>2</v>
      </c>
      <c r="AK408" t="s">
        <v>11</v>
      </c>
    </row>
    <row r="409" spans="1:37">
      <c r="A409">
        <v>257743</v>
      </c>
      <c r="B409" s="1">
        <v>45366</v>
      </c>
      <c r="C409" t="s">
        <v>572</v>
      </c>
      <c r="D409" t="s">
        <v>573</v>
      </c>
      <c r="E409" t="s">
        <v>2</v>
      </c>
      <c r="F409" t="s">
        <v>574</v>
      </c>
      <c r="G409" t="s">
        <v>575</v>
      </c>
      <c r="H409">
        <v>48189</v>
      </c>
      <c r="I409" t="s">
        <v>918</v>
      </c>
      <c r="J409" t="s">
        <v>919</v>
      </c>
      <c r="K409" t="s">
        <v>2</v>
      </c>
      <c r="L409" t="s">
        <v>920</v>
      </c>
      <c r="M409" t="s">
        <v>575</v>
      </c>
      <c r="N409" t="s">
        <v>921</v>
      </c>
      <c r="O409" t="s">
        <v>581</v>
      </c>
      <c r="P409">
        <v>2278746</v>
      </c>
      <c r="Q409" t="s">
        <v>38</v>
      </c>
      <c r="R409">
        <v>415691</v>
      </c>
      <c r="S409" t="s">
        <v>84</v>
      </c>
      <c r="T409" s="2">
        <v>2</v>
      </c>
      <c r="U409">
        <v>0</v>
      </c>
      <c r="V409" t="s">
        <v>153</v>
      </c>
      <c r="W409">
        <v>0</v>
      </c>
      <c r="X409">
        <v>0</v>
      </c>
      <c r="Y409">
        <v>0</v>
      </c>
      <c r="Z409" t="s">
        <v>9</v>
      </c>
      <c r="AA409" t="s">
        <v>2</v>
      </c>
      <c r="AB409" t="s">
        <v>10</v>
      </c>
      <c r="AC409">
        <v>0</v>
      </c>
      <c r="AD409">
        <v>0</v>
      </c>
      <c r="AE409">
        <v>726182085148</v>
      </c>
      <c r="AF409">
        <v>152.19999999999999</v>
      </c>
      <c r="AG409">
        <v>0</v>
      </c>
      <c r="AH409">
        <v>17.809999999999999</v>
      </c>
      <c r="AI409">
        <v>170.01</v>
      </c>
      <c r="AJ409" t="s">
        <v>2</v>
      </c>
      <c r="AK409" t="s">
        <v>11</v>
      </c>
    </row>
    <row r="410" spans="1:37">
      <c r="A410">
        <v>257743</v>
      </c>
      <c r="B410" s="1">
        <v>45366</v>
      </c>
      <c r="C410" t="s">
        <v>572</v>
      </c>
      <c r="D410" t="s">
        <v>573</v>
      </c>
      <c r="E410" t="s">
        <v>2</v>
      </c>
      <c r="F410" t="s">
        <v>574</v>
      </c>
      <c r="G410" t="s">
        <v>575</v>
      </c>
      <c r="H410">
        <v>48189</v>
      </c>
      <c r="I410" t="s">
        <v>918</v>
      </c>
      <c r="J410" t="s">
        <v>919</v>
      </c>
      <c r="K410" t="s">
        <v>2</v>
      </c>
      <c r="L410" t="s">
        <v>920</v>
      </c>
      <c r="M410" t="s">
        <v>575</v>
      </c>
      <c r="N410" t="s">
        <v>921</v>
      </c>
      <c r="O410" t="s">
        <v>581</v>
      </c>
      <c r="P410">
        <v>2278746</v>
      </c>
      <c r="Q410" t="s">
        <v>38</v>
      </c>
      <c r="R410">
        <v>415691</v>
      </c>
      <c r="S410" t="s">
        <v>84</v>
      </c>
      <c r="T410" s="2">
        <v>2</v>
      </c>
      <c r="U410">
        <v>0</v>
      </c>
      <c r="V410" t="s">
        <v>153</v>
      </c>
      <c r="W410">
        <v>2</v>
      </c>
      <c r="X410">
        <v>2</v>
      </c>
      <c r="Y410">
        <v>0</v>
      </c>
      <c r="Z410" t="s">
        <v>922</v>
      </c>
      <c r="AA410" t="s">
        <v>923</v>
      </c>
      <c r="AB410" t="s">
        <v>14</v>
      </c>
      <c r="AC410">
        <v>76.099999999999994</v>
      </c>
      <c r="AD410">
        <v>152.19999999999999</v>
      </c>
      <c r="AE410">
        <v>726182085148</v>
      </c>
      <c r="AF410">
        <v>152.19999999999999</v>
      </c>
      <c r="AG410">
        <v>0</v>
      </c>
      <c r="AH410">
        <v>17.809999999999999</v>
      </c>
      <c r="AI410">
        <v>170.01</v>
      </c>
      <c r="AJ410" t="s">
        <v>2</v>
      </c>
      <c r="AK410" t="s">
        <v>11</v>
      </c>
    </row>
    <row r="411" spans="1:37">
      <c r="A411">
        <v>257743</v>
      </c>
      <c r="B411" s="1">
        <v>45366</v>
      </c>
      <c r="C411" t="s">
        <v>572</v>
      </c>
      <c r="D411" t="s">
        <v>573</v>
      </c>
      <c r="E411" t="s">
        <v>2</v>
      </c>
      <c r="F411" t="s">
        <v>574</v>
      </c>
      <c r="G411" t="s">
        <v>575</v>
      </c>
      <c r="H411">
        <v>48189</v>
      </c>
      <c r="I411" t="s">
        <v>918</v>
      </c>
      <c r="J411" t="s">
        <v>919</v>
      </c>
      <c r="K411" t="s">
        <v>2</v>
      </c>
      <c r="L411" t="s">
        <v>920</v>
      </c>
      <c r="M411" t="s">
        <v>575</v>
      </c>
      <c r="N411" t="s">
        <v>921</v>
      </c>
      <c r="O411" t="s">
        <v>581</v>
      </c>
      <c r="P411">
        <v>2278746</v>
      </c>
      <c r="Q411" t="s">
        <v>38</v>
      </c>
      <c r="R411">
        <v>415691</v>
      </c>
      <c r="S411" t="s">
        <v>84</v>
      </c>
      <c r="T411" s="2">
        <v>2</v>
      </c>
      <c r="U411">
        <v>0</v>
      </c>
      <c r="V411" t="s">
        <v>153</v>
      </c>
      <c r="W411">
        <v>0</v>
      </c>
      <c r="X411">
        <v>0</v>
      </c>
      <c r="Y411">
        <v>0</v>
      </c>
      <c r="Z411" t="s">
        <v>88</v>
      </c>
      <c r="AA411" t="s">
        <v>144</v>
      </c>
      <c r="AB411" t="s">
        <v>10</v>
      </c>
      <c r="AC411">
        <v>0</v>
      </c>
      <c r="AD411">
        <v>0</v>
      </c>
      <c r="AE411">
        <v>726182085148</v>
      </c>
      <c r="AF411">
        <v>152.19999999999999</v>
      </c>
      <c r="AG411">
        <v>0</v>
      </c>
      <c r="AH411">
        <v>17.809999999999999</v>
      </c>
      <c r="AI411">
        <v>170.01</v>
      </c>
      <c r="AJ411" t="s">
        <v>2</v>
      </c>
      <c r="AK411" t="s">
        <v>11</v>
      </c>
    </row>
    <row r="412" spans="1:37">
      <c r="A412">
        <v>257744</v>
      </c>
      <c r="B412" s="1">
        <v>45366</v>
      </c>
      <c r="C412" t="s">
        <v>522</v>
      </c>
      <c r="D412" t="s">
        <v>523</v>
      </c>
      <c r="E412" t="s">
        <v>2</v>
      </c>
      <c r="F412" t="s">
        <v>34</v>
      </c>
      <c r="G412" t="s">
        <v>35</v>
      </c>
      <c r="H412">
        <v>63110</v>
      </c>
      <c r="I412" t="s">
        <v>924</v>
      </c>
      <c r="J412" t="s">
        <v>925</v>
      </c>
      <c r="K412" t="s">
        <v>2</v>
      </c>
      <c r="L412" t="s">
        <v>926</v>
      </c>
      <c r="M412" t="s">
        <v>35</v>
      </c>
      <c r="N412" t="s">
        <v>927</v>
      </c>
      <c r="O412" t="s">
        <v>528</v>
      </c>
      <c r="P412">
        <v>2278747</v>
      </c>
      <c r="Q412" t="s">
        <v>38</v>
      </c>
      <c r="R412">
        <v>415697</v>
      </c>
      <c r="S412" t="s">
        <v>84</v>
      </c>
      <c r="T412" s="2">
        <v>1</v>
      </c>
      <c r="U412">
        <v>0</v>
      </c>
      <c r="V412" t="s">
        <v>153</v>
      </c>
      <c r="W412">
        <v>0</v>
      </c>
      <c r="X412">
        <v>0</v>
      </c>
      <c r="Y412">
        <v>0</v>
      </c>
      <c r="Z412" t="s">
        <v>9</v>
      </c>
      <c r="AA412" t="s">
        <v>2</v>
      </c>
      <c r="AB412" t="s">
        <v>10</v>
      </c>
      <c r="AC412">
        <v>0</v>
      </c>
      <c r="AD412">
        <v>0</v>
      </c>
      <c r="AE412">
        <v>726182085115</v>
      </c>
      <c r="AF412">
        <v>503.53</v>
      </c>
      <c r="AG412">
        <v>0</v>
      </c>
      <c r="AH412">
        <v>45.91</v>
      </c>
      <c r="AI412">
        <v>549.44000000000005</v>
      </c>
      <c r="AJ412" t="s">
        <v>2</v>
      </c>
      <c r="AK412" t="s">
        <v>11</v>
      </c>
    </row>
    <row r="413" spans="1:37">
      <c r="A413">
        <v>257744</v>
      </c>
      <c r="B413" s="1">
        <v>45366</v>
      </c>
      <c r="C413" t="s">
        <v>522</v>
      </c>
      <c r="D413" t="s">
        <v>523</v>
      </c>
      <c r="E413" t="s">
        <v>2</v>
      </c>
      <c r="F413" t="s">
        <v>34</v>
      </c>
      <c r="G413" t="s">
        <v>35</v>
      </c>
      <c r="H413">
        <v>63110</v>
      </c>
      <c r="I413" t="s">
        <v>924</v>
      </c>
      <c r="J413" t="s">
        <v>925</v>
      </c>
      <c r="K413" t="s">
        <v>2</v>
      </c>
      <c r="L413" t="s">
        <v>926</v>
      </c>
      <c r="M413" t="s">
        <v>35</v>
      </c>
      <c r="N413" t="s">
        <v>927</v>
      </c>
      <c r="O413" t="s">
        <v>528</v>
      </c>
      <c r="P413">
        <v>2278747</v>
      </c>
      <c r="Q413" t="s">
        <v>38</v>
      </c>
      <c r="R413">
        <v>415697</v>
      </c>
      <c r="S413" t="s">
        <v>84</v>
      </c>
      <c r="T413" s="2">
        <v>1</v>
      </c>
      <c r="U413">
        <v>0</v>
      </c>
      <c r="V413" t="s">
        <v>153</v>
      </c>
      <c r="W413">
        <v>1</v>
      </c>
      <c r="X413">
        <v>1</v>
      </c>
      <c r="Y413">
        <v>0</v>
      </c>
      <c r="Z413" t="s">
        <v>928</v>
      </c>
      <c r="AA413" t="s">
        <v>929</v>
      </c>
      <c r="AB413" t="s">
        <v>14</v>
      </c>
      <c r="AC413">
        <v>503.53</v>
      </c>
      <c r="AD413">
        <v>503.53</v>
      </c>
      <c r="AE413">
        <v>726182085115</v>
      </c>
      <c r="AF413">
        <v>503.53</v>
      </c>
      <c r="AG413">
        <v>0</v>
      </c>
      <c r="AH413">
        <v>45.91</v>
      </c>
      <c r="AI413">
        <v>549.44000000000005</v>
      </c>
      <c r="AJ413" t="s">
        <v>2</v>
      </c>
      <c r="AK413" t="s">
        <v>11</v>
      </c>
    </row>
    <row r="414" spans="1:37">
      <c r="A414">
        <v>257744</v>
      </c>
      <c r="B414" s="1">
        <v>45366</v>
      </c>
      <c r="C414" t="s">
        <v>522</v>
      </c>
      <c r="D414" t="s">
        <v>523</v>
      </c>
      <c r="E414" t="s">
        <v>2</v>
      </c>
      <c r="F414" t="s">
        <v>34</v>
      </c>
      <c r="G414" t="s">
        <v>35</v>
      </c>
      <c r="H414">
        <v>63110</v>
      </c>
      <c r="I414" t="s">
        <v>924</v>
      </c>
      <c r="J414" t="s">
        <v>925</v>
      </c>
      <c r="K414" t="s">
        <v>2</v>
      </c>
      <c r="L414" t="s">
        <v>926</v>
      </c>
      <c r="M414" t="s">
        <v>35</v>
      </c>
      <c r="N414" t="s">
        <v>927</v>
      </c>
      <c r="O414" t="s">
        <v>528</v>
      </c>
      <c r="P414">
        <v>2278747</v>
      </c>
      <c r="Q414" t="s">
        <v>38</v>
      </c>
      <c r="R414">
        <v>415697</v>
      </c>
      <c r="S414" t="s">
        <v>84</v>
      </c>
      <c r="T414" s="2">
        <v>1</v>
      </c>
      <c r="U414">
        <v>0</v>
      </c>
      <c r="V414" t="s">
        <v>153</v>
      </c>
      <c r="W414">
        <v>0</v>
      </c>
      <c r="X414">
        <v>0</v>
      </c>
      <c r="Y414">
        <v>0</v>
      </c>
      <c r="Z414" t="s">
        <v>88</v>
      </c>
      <c r="AA414" t="s">
        <v>144</v>
      </c>
      <c r="AB414" t="s">
        <v>10</v>
      </c>
      <c r="AC414">
        <v>0</v>
      </c>
      <c r="AD414">
        <v>0</v>
      </c>
      <c r="AE414">
        <v>726182085115</v>
      </c>
      <c r="AF414">
        <v>503.53</v>
      </c>
      <c r="AG414">
        <v>0</v>
      </c>
      <c r="AH414">
        <v>45.91</v>
      </c>
      <c r="AI414">
        <v>549.44000000000005</v>
      </c>
      <c r="AJ414" t="s">
        <v>2</v>
      </c>
      <c r="AK414" t="s">
        <v>11</v>
      </c>
    </row>
    <row r="415" spans="1:37">
      <c r="A415">
        <v>257745</v>
      </c>
      <c r="B415" s="1">
        <v>45366</v>
      </c>
      <c r="C415" t="s">
        <v>930</v>
      </c>
      <c r="D415" t="s">
        <v>931</v>
      </c>
      <c r="E415" t="s">
        <v>932</v>
      </c>
      <c r="F415" t="s">
        <v>933</v>
      </c>
      <c r="G415" t="s">
        <v>103</v>
      </c>
      <c r="H415">
        <v>12205</v>
      </c>
      <c r="I415" t="s">
        <v>934</v>
      </c>
      <c r="J415" t="s">
        <v>935</v>
      </c>
      <c r="K415" t="s">
        <v>2</v>
      </c>
      <c r="L415" t="s">
        <v>936</v>
      </c>
      <c r="M415" t="s">
        <v>937</v>
      </c>
      <c r="N415" t="s">
        <v>938</v>
      </c>
      <c r="O415" t="s">
        <v>939</v>
      </c>
      <c r="P415">
        <v>960569</v>
      </c>
      <c r="Q415" t="s">
        <v>21</v>
      </c>
      <c r="R415">
        <v>415704</v>
      </c>
      <c r="S415" t="s">
        <v>84</v>
      </c>
      <c r="T415" s="2">
        <v>1</v>
      </c>
      <c r="U415">
        <v>0</v>
      </c>
      <c r="V415" t="s">
        <v>236</v>
      </c>
      <c r="W415">
        <v>0</v>
      </c>
      <c r="X415">
        <v>0</v>
      </c>
      <c r="Y415">
        <v>0</v>
      </c>
      <c r="Z415" t="s">
        <v>9</v>
      </c>
      <c r="AA415" t="s">
        <v>2</v>
      </c>
      <c r="AB415" t="s">
        <v>10</v>
      </c>
      <c r="AC415">
        <v>0</v>
      </c>
      <c r="AD415">
        <v>0</v>
      </c>
      <c r="AE415">
        <v>726182085159</v>
      </c>
      <c r="AF415">
        <v>39.57</v>
      </c>
      <c r="AG415">
        <v>0</v>
      </c>
      <c r="AH415">
        <v>33.5</v>
      </c>
      <c r="AI415">
        <v>73.069999999999993</v>
      </c>
      <c r="AJ415" t="s">
        <v>2</v>
      </c>
      <c r="AK415" t="s">
        <v>11</v>
      </c>
    </row>
    <row r="416" spans="1:37">
      <c r="A416">
        <v>257745</v>
      </c>
      <c r="B416" s="1">
        <v>45366</v>
      </c>
      <c r="C416" t="s">
        <v>930</v>
      </c>
      <c r="D416" t="s">
        <v>931</v>
      </c>
      <c r="E416" t="s">
        <v>932</v>
      </c>
      <c r="F416" t="s">
        <v>933</v>
      </c>
      <c r="G416" t="s">
        <v>103</v>
      </c>
      <c r="H416">
        <v>12205</v>
      </c>
      <c r="I416" t="s">
        <v>934</v>
      </c>
      <c r="J416" t="s">
        <v>935</v>
      </c>
      <c r="K416" t="s">
        <v>2</v>
      </c>
      <c r="L416" t="s">
        <v>936</v>
      </c>
      <c r="M416" t="s">
        <v>937</v>
      </c>
      <c r="N416" t="s">
        <v>938</v>
      </c>
      <c r="O416" t="s">
        <v>939</v>
      </c>
      <c r="P416">
        <v>960569</v>
      </c>
      <c r="Q416" t="s">
        <v>21</v>
      </c>
      <c r="R416">
        <v>415704</v>
      </c>
      <c r="S416" t="s">
        <v>84</v>
      </c>
      <c r="T416" s="2">
        <v>1</v>
      </c>
      <c r="U416">
        <v>0</v>
      </c>
      <c r="V416" t="s">
        <v>236</v>
      </c>
      <c r="W416">
        <v>1</v>
      </c>
      <c r="X416">
        <v>1</v>
      </c>
      <c r="Y416">
        <v>0</v>
      </c>
      <c r="Z416" t="s">
        <v>940</v>
      </c>
      <c r="AA416" t="s">
        <v>941</v>
      </c>
      <c r="AB416" t="s">
        <v>14</v>
      </c>
      <c r="AC416">
        <v>39.573999999999998</v>
      </c>
      <c r="AD416">
        <v>39.57</v>
      </c>
      <c r="AE416">
        <v>726182085159</v>
      </c>
      <c r="AF416">
        <v>39.57</v>
      </c>
      <c r="AG416">
        <v>0</v>
      </c>
      <c r="AH416">
        <v>33.5</v>
      </c>
      <c r="AI416">
        <v>73.069999999999993</v>
      </c>
      <c r="AJ416" t="s">
        <v>2</v>
      </c>
      <c r="AK416" t="s">
        <v>11</v>
      </c>
    </row>
    <row r="417" spans="1:37">
      <c r="A417">
        <v>257745</v>
      </c>
      <c r="B417" s="1">
        <v>45366</v>
      </c>
      <c r="C417" t="s">
        <v>930</v>
      </c>
      <c r="D417" t="s">
        <v>931</v>
      </c>
      <c r="E417" t="s">
        <v>932</v>
      </c>
      <c r="F417" t="s">
        <v>933</v>
      </c>
      <c r="G417" t="s">
        <v>103</v>
      </c>
      <c r="H417">
        <v>12205</v>
      </c>
      <c r="I417" t="s">
        <v>934</v>
      </c>
      <c r="J417" t="s">
        <v>935</v>
      </c>
      <c r="K417" t="s">
        <v>2</v>
      </c>
      <c r="L417" t="s">
        <v>936</v>
      </c>
      <c r="M417" t="s">
        <v>937</v>
      </c>
      <c r="N417" t="s">
        <v>938</v>
      </c>
      <c r="O417" t="s">
        <v>939</v>
      </c>
      <c r="P417">
        <v>960569</v>
      </c>
      <c r="Q417" t="s">
        <v>21</v>
      </c>
      <c r="R417">
        <v>415704</v>
      </c>
      <c r="S417" t="s">
        <v>84</v>
      </c>
      <c r="T417" s="2">
        <v>1</v>
      </c>
      <c r="U417">
        <v>0</v>
      </c>
      <c r="V417" t="s">
        <v>236</v>
      </c>
      <c r="W417">
        <v>0</v>
      </c>
      <c r="X417">
        <v>0</v>
      </c>
      <c r="Y417">
        <v>0</v>
      </c>
      <c r="Z417" t="s">
        <v>88</v>
      </c>
      <c r="AA417" t="s">
        <v>144</v>
      </c>
      <c r="AB417" t="s">
        <v>10</v>
      </c>
      <c r="AC417">
        <v>0</v>
      </c>
      <c r="AD417">
        <v>0</v>
      </c>
      <c r="AE417">
        <v>726182085159</v>
      </c>
      <c r="AF417">
        <v>39.57</v>
      </c>
      <c r="AG417">
        <v>0</v>
      </c>
      <c r="AH417">
        <v>33.5</v>
      </c>
      <c r="AI417">
        <v>73.069999999999993</v>
      </c>
      <c r="AJ417" t="s">
        <v>2</v>
      </c>
      <c r="AK417" t="s">
        <v>11</v>
      </c>
    </row>
    <row r="418" spans="1:37">
      <c r="A418">
        <v>257746</v>
      </c>
      <c r="B418" s="1">
        <v>45366</v>
      </c>
      <c r="C418" t="s">
        <v>942</v>
      </c>
      <c r="D418" t="s">
        <v>943</v>
      </c>
      <c r="E418" t="s">
        <v>2</v>
      </c>
      <c r="F418" t="s">
        <v>818</v>
      </c>
      <c r="G418" t="s">
        <v>587</v>
      </c>
      <c r="H418">
        <v>46236</v>
      </c>
      <c r="I418" t="s">
        <v>944</v>
      </c>
      <c r="J418" t="s">
        <v>945</v>
      </c>
      <c r="K418" t="s">
        <v>2</v>
      </c>
      <c r="L418" t="s">
        <v>946</v>
      </c>
      <c r="M418" t="s">
        <v>587</v>
      </c>
      <c r="N418">
        <v>46143</v>
      </c>
      <c r="O418" t="s">
        <v>947</v>
      </c>
      <c r="P418">
        <v>10174576</v>
      </c>
      <c r="Q418" t="s">
        <v>6</v>
      </c>
      <c r="R418">
        <v>415705</v>
      </c>
      <c r="S418" t="s">
        <v>84</v>
      </c>
      <c r="T418" s="2">
        <v>1</v>
      </c>
      <c r="U418">
        <v>0</v>
      </c>
      <c r="V418" t="s">
        <v>260</v>
      </c>
      <c r="W418">
        <v>0</v>
      </c>
      <c r="X418">
        <v>0</v>
      </c>
      <c r="Y418">
        <v>0</v>
      </c>
      <c r="Z418" t="s">
        <v>9</v>
      </c>
      <c r="AA418" t="s">
        <v>2</v>
      </c>
      <c r="AB418" t="s">
        <v>10</v>
      </c>
      <c r="AC418">
        <v>0</v>
      </c>
      <c r="AD418">
        <v>0</v>
      </c>
      <c r="AE418">
        <v>726182085160</v>
      </c>
      <c r="AF418">
        <v>263.08</v>
      </c>
      <c r="AG418">
        <v>0</v>
      </c>
      <c r="AH418">
        <v>42.22</v>
      </c>
      <c r="AI418">
        <v>305.3</v>
      </c>
      <c r="AJ418" t="s">
        <v>2</v>
      </c>
      <c r="AK418" t="s">
        <v>11</v>
      </c>
    </row>
    <row r="419" spans="1:37">
      <c r="A419">
        <v>257746</v>
      </c>
      <c r="B419" s="1">
        <v>45366</v>
      </c>
      <c r="C419" t="s">
        <v>942</v>
      </c>
      <c r="D419" t="s">
        <v>943</v>
      </c>
      <c r="E419" t="s">
        <v>2</v>
      </c>
      <c r="F419" t="s">
        <v>818</v>
      </c>
      <c r="G419" t="s">
        <v>587</v>
      </c>
      <c r="H419">
        <v>46236</v>
      </c>
      <c r="I419" t="s">
        <v>944</v>
      </c>
      <c r="J419" t="s">
        <v>945</v>
      </c>
      <c r="K419" t="s">
        <v>2</v>
      </c>
      <c r="L419" t="s">
        <v>946</v>
      </c>
      <c r="M419" t="s">
        <v>587</v>
      </c>
      <c r="N419">
        <v>46143</v>
      </c>
      <c r="O419" t="s">
        <v>947</v>
      </c>
      <c r="P419">
        <v>10174576</v>
      </c>
      <c r="Q419" t="s">
        <v>6</v>
      </c>
      <c r="R419">
        <v>415705</v>
      </c>
      <c r="S419" t="s">
        <v>84</v>
      </c>
      <c r="T419" s="2">
        <v>1</v>
      </c>
      <c r="U419">
        <v>0</v>
      </c>
      <c r="V419" t="s">
        <v>260</v>
      </c>
      <c r="W419">
        <v>1</v>
      </c>
      <c r="X419">
        <v>1</v>
      </c>
      <c r="Y419">
        <v>0</v>
      </c>
      <c r="Z419" t="s">
        <v>948</v>
      </c>
      <c r="AA419" t="s">
        <v>949</v>
      </c>
      <c r="AB419" t="s">
        <v>14</v>
      </c>
      <c r="AC419">
        <v>263.08</v>
      </c>
      <c r="AD419">
        <v>263.08</v>
      </c>
      <c r="AE419">
        <v>726182085160</v>
      </c>
      <c r="AF419">
        <v>263.08</v>
      </c>
      <c r="AG419">
        <v>0</v>
      </c>
      <c r="AH419">
        <v>42.22</v>
      </c>
      <c r="AI419">
        <v>305.3</v>
      </c>
      <c r="AJ419" t="s">
        <v>2</v>
      </c>
      <c r="AK419" t="s">
        <v>11</v>
      </c>
    </row>
    <row r="420" spans="1:37">
      <c r="A420">
        <v>257746</v>
      </c>
      <c r="B420" s="1">
        <v>45366</v>
      </c>
      <c r="C420" t="s">
        <v>942</v>
      </c>
      <c r="D420" t="s">
        <v>943</v>
      </c>
      <c r="E420" t="s">
        <v>2</v>
      </c>
      <c r="F420" t="s">
        <v>818</v>
      </c>
      <c r="G420" t="s">
        <v>587</v>
      </c>
      <c r="H420">
        <v>46236</v>
      </c>
      <c r="I420" t="s">
        <v>944</v>
      </c>
      <c r="J420" t="s">
        <v>945</v>
      </c>
      <c r="K420" t="s">
        <v>2</v>
      </c>
      <c r="L420" t="s">
        <v>946</v>
      </c>
      <c r="M420" t="s">
        <v>587</v>
      </c>
      <c r="N420">
        <v>46143</v>
      </c>
      <c r="O420" t="s">
        <v>947</v>
      </c>
      <c r="P420">
        <v>10174576</v>
      </c>
      <c r="Q420" t="s">
        <v>6</v>
      </c>
      <c r="R420">
        <v>415705</v>
      </c>
      <c r="S420" t="s">
        <v>84</v>
      </c>
      <c r="T420" s="2">
        <v>1</v>
      </c>
      <c r="U420">
        <v>0</v>
      </c>
      <c r="V420" t="s">
        <v>260</v>
      </c>
      <c r="W420">
        <v>0</v>
      </c>
      <c r="X420">
        <v>0</v>
      </c>
      <c r="Y420">
        <v>0</v>
      </c>
      <c r="Z420" t="s">
        <v>88</v>
      </c>
      <c r="AA420" t="s">
        <v>950</v>
      </c>
      <c r="AB420" t="s">
        <v>10</v>
      </c>
      <c r="AC420">
        <v>0</v>
      </c>
      <c r="AD420">
        <v>0</v>
      </c>
      <c r="AE420">
        <v>726182085160</v>
      </c>
      <c r="AF420">
        <v>263.08</v>
      </c>
      <c r="AG420">
        <v>0</v>
      </c>
      <c r="AH420">
        <v>42.22</v>
      </c>
      <c r="AI420">
        <v>305.3</v>
      </c>
      <c r="AJ420" t="s">
        <v>2</v>
      </c>
      <c r="AK420" t="s">
        <v>11</v>
      </c>
    </row>
    <row r="421" spans="1:37">
      <c r="A421">
        <v>257747</v>
      </c>
      <c r="B421" s="1">
        <v>45366</v>
      </c>
      <c r="C421" t="s">
        <v>951</v>
      </c>
      <c r="D421" t="s">
        <v>952</v>
      </c>
      <c r="E421" t="s">
        <v>2</v>
      </c>
      <c r="F421" t="s">
        <v>953</v>
      </c>
      <c r="G421" t="s">
        <v>493</v>
      </c>
      <c r="H421">
        <v>21234</v>
      </c>
      <c r="I421" t="s">
        <v>954</v>
      </c>
      <c r="J421" t="s">
        <v>955</v>
      </c>
      <c r="K421" t="s">
        <v>956</v>
      </c>
      <c r="L421" t="s">
        <v>957</v>
      </c>
      <c r="M421" t="s">
        <v>173</v>
      </c>
      <c r="N421">
        <v>98136</v>
      </c>
      <c r="O421" t="s">
        <v>958</v>
      </c>
      <c r="P421">
        <v>4002</v>
      </c>
      <c r="Q421" t="s">
        <v>21</v>
      </c>
      <c r="R421">
        <v>415715</v>
      </c>
      <c r="S421" t="s">
        <v>84</v>
      </c>
      <c r="T421" s="2">
        <v>1</v>
      </c>
      <c r="U421">
        <v>0</v>
      </c>
      <c r="V421" t="s">
        <v>260</v>
      </c>
      <c r="W421">
        <v>0</v>
      </c>
      <c r="X421">
        <v>0</v>
      </c>
      <c r="Y421">
        <v>0</v>
      </c>
      <c r="Z421" t="s">
        <v>9</v>
      </c>
      <c r="AA421" t="s">
        <v>2</v>
      </c>
      <c r="AB421" t="s">
        <v>10</v>
      </c>
      <c r="AC421">
        <v>0</v>
      </c>
      <c r="AD421">
        <v>0</v>
      </c>
      <c r="AE421">
        <v>726182085104</v>
      </c>
      <c r="AF421">
        <v>220.68</v>
      </c>
      <c r="AG421">
        <v>0</v>
      </c>
      <c r="AH421">
        <v>53.27</v>
      </c>
      <c r="AI421">
        <v>273.95</v>
      </c>
      <c r="AJ421" t="s">
        <v>2</v>
      </c>
      <c r="AK421" t="s">
        <v>11</v>
      </c>
    </row>
    <row r="422" spans="1:37">
      <c r="A422">
        <v>257747</v>
      </c>
      <c r="B422" s="1">
        <v>45366</v>
      </c>
      <c r="C422" t="s">
        <v>951</v>
      </c>
      <c r="D422" t="s">
        <v>952</v>
      </c>
      <c r="E422" t="s">
        <v>2</v>
      </c>
      <c r="F422" t="s">
        <v>953</v>
      </c>
      <c r="G422" t="s">
        <v>493</v>
      </c>
      <c r="H422">
        <v>21234</v>
      </c>
      <c r="I422" t="s">
        <v>954</v>
      </c>
      <c r="J422" t="s">
        <v>955</v>
      </c>
      <c r="K422" t="s">
        <v>956</v>
      </c>
      <c r="L422" t="s">
        <v>957</v>
      </c>
      <c r="M422" t="s">
        <v>173</v>
      </c>
      <c r="N422">
        <v>98136</v>
      </c>
      <c r="O422" t="s">
        <v>958</v>
      </c>
      <c r="P422">
        <v>4002</v>
      </c>
      <c r="Q422" t="s">
        <v>21</v>
      </c>
      <c r="R422">
        <v>415715</v>
      </c>
      <c r="S422" t="s">
        <v>84</v>
      </c>
      <c r="T422" s="2">
        <v>1</v>
      </c>
      <c r="U422">
        <v>0</v>
      </c>
      <c r="V422" t="s">
        <v>260</v>
      </c>
      <c r="W422">
        <v>1</v>
      </c>
      <c r="X422">
        <v>1</v>
      </c>
      <c r="Y422">
        <v>0</v>
      </c>
      <c r="Z422" t="s">
        <v>959</v>
      </c>
      <c r="AA422" t="s">
        <v>960</v>
      </c>
      <c r="AB422" t="s">
        <v>14</v>
      </c>
      <c r="AC422">
        <v>220.6823</v>
      </c>
      <c r="AD422">
        <v>220.68</v>
      </c>
      <c r="AE422">
        <v>726182085104</v>
      </c>
      <c r="AF422">
        <v>220.68</v>
      </c>
      <c r="AG422">
        <v>0</v>
      </c>
      <c r="AH422">
        <v>53.27</v>
      </c>
      <c r="AI422">
        <v>273.95</v>
      </c>
      <c r="AJ422" t="s">
        <v>2</v>
      </c>
      <c r="AK422" t="s">
        <v>11</v>
      </c>
    </row>
    <row r="423" spans="1:37">
      <c r="A423">
        <v>257747</v>
      </c>
      <c r="B423" s="1">
        <v>45366</v>
      </c>
      <c r="C423" t="s">
        <v>951</v>
      </c>
      <c r="D423" t="s">
        <v>952</v>
      </c>
      <c r="E423" t="s">
        <v>2</v>
      </c>
      <c r="F423" t="s">
        <v>953</v>
      </c>
      <c r="G423" t="s">
        <v>493</v>
      </c>
      <c r="H423">
        <v>21234</v>
      </c>
      <c r="I423" t="s">
        <v>954</v>
      </c>
      <c r="J423" t="s">
        <v>955</v>
      </c>
      <c r="K423" t="s">
        <v>956</v>
      </c>
      <c r="L423" t="s">
        <v>957</v>
      </c>
      <c r="M423" t="s">
        <v>173</v>
      </c>
      <c r="N423">
        <v>98136</v>
      </c>
      <c r="O423" t="s">
        <v>958</v>
      </c>
      <c r="P423">
        <v>4002</v>
      </c>
      <c r="Q423" t="s">
        <v>21</v>
      </c>
      <c r="R423">
        <v>415715</v>
      </c>
      <c r="S423" t="s">
        <v>84</v>
      </c>
      <c r="T423" s="2">
        <v>1</v>
      </c>
      <c r="U423">
        <v>0</v>
      </c>
      <c r="V423" t="s">
        <v>260</v>
      </c>
      <c r="W423">
        <v>0</v>
      </c>
      <c r="X423">
        <v>0</v>
      </c>
      <c r="Y423">
        <v>0</v>
      </c>
      <c r="Z423" t="s">
        <v>88</v>
      </c>
      <c r="AA423" t="s">
        <v>887</v>
      </c>
      <c r="AB423" t="s">
        <v>10</v>
      </c>
      <c r="AC423">
        <v>0</v>
      </c>
      <c r="AD423">
        <v>0</v>
      </c>
      <c r="AE423">
        <v>726182085104</v>
      </c>
      <c r="AF423">
        <v>220.68</v>
      </c>
      <c r="AG423">
        <v>0</v>
      </c>
      <c r="AH423">
        <v>53.27</v>
      </c>
      <c r="AI423">
        <v>273.95</v>
      </c>
      <c r="AJ423" t="s">
        <v>2</v>
      </c>
      <c r="AK423" t="s">
        <v>11</v>
      </c>
    </row>
    <row r="424" spans="1:37">
      <c r="A424">
        <v>257748</v>
      </c>
      <c r="B424" s="1">
        <v>45366</v>
      </c>
      <c r="C424" t="s">
        <v>961</v>
      </c>
      <c r="D424" t="s">
        <v>962</v>
      </c>
      <c r="E424" t="s">
        <v>2</v>
      </c>
      <c r="F424" t="s">
        <v>963</v>
      </c>
      <c r="G424" t="s">
        <v>964</v>
      </c>
      <c r="H424">
        <v>58102</v>
      </c>
      <c r="I424" t="s">
        <v>965</v>
      </c>
      <c r="J424" t="s">
        <v>966</v>
      </c>
      <c r="K424" t="s">
        <v>2</v>
      </c>
      <c r="L424" t="s">
        <v>967</v>
      </c>
      <c r="M424" t="s">
        <v>75</v>
      </c>
      <c r="N424">
        <v>56308</v>
      </c>
      <c r="O424" t="s">
        <v>968</v>
      </c>
      <c r="P424">
        <v>64553</v>
      </c>
      <c r="Q424" t="s">
        <v>6</v>
      </c>
      <c r="R424">
        <v>415716</v>
      </c>
      <c r="S424" t="s">
        <v>84</v>
      </c>
      <c r="T424" s="2">
        <v>1</v>
      </c>
      <c r="U424">
        <v>0</v>
      </c>
      <c r="V424" t="s">
        <v>260</v>
      </c>
      <c r="W424">
        <v>0</v>
      </c>
      <c r="X424">
        <v>0</v>
      </c>
      <c r="Y424">
        <v>0</v>
      </c>
      <c r="Z424" t="s">
        <v>9</v>
      </c>
      <c r="AA424" t="s">
        <v>2</v>
      </c>
      <c r="AB424" t="s">
        <v>10</v>
      </c>
      <c r="AC424">
        <v>0</v>
      </c>
      <c r="AD424">
        <v>0</v>
      </c>
      <c r="AE424">
        <v>726182085067</v>
      </c>
      <c r="AF424">
        <v>1410.89</v>
      </c>
      <c r="AG424">
        <v>0</v>
      </c>
      <c r="AH424">
        <v>64.94</v>
      </c>
      <c r="AI424">
        <v>1475.83</v>
      </c>
      <c r="AJ424" t="s">
        <v>2</v>
      </c>
      <c r="AK424" t="s">
        <v>11</v>
      </c>
    </row>
    <row r="425" spans="1:37">
      <c r="A425">
        <v>257748</v>
      </c>
      <c r="B425" s="1">
        <v>45366</v>
      </c>
      <c r="C425" t="s">
        <v>961</v>
      </c>
      <c r="D425" t="s">
        <v>962</v>
      </c>
      <c r="E425" t="s">
        <v>2</v>
      </c>
      <c r="F425" t="s">
        <v>963</v>
      </c>
      <c r="G425" t="s">
        <v>964</v>
      </c>
      <c r="H425">
        <v>58102</v>
      </c>
      <c r="I425" t="s">
        <v>965</v>
      </c>
      <c r="J425" t="s">
        <v>966</v>
      </c>
      <c r="K425" t="s">
        <v>2</v>
      </c>
      <c r="L425" t="s">
        <v>967</v>
      </c>
      <c r="M425" t="s">
        <v>75</v>
      </c>
      <c r="N425">
        <v>56308</v>
      </c>
      <c r="O425" t="s">
        <v>968</v>
      </c>
      <c r="P425">
        <v>64553</v>
      </c>
      <c r="Q425" t="s">
        <v>6</v>
      </c>
      <c r="R425">
        <v>415716</v>
      </c>
      <c r="S425" t="s">
        <v>84</v>
      </c>
      <c r="T425" s="2">
        <v>1</v>
      </c>
      <c r="U425">
        <v>0</v>
      </c>
      <c r="V425" t="s">
        <v>260</v>
      </c>
      <c r="W425">
        <v>1</v>
      </c>
      <c r="X425">
        <v>1</v>
      </c>
      <c r="Y425">
        <v>0</v>
      </c>
      <c r="Z425" t="s">
        <v>969</v>
      </c>
      <c r="AA425" t="s">
        <v>970</v>
      </c>
      <c r="AB425" t="s">
        <v>14</v>
      </c>
      <c r="AC425">
        <v>1410.8857</v>
      </c>
      <c r="AD425">
        <v>1410.89</v>
      </c>
      <c r="AE425">
        <v>726182085067</v>
      </c>
      <c r="AF425">
        <v>1410.89</v>
      </c>
      <c r="AG425">
        <v>0</v>
      </c>
      <c r="AH425">
        <v>64.94</v>
      </c>
      <c r="AI425">
        <v>1475.83</v>
      </c>
      <c r="AJ425" t="s">
        <v>2</v>
      </c>
      <c r="AK425" t="s">
        <v>11</v>
      </c>
    </row>
    <row r="426" spans="1:37">
      <c r="A426">
        <v>257748</v>
      </c>
      <c r="B426" s="1">
        <v>45366</v>
      </c>
      <c r="C426" t="s">
        <v>961</v>
      </c>
      <c r="D426" t="s">
        <v>962</v>
      </c>
      <c r="E426" t="s">
        <v>2</v>
      </c>
      <c r="F426" t="s">
        <v>963</v>
      </c>
      <c r="G426" t="s">
        <v>964</v>
      </c>
      <c r="H426">
        <v>58102</v>
      </c>
      <c r="I426" t="s">
        <v>965</v>
      </c>
      <c r="J426" t="s">
        <v>966</v>
      </c>
      <c r="K426" t="s">
        <v>2</v>
      </c>
      <c r="L426" t="s">
        <v>967</v>
      </c>
      <c r="M426" t="s">
        <v>75</v>
      </c>
      <c r="N426">
        <v>56308</v>
      </c>
      <c r="O426" t="s">
        <v>968</v>
      </c>
      <c r="P426">
        <v>64553</v>
      </c>
      <c r="Q426" t="s">
        <v>6</v>
      </c>
      <c r="R426">
        <v>415716</v>
      </c>
      <c r="S426" t="s">
        <v>84</v>
      </c>
      <c r="T426" s="2">
        <v>1</v>
      </c>
      <c r="U426">
        <v>0</v>
      </c>
      <c r="V426" t="s">
        <v>260</v>
      </c>
      <c r="W426">
        <v>0</v>
      </c>
      <c r="X426">
        <v>0</v>
      </c>
      <c r="Y426">
        <v>0</v>
      </c>
      <c r="Z426" t="s">
        <v>88</v>
      </c>
      <c r="AA426" t="s">
        <v>971</v>
      </c>
      <c r="AB426" t="s">
        <v>10</v>
      </c>
      <c r="AC426">
        <v>0</v>
      </c>
      <c r="AD426">
        <v>0</v>
      </c>
      <c r="AE426">
        <v>726182085067</v>
      </c>
      <c r="AF426">
        <v>1410.89</v>
      </c>
      <c r="AG426">
        <v>0</v>
      </c>
      <c r="AH426">
        <v>64.94</v>
      </c>
      <c r="AI426">
        <v>1475.83</v>
      </c>
      <c r="AJ426" t="s">
        <v>2</v>
      </c>
      <c r="AK426" t="s">
        <v>11</v>
      </c>
    </row>
    <row r="427" spans="1:37">
      <c r="A427">
        <v>257749</v>
      </c>
      <c r="B427" s="1">
        <v>45366</v>
      </c>
      <c r="C427" t="s">
        <v>972</v>
      </c>
      <c r="D427" t="s">
        <v>973</v>
      </c>
      <c r="E427" t="s">
        <v>2</v>
      </c>
      <c r="F427" t="s">
        <v>66</v>
      </c>
      <c r="G427" t="s">
        <v>67</v>
      </c>
      <c r="H427">
        <v>75356</v>
      </c>
      <c r="I427" t="s">
        <v>974</v>
      </c>
      <c r="J427" t="s">
        <v>975</v>
      </c>
      <c r="K427" t="s">
        <v>976</v>
      </c>
      <c r="L427" t="s">
        <v>66</v>
      </c>
      <c r="M427" t="s">
        <v>67</v>
      </c>
      <c r="N427">
        <v>75247</v>
      </c>
      <c r="O427" t="s">
        <v>977</v>
      </c>
      <c r="P427" t="s">
        <v>978</v>
      </c>
      <c r="Q427" t="s">
        <v>6</v>
      </c>
      <c r="R427">
        <v>415717</v>
      </c>
      <c r="S427" t="s">
        <v>84</v>
      </c>
      <c r="T427" s="2">
        <v>2</v>
      </c>
      <c r="U427">
        <v>0</v>
      </c>
      <c r="V427" t="s">
        <v>260</v>
      </c>
      <c r="W427">
        <v>0</v>
      </c>
      <c r="X427">
        <v>0</v>
      </c>
      <c r="Y427">
        <v>0</v>
      </c>
      <c r="Z427" t="s">
        <v>9</v>
      </c>
      <c r="AA427" t="s">
        <v>2</v>
      </c>
      <c r="AB427" t="s">
        <v>10</v>
      </c>
      <c r="AC427">
        <v>0</v>
      </c>
      <c r="AD427">
        <v>0</v>
      </c>
      <c r="AE427">
        <v>726182085078</v>
      </c>
      <c r="AF427">
        <v>330</v>
      </c>
      <c r="AG427">
        <v>0</v>
      </c>
      <c r="AH427">
        <v>75.14</v>
      </c>
      <c r="AI427">
        <v>405.14</v>
      </c>
      <c r="AJ427" t="s">
        <v>2</v>
      </c>
      <c r="AK427" t="s">
        <v>11</v>
      </c>
    </row>
    <row r="428" spans="1:37">
      <c r="A428">
        <v>257749</v>
      </c>
      <c r="B428" s="1">
        <v>45366</v>
      </c>
      <c r="C428" t="s">
        <v>972</v>
      </c>
      <c r="D428" t="s">
        <v>973</v>
      </c>
      <c r="E428" t="s">
        <v>2</v>
      </c>
      <c r="F428" t="s">
        <v>66</v>
      </c>
      <c r="G428" t="s">
        <v>67</v>
      </c>
      <c r="H428">
        <v>75356</v>
      </c>
      <c r="I428" t="s">
        <v>974</v>
      </c>
      <c r="J428" t="s">
        <v>975</v>
      </c>
      <c r="K428" t="s">
        <v>976</v>
      </c>
      <c r="L428" t="s">
        <v>66</v>
      </c>
      <c r="M428" t="s">
        <v>67</v>
      </c>
      <c r="N428">
        <v>75247</v>
      </c>
      <c r="O428" t="s">
        <v>977</v>
      </c>
      <c r="P428" t="s">
        <v>978</v>
      </c>
      <c r="Q428" t="s">
        <v>6</v>
      </c>
      <c r="R428">
        <v>415717</v>
      </c>
      <c r="S428" t="s">
        <v>84</v>
      </c>
      <c r="T428" s="2">
        <v>2</v>
      </c>
      <c r="U428">
        <v>0</v>
      </c>
      <c r="V428" t="s">
        <v>260</v>
      </c>
      <c r="W428">
        <v>2</v>
      </c>
      <c r="X428">
        <v>2</v>
      </c>
      <c r="Y428">
        <v>0</v>
      </c>
      <c r="Z428" t="s">
        <v>979</v>
      </c>
      <c r="AA428" t="s">
        <v>980</v>
      </c>
      <c r="AB428" t="s">
        <v>14</v>
      </c>
      <c r="AC428">
        <v>164.99940000000001</v>
      </c>
      <c r="AD428">
        <v>330</v>
      </c>
      <c r="AE428">
        <v>726182085078</v>
      </c>
      <c r="AF428">
        <v>330</v>
      </c>
      <c r="AG428">
        <v>0</v>
      </c>
      <c r="AH428">
        <v>75.14</v>
      </c>
      <c r="AI428">
        <v>405.14</v>
      </c>
      <c r="AJ428" t="s">
        <v>2</v>
      </c>
      <c r="AK428" t="s">
        <v>11</v>
      </c>
    </row>
    <row r="429" spans="1:37">
      <c r="A429">
        <v>257749</v>
      </c>
      <c r="B429" s="1">
        <v>45366</v>
      </c>
      <c r="C429" t="s">
        <v>972</v>
      </c>
      <c r="D429" t="s">
        <v>973</v>
      </c>
      <c r="E429" t="s">
        <v>2</v>
      </c>
      <c r="F429" t="s">
        <v>66</v>
      </c>
      <c r="G429" t="s">
        <v>67</v>
      </c>
      <c r="H429">
        <v>75356</v>
      </c>
      <c r="I429" t="s">
        <v>974</v>
      </c>
      <c r="J429" t="s">
        <v>975</v>
      </c>
      <c r="K429" t="s">
        <v>976</v>
      </c>
      <c r="L429" t="s">
        <v>66</v>
      </c>
      <c r="M429" t="s">
        <v>67</v>
      </c>
      <c r="N429">
        <v>75247</v>
      </c>
      <c r="O429" t="s">
        <v>977</v>
      </c>
      <c r="P429" t="s">
        <v>978</v>
      </c>
      <c r="Q429" t="s">
        <v>6</v>
      </c>
      <c r="R429">
        <v>415717</v>
      </c>
      <c r="S429" t="s">
        <v>84</v>
      </c>
      <c r="T429" s="2">
        <v>2</v>
      </c>
      <c r="U429">
        <v>0</v>
      </c>
      <c r="V429" t="s">
        <v>260</v>
      </c>
      <c r="W429">
        <v>0</v>
      </c>
      <c r="X429">
        <v>0</v>
      </c>
      <c r="Y429">
        <v>0</v>
      </c>
      <c r="Z429" t="s">
        <v>88</v>
      </c>
      <c r="AA429" t="s">
        <v>107</v>
      </c>
      <c r="AB429" t="s">
        <v>10</v>
      </c>
      <c r="AC429">
        <v>0</v>
      </c>
      <c r="AD429">
        <v>0</v>
      </c>
      <c r="AE429">
        <v>726182085078</v>
      </c>
      <c r="AF429">
        <v>330</v>
      </c>
      <c r="AG429">
        <v>0</v>
      </c>
      <c r="AH429">
        <v>75.14</v>
      </c>
      <c r="AI429">
        <v>405.14</v>
      </c>
      <c r="AJ429" t="s">
        <v>2</v>
      </c>
      <c r="AK429" t="s">
        <v>11</v>
      </c>
    </row>
    <row r="430" spans="1:37">
      <c r="A430">
        <v>257750</v>
      </c>
      <c r="B430" s="1">
        <v>45366</v>
      </c>
      <c r="C430" t="s">
        <v>981</v>
      </c>
      <c r="D430" t="s">
        <v>982</v>
      </c>
      <c r="E430" t="s">
        <v>2</v>
      </c>
      <c r="F430" t="s">
        <v>983</v>
      </c>
      <c r="G430" t="s">
        <v>439</v>
      </c>
      <c r="H430">
        <v>67504</v>
      </c>
      <c r="I430" t="s">
        <v>984</v>
      </c>
      <c r="J430" t="s">
        <v>985</v>
      </c>
      <c r="K430" t="s">
        <v>2</v>
      </c>
      <c r="L430" t="s">
        <v>983</v>
      </c>
      <c r="M430" t="s">
        <v>439</v>
      </c>
      <c r="N430">
        <v>67501</v>
      </c>
      <c r="O430" t="s">
        <v>986</v>
      </c>
      <c r="P430">
        <v>188760</v>
      </c>
      <c r="Q430" t="s">
        <v>38</v>
      </c>
      <c r="R430">
        <v>415566</v>
      </c>
      <c r="S430" t="s">
        <v>987</v>
      </c>
      <c r="T430" s="2">
        <v>1</v>
      </c>
      <c r="U430">
        <v>0</v>
      </c>
      <c r="V430" t="s">
        <v>260</v>
      </c>
      <c r="W430">
        <v>0</v>
      </c>
      <c r="X430">
        <v>0</v>
      </c>
      <c r="Y430">
        <v>0</v>
      </c>
      <c r="Z430" t="s">
        <v>9</v>
      </c>
      <c r="AA430" t="s">
        <v>2</v>
      </c>
      <c r="AB430" t="s">
        <v>10</v>
      </c>
      <c r="AC430">
        <v>0</v>
      </c>
      <c r="AD430">
        <v>0</v>
      </c>
      <c r="AE430" t="s">
        <v>988</v>
      </c>
      <c r="AF430">
        <v>954.53</v>
      </c>
      <c r="AG430">
        <v>0</v>
      </c>
      <c r="AH430">
        <v>0</v>
      </c>
      <c r="AI430">
        <v>954.53</v>
      </c>
      <c r="AJ430" t="s">
        <v>2</v>
      </c>
      <c r="AK430" t="s">
        <v>11</v>
      </c>
    </row>
    <row r="431" spans="1:37">
      <c r="A431">
        <v>257750</v>
      </c>
      <c r="B431" s="1">
        <v>45366</v>
      </c>
      <c r="C431" t="s">
        <v>981</v>
      </c>
      <c r="D431" t="s">
        <v>982</v>
      </c>
      <c r="E431" t="s">
        <v>2</v>
      </c>
      <c r="F431" t="s">
        <v>983</v>
      </c>
      <c r="G431" t="s">
        <v>439</v>
      </c>
      <c r="H431">
        <v>67504</v>
      </c>
      <c r="I431" t="s">
        <v>984</v>
      </c>
      <c r="J431" t="s">
        <v>985</v>
      </c>
      <c r="K431" t="s">
        <v>2</v>
      </c>
      <c r="L431" t="s">
        <v>983</v>
      </c>
      <c r="M431" t="s">
        <v>439</v>
      </c>
      <c r="N431">
        <v>67501</v>
      </c>
      <c r="O431" t="s">
        <v>986</v>
      </c>
      <c r="P431">
        <v>188760</v>
      </c>
      <c r="Q431" t="s">
        <v>38</v>
      </c>
      <c r="R431">
        <v>415566</v>
      </c>
      <c r="S431" t="s">
        <v>987</v>
      </c>
      <c r="T431" s="2">
        <v>1</v>
      </c>
      <c r="U431">
        <v>0</v>
      </c>
      <c r="V431" t="s">
        <v>260</v>
      </c>
      <c r="W431">
        <v>1</v>
      </c>
      <c r="X431">
        <v>1</v>
      </c>
      <c r="Y431">
        <v>0</v>
      </c>
      <c r="Z431" t="s">
        <v>989</v>
      </c>
      <c r="AA431" t="s">
        <v>990</v>
      </c>
      <c r="AB431" t="s">
        <v>14</v>
      </c>
      <c r="AC431">
        <v>954.52739999999994</v>
      </c>
      <c r="AD431">
        <v>954.53</v>
      </c>
      <c r="AE431" t="s">
        <v>988</v>
      </c>
      <c r="AF431">
        <v>954.53</v>
      </c>
      <c r="AG431">
        <v>0</v>
      </c>
      <c r="AH431">
        <v>0</v>
      </c>
      <c r="AI431">
        <v>954.53</v>
      </c>
      <c r="AJ431" t="s">
        <v>2</v>
      </c>
      <c r="AK431" t="s">
        <v>11</v>
      </c>
    </row>
    <row r="432" spans="1:37">
      <c r="A432">
        <v>257750</v>
      </c>
      <c r="B432" s="1">
        <v>45366</v>
      </c>
      <c r="C432" t="s">
        <v>981</v>
      </c>
      <c r="D432" t="s">
        <v>982</v>
      </c>
      <c r="E432" t="s">
        <v>2</v>
      </c>
      <c r="F432" t="s">
        <v>983</v>
      </c>
      <c r="G432" t="s">
        <v>439</v>
      </c>
      <c r="H432">
        <v>67504</v>
      </c>
      <c r="I432" t="s">
        <v>984</v>
      </c>
      <c r="J432" t="s">
        <v>985</v>
      </c>
      <c r="K432" t="s">
        <v>2</v>
      </c>
      <c r="L432" t="s">
        <v>983</v>
      </c>
      <c r="M432" t="s">
        <v>439</v>
      </c>
      <c r="N432">
        <v>67501</v>
      </c>
      <c r="O432" t="s">
        <v>986</v>
      </c>
      <c r="P432">
        <v>188760</v>
      </c>
      <c r="Q432" t="s">
        <v>38</v>
      </c>
      <c r="R432">
        <v>415566</v>
      </c>
      <c r="S432" t="s">
        <v>987</v>
      </c>
      <c r="T432" s="2">
        <v>1</v>
      </c>
      <c r="U432">
        <v>0</v>
      </c>
      <c r="V432" t="s">
        <v>260</v>
      </c>
      <c r="W432">
        <v>0</v>
      </c>
      <c r="X432">
        <v>0</v>
      </c>
      <c r="Y432">
        <v>0</v>
      </c>
      <c r="Z432" t="s">
        <v>88</v>
      </c>
      <c r="AA432" t="s">
        <v>240</v>
      </c>
      <c r="AB432" t="s">
        <v>10</v>
      </c>
      <c r="AC432">
        <v>0</v>
      </c>
      <c r="AD432">
        <v>0</v>
      </c>
      <c r="AE432" t="s">
        <v>988</v>
      </c>
      <c r="AF432">
        <v>954.53</v>
      </c>
      <c r="AG432">
        <v>0</v>
      </c>
      <c r="AH432">
        <v>0</v>
      </c>
      <c r="AI432">
        <v>954.53</v>
      </c>
      <c r="AJ432" t="s">
        <v>2</v>
      </c>
      <c r="AK432" t="s">
        <v>11</v>
      </c>
    </row>
    <row r="433" spans="1:37">
      <c r="A433">
        <v>257750</v>
      </c>
      <c r="B433" s="1">
        <v>45366</v>
      </c>
      <c r="C433" t="s">
        <v>981</v>
      </c>
      <c r="D433" t="s">
        <v>982</v>
      </c>
      <c r="E433" t="s">
        <v>2</v>
      </c>
      <c r="F433" t="s">
        <v>983</v>
      </c>
      <c r="G433" t="s">
        <v>439</v>
      </c>
      <c r="H433">
        <v>67504</v>
      </c>
      <c r="I433" t="s">
        <v>984</v>
      </c>
      <c r="J433" t="s">
        <v>985</v>
      </c>
      <c r="K433" t="s">
        <v>2</v>
      </c>
      <c r="L433" t="s">
        <v>983</v>
      </c>
      <c r="M433" t="s">
        <v>439</v>
      </c>
      <c r="N433">
        <v>67501</v>
      </c>
      <c r="O433" t="s">
        <v>986</v>
      </c>
      <c r="P433">
        <v>188760</v>
      </c>
      <c r="Q433" t="s">
        <v>38</v>
      </c>
      <c r="R433">
        <v>415566</v>
      </c>
      <c r="S433" t="s">
        <v>987</v>
      </c>
      <c r="T433" s="2">
        <v>1</v>
      </c>
      <c r="U433">
        <v>0</v>
      </c>
      <c r="V433" t="s">
        <v>260</v>
      </c>
      <c r="W433">
        <v>0</v>
      </c>
      <c r="X433">
        <v>0</v>
      </c>
      <c r="Y433">
        <v>0</v>
      </c>
      <c r="Z433" t="s">
        <v>88</v>
      </c>
      <c r="AA433" t="s">
        <v>311</v>
      </c>
      <c r="AB433" t="s">
        <v>10</v>
      </c>
      <c r="AC433">
        <v>0</v>
      </c>
      <c r="AD433">
        <v>0</v>
      </c>
      <c r="AE433" t="s">
        <v>988</v>
      </c>
      <c r="AF433">
        <v>954.53</v>
      </c>
      <c r="AG433">
        <v>0</v>
      </c>
      <c r="AH433">
        <v>0</v>
      </c>
      <c r="AI433">
        <v>954.53</v>
      </c>
      <c r="AJ433" t="s">
        <v>2</v>
      </c>
      <c r="AK433" t="s">
        <v>11</v>
      </c>
    </row>
    <row r="434" spans="1:37">
      <c r="A434">
        <v>257750</v>
      </c>
      <c r="B434" s="1">
        <v>45366</v>
      </c>
      <c r="C434" t="s">
        <v>981</v>
      </c>
      <c r="D434" t="s">
        <v>982</v>
      </c>
      <c r="E434" t="s">
        <v>2</v>
      </c>
      <c r="F434" t="s">
        <v>983</v>
      </c>
      <c r="G434" t="s">
        <v>439</v>
      </c>
      <c r="H434">
        <v>67504</v>
      </c>
      <c r="I434" t="s">
        <v>984</v>
      </c>
      <c r="J434" t="s">
        <v>985</v>
      </c>
      <c r="K434" t="s">
        <v>2</v>
      </c>
      <c r="L434" t="s">
        <v>983</v>
      </c>
      <c r="M434" t="s">
        <v>439</v>
      </c>
      <c r="N434">
        <v>67501</v>
      </c>
      <c r="O434" t="s">
        <v>986</v>
      </c>
      <c r="P434">
        <v>188760</v>
      </c>
      <c r="Q434" t="s">
        <v>38</v>
      </c>
      <c r="R434">
        <v>415566</v>
      </c>
      <c r="S434" t="s">
        <v>987</v>
      </c>
      <c r="T434" s="2">
        <v>1</v>
      </c>
      <c r="U434">
        <v>0</v>
      </c>
      <c r="V434" t="s">
        <v>260</v>
      </c>
      <c r="W434">
        <v>0</v>
      </c>
      <c r="X434">
        <v>0</v>
      </c>
      <c r="Y434">
        <v>0</v>
      </c>
      <c r="Z434" t="s">
        <v>88</v>
      </c>
      <c r="AA434" t="s">
        <v>991</v>
      </c>
      <c r="AB434" t="s">
        <v>10</v>
      </c>
      <c r="AC434">
        <v>0</v>
      </c>
      <c r="AD434">
        <v>0</v>
      </c>
      <c r="AE434" t="s">
        <v>988</v>
      </c>
      <c r="AF434">
        <v>954.53</v>
      </c>
      <c r="AG434">
        <v>0</v>
      </c>
      <c r="AH434">
        <v>0</v>
      </c>
      <c r="AI434">
        <v>954.53</v>
      </c>
      <c r="AJ434" t="s">
        <v>2</v>
      </c>
      <c r="AK434" t="s">
        <v>11</v>
      </c>
    </row>
    <row r="435" spans="1:37">
      <c r="A435">
        <v>257751</v>
      </c>
      <c r="B435" s="1">
        <v>45366</v>
      </c>
      <c r="C435" t="s">
        <v>214</v>
      </c>
      <c r="D435" t="s">
        <v>215</v>
      </c>
      <c r="E435" t="s">
        <v>2</v>
      </c>
      <c r="F435" t="s">
        <v>216</v>
      </c>
      <c r="G435" t="s">
        <v>137</v>
      </c>
      <c r="H435">
        <v>93703</v>
      </c>
      <c r="I435" t="s">
        <v>992</v>
      </c>
      <c r="J435" t="s">
        <v>993</v>
      </c>
      <c r="K435" t="s">
        <v>2</v>
      </c>
      <c r="L435" t="s">
        <v>216</v>
      </c>
      <c r="M435" t="s">
        <v>137</v>
      </c>
      <c r="N435" t="s">
        <v>994</v>
      </c>
      <c r="O435" t="s">
        <v>221</v>
      </c>
      <c r="P435">
        <v>2277759</v>
      </c>
      <c r="Q435" t="s">
        <v>38</v>
      </c>
      <c r="R435">
        <v>415610</v>
      </c>
      <c r="S435" t="s">
        <v>84</v>
      </c>
      <c r="T435" s="2">
        <v>3</v>
      </c>
      <c r="U435">
        <v>0</v>
      </c>
      <c r="V435" t="s">
        <v>222</v>
      </c>
      <c r="W435">
        <v>0</v>
      </c>
      <c r="X435">
        <v>0</v>
      </c>
      <c r="Y435">
        <v>0</v>
      </c>
      <c r="Z435" t="s">
        <v>9</v>
      </c>
      <c r="AA435" t="s">
        <v>2</v>
      </c>
      <c r="AB435" t="s">
        <v>10</v>
      </c>
      <c r="AC435">
        <v>0</v>
      </c>
      <c r="AD435">
        <v>0</v>
      </c>
      <c r="AE435">
        <v>726182084830</v>
      </c>
      <c r="AF435">
        <v>182.65</v>
      </c>
      <c r="AG435">
        <v>0</v>
      </c>
      <c r="AH435">
        <v>25.64</v>
      </c>
      <c r="AI435">
        <v>208.29</v>
      </c>
      <c r="AJ435" t="s">
        <v>2</v>
      </c>
      <c r="AK435" t="s">
        <v>11</v>
      </c>
    </row>
    <row r="436" spans="1:37">
      <c r="A436">
        <v>257751</v>
      </c>
      <c r="B436" s="1">
        <v>45366</v>
      </c>
      <c r="C436" t="s">
        <v>214</v>
      </c>
      <c r="D436" t="s">
        <v>215</v>
      </c>
      <c r="E436" t="s">
        <v>2</v>
      </c>
      <c r="F436" t="s">
        <v>216</v>
      </c>
      <c r="G436" t="s">
        <v>137</v>
      </c>
      <c r="H436">
        <v>93703</v>
      </c>
      <c r="I436" t="s">
        <v>992</v>
      </c>
      <c r="J436" t="s">
        <v>993</v>
      </c>
      <c r="K436" t="s">
        <v>2</v>
      </c>
      <c r="L436" t="s">
        <v>216</v>
      </c>
      <c r="M436" t="s">
        <v>137</v>
      </c>
      <c r="N436" t="s">
        <v>994</v>
      </c>
      <c r="O436" t="s">
        <v>221</v>
      </c>
      <c r="P436">
        <v>2277759</v>
      </c>
      <c r="Q436" t="s">
        <v>38</v>
      </c>
      <c r="R436">
        <v>415610</v>
      </c>
      <c r="S436" t="s">
        <v>84</v>
      </c>
      <c r="T436" s="2">
        <v>3</v>
      </c>
      <c r="U436">
        <v>0</v>
      </c>
      <c r="V436" t="s">
        <v>222</v>
      </c>
      <c r="W436">
        <v>3</v>
      </c>
      <c r="X436">
        <v>3</v>
      </c>
      <c r="Y436">
        <v>0</v>
      </c>
      <c r="Z436" t="s">
        <v>995</v>
      </c>
      <c r="AA436" t="s">
        <v>996</v>
      </c>
      <c r="AB436" t="s">
        <v>14</v>
      </c>
      <c r="AC436">
        <v>60.883000000000003</v>
      </c>
      <c r="AD436">
        <v>182.65</v>
      </c>
      <c r="AE436">
        <v>726182084830</v>
      </c>
      <c r="AF436">
        <v>182.65</v>
      </c>
      <c r="AG436">
        <v>0</v>
      </c>
      <c r="AH436">
        <v>25.64</v>
      </c>
      <c r="AI436">
        <v>208.29</v>
      </c>
      <c r="AJ436" t="s">
        <v>2</v>
      </c>
      <c r="AK436" t="s">
        <v>11</v>
      </c>
    </row>
    <row r="437" spans="1:37">
      <c r="A437">
        <v>257751</v>
      </c>
      <c r="B437" s="1">
        <v>45366</v>
      </c>
      <c r="C437" t="s">
        <v>214</v>
      </c>
      <c r="D437" t="s">
        <v>215</v>
      </c>
      <c r="E437" t="s">
        <v>2</v>
      </c>
      <c r="F437" t="s">
        <v>216</v>
      </c>
      <c r="G437" t="s">
        <v>137</v>
      </c>
      <c r="H437">
        <v>93703</v>
      </c>
      <c r="I437" t="s">
        <v>992</v>
      </c>
      <c r="J437" t="s">
        <v>993</v>
      </c>
      <c r="K437" t="s">
        <v>2</v>
      </c>
      <c r="L437" t="s">
        <v>216</v>
      </c>
      <c r="M437" t="s">
        <v>137</v>
      </c>
      <c r="N437" t="s">
        <v>994</v>
      </c>
      <c r="O437" t="s">
        <v>221</v>
      </c>
      <c r="P437">
        <v>2277759</v>
      </c>
      <c r="Q437" t="s">
        <v>38</v>
      </c>
      <c r="R437">
        <v>415610</v>
      </c>
      <c r="S437" t="s">
        <v>84</v>
      </c>
      <c r="T437" s="2">
        <v>3</v>
      </c>
      <c r="U437">
        <v>0</v>
      </c>
      <c r="V437" t="s">
        <v>222</v>
      </c>
      <c r="W437">
        <v>0</v>
      </c>
      <c r="X437">
        <v>0</v>
      </c>
      <c r="Y437">
        <v>0</v>
      </c>
      <c r="Z437" t="s">
        <v>88</v>
      </c>
      <c r="AA437" t="s">
        <v>144</v>
      </c>
      <c r="AB437" t="s">
        <v>10</v>
      </c>
      <c r="AC437">
        <v>0</v>
      </c>
      <c r="AD437">
        <v>0</v>
      </c>
      <c r="AE437">
        <v>726182084830</v>
      </c>
      <c r="AF437">
        <v>182.65</v>
      </c>
      <c r="AG437">
        <v>0</v>
      </c>
      <c r="AH437">
        <v>25.64</v>
      </c>
      <c r="AI437">
        <v>208.29</v>
      </c>
      <c r="AJ437" t="s">
        <v>2</v>
      </c>
      <c r="AK437" t="s">
        <v>11</v>
      </c>
    </row>
    <row r="438" spans="1:37">
      <c r="A438">
        <v>257751</v>
      </c>
      <c r="B438" s="1">
        <v>45366</v>
      </c>
      <c r="C438" t="s">
        <v>214</v>
      </c>
      <c r="D438" t="s">
        <v>215</v>
      </c>
      <c r="E438" t="s">
        <v>2</v>
      </c>
      <c r="F438" t="s">
        <v>216</v>
      </c>
      <c r="G438" t="s">
        <v>137</v>
      </c>
      <c r="H438">
        <v>93703</v>
      </c>
      <c r="I438" t="s">
        <v>992</v>
      </c>
      <c r="J438" t="s">
        <v>993</v>
      </c>
      <c r="K438" t="s">
        <v>2</v>
      </c>
      <c r="L438" t="s">
        <v>216</v>
      </c>
      <c r="M438" t="s">
        <v>137</v>
      </c>
      <c r="N438" t="s">
        <v>994</v>
      </c>
      <c r="O438" t="s">
        <v>221</v>
      </c>
      <c r="P438">
        <v>2277759</v>
      </c>
      <c r="Q438" t="s">
        <v>38</v>
      </c>
      <c r="R438">
        <v>415610</v>
      </c>
      <c r="S438" t="s">
        <v>84</v>
      </c>
      <c r="T438" s="2">
        <v>3</v>
      </c>
      <c r="U438">
        <v>0</v>
      </c>
      <c r="V438" t="s">
        <v>222</v>
      </c>
      <c r="W438">
        <v>0</v>
      </c>
      <c r="X438">
        <v>0</v>
      </c>
      <c r="Y438">
        <v>0</v>
      </c>
      <c r="Z438" t="s">
        <v>88</v>
      </c>
      <c r="AA438" t="s">
        <v>2</v>
      </c>
      <c r="AB438" t="s">
        <v>10</v>
      </c>
      <c r="AC438">
        <v>0</v>
      </c>
      <c r="AD438">
        <v>0</v>
      </c>
      <c r="AE438">
        <v>726182084830</v>
      </c>
      <c r="AF438">
        <v>182.65</v>
      </c>
      <c r="AG438">
        <v>0</v>
      </c>
      <c r="AH438">
        <v>25.64</v>
      </c>
      <c r="AI438">
        <v>208.29</v>
      </c>
      <c r="AJ438" t="s">
        <v>2</v>
      </c>
      <c r="AK438" t="s">
        <v>11</v>
      </c>
    </row>
    <row r="439" spans="1:37">
      <c r="A439">
        <v>257751</v>
      </c>
      <c r="B439" s="1">
        <v>45366</v>
      </c>
      <c r="C439" t="s">
        <v>214</v>
      </c>
      <c r="D439" t="s">
        <v>215</v>
      </c>
      <c r="E439" t="s">
        <v>2</v>
      </c>
      <c r="F439" t="s">
        <v>216</v>
      </c>
      <c r="G439" t="s">
        <v>137</v>
      </c>
      <c r="H439">
        <v>93703</v>
      </c>
      <c r="I439" t="s">
        <v>992</v>
      </c>
      <c r="J439" t="s">
        <v>993</v>
      </c>
      <c r="K439" t="s">
        <v>2</v>
      </c>
      <c r="L439" t="s">
        <v>216</v>
      </c>
      <c r="M439" t="s">
        <v>137</v>
      </c>
      <c r="N439" t="s">
        <v>994</v>
      </c>
      <c r="O439" t="s">
        <v>221</v>
      </c>
      <c r="P439">
        <v>2277759</v>
      </c>
      <c r="Q439" t="s">
        <v>38</v>
      </c>
      <c r="R439">
        <v>415610</v>
      </c>
      <c r="S439" t="s">
        <v>84</v>
      </c>
      <c r="T439" s="2">
        <v>3</v>
      </c>
      <c r="U439">
        <v>0</v>
      </c>
      <c r="V439" t="s">
        <v>222</v>
      </c>
      <c r="W439">
        <v>0</v>
      </c>
      <c r="X439">
        <v>0</v>
      </c>
      <c r="Y439">
        <v>0</v>
      </c>
      <c r="Z439" t="s">
        <v>88</v>
      </c>
      <c r="AA439" t="e">
        <f>-MOVED</f>
        <v>#NAME?</v>
      </c>
      <c r="AB439" t="s">
        <v>10</v>
      </c>
      <c r="AC439">
        <v>0</v>
      </c>
      <c r="AD439">
        <v>0</v>
      </c>
      <c r="AE439">
        <v>726182084830</v>
      </c>
      <c r="AF439">
        <v>182.65</v>
      </c>
      <c r="AG439">
        <v>0</v>
      </c>
      <c r="AH439">
        <v>25.64</v>
      </c>
      <c r="AI439">
        <v>208.29</v>
      </c>
      <c r="AJ439" t="s">
        <v>2</v>
      </c>
      <c r="AK439" t="s">
        <v>11</v>
      </c>
    </row>
    <row r="440" spans="1:37">
      <c r="A440">
        <v>257752</v>
      </c>
      <c r="B440" s="1">
        <v>45366</v>
      </c>
      <c r="C440" t="s">
        <v>394</v>
      </c>
      <c r="D440" t="s">
        <v>395</v>
      </c>
      <c r="E440" t="s">
        <v>396</v>
      </c>
      <c r="F440" t="s">
        <v>230</v>
      </c>
      <c r="G440" t="s">
        <v>137</v>
      </c>
      <c r="H440">
        <v>95834</v>
      </c>
      <c r="I440" t="s">
        <v>997</v>
      </c>
      <c r="J440" t="s">
        <v>998</v>
      </c>
      <c r="K440" t="s">
        <v>2</v>
      </c>
      <c r="L440" t="s">
        <v>999</v>
      </c>
      <c r="M440" t="s">
        <v>137</v>
      </c>
      <c r="N440" t="s">
        <v>1000</v>
      </c>
      <c r="O440" t="s">
        <v>400</v>
      </c>
      <c r="P440">
        <v>2277740</v>
      </c>
      <c r="Q440" t="s">
        <v>38</v>
      </c>
      <c r="R440">
        <v>415611</v>
      </c>
      <c r="S440" t="s">
        <v>84</v>
      </c>
      <c r="T440" s="2">
        <v>1</v>
      </c>
      <c r="U440">
        <v>0</v>
      </c>
      <c r="V440" t="s">
        <v>153</v>
      </c>
      <c r="W440">
        <v>0</v>
      </c>
      <c r="X440">
        <v>0</v>
      </c>
      <c r="Y440">
        <v>0</v>
      </c>
      <c r="Z440" t="s">
        <v>9</v>
      </c>
      <c r="AA440" t="s">
        <v>2</v>
      </c>
      <c r="AB440" t="s">
        <v>10</v>
      </c>
      <c r="AC440">
        <v>0</v>
      </c>
      <c r="AD440">
        <v>0</v>
      </c>
      <c r="AE440">
        <v>726182084542</v>
      </c>
      <c r="AF440">
        <v>289.92</v>
      </c>
      <c r="AG440">
        <v>0</v>
      </c>
      <c r="AH440">
        <v>54.6</v>
      </c>
      <c r="AI440">
        <v>344.52</v>
      </c>
      <c r="AJ440" t="s">
        <v>2</v>
      </c>
      <c r="AK440" t="s">
        <v>11</v>
      </c>
    </row>
    <row r="441" spans="1:37">
      <c r="A441">
        <v>257752</v>
      </c>
      <c r="B441" s="1">
        <v>45366</v>
      </c>
      <c r="C441" t="s">
        <v>394</v>
      </c>
      <c r="D441" t="s">
        <v>395</v>
      </c>
      <c r="E441" t="s">
        <v>396</v>
      </c>
      <c r="F441" t="s">
        <v>230</v>
      </c>
      <c r="G441" t="s">
        <v>137</v>
      </c>
      <c r="H441">
        <v>95834</v>
      </c>
      <c r="I441" t="s">
        <v>997</v>
      </c>
      <c r="J441" t="s">
        <v>998</v>
      </c>
      <c r="K441" t="s">
        <v>2</v>
      </c>
      <c r="L441" t="s">
        <v>999</v>
      </c>
      <c r="M441" t="s">
        <v>137</v>
      </c>
      <c r="N441" t="s">
        <v>1000</v>
      </c>
      <c r="O441" t="s">
        <v>400</v>
      </c>
      <c r="P441">
        <v>2277740</v>
      </c>
      <c r="Q441" t="s">
        <v>38</v>
      </c>
      <c r="R441">
        <v>415611</v>
      </c>
      <c r="S441" t="s">
        <v>84</v>
      </c>
      <c r="T441" s="2">
        <v>1</v>
      </c>
      <c r="U441">
        <v>0</v>
      </c>
      <c r="V441" t="s">
        <v>153</v>
      </c>
      <c r="W441">
        <v>1</v>
      </c>
      <c r="X441">
        <v>1</v>
      </c>
      <c r="Y441">
        <v>0</v>
      </c>
      <c r="Z441" t="s">
        <v>1001</v>
      </c>
      <c r="AA441" t="s">
        <v>1002</v>
      </c>
      <c r="AB441" t="s">
        <v>14</v>
      </c>
      <c r="AC441">
        <v>289.91930000000002</v>
      </c>
      <c r="AD441">
        <v>289.92</v>
      </c>
      <c r="AE441">
        <v>726182084542</v>
      </c>
      <c r="AF441">
        <v>289.92</v>
      </c>
      <c r="AG441">
        <v>0</v>
      </c>
      <c r="AH441">
        <v>54.6</v>
      </c>
      <c r="AI441">
        <v>344.52</v>
      </c>
      <c r="AJ441" t="s">
        <v>2</v>
      </c>
      <c r="AK441" t="s">
        <v>11</v>
      </c>
    </row>
    <row r="442" spans="1:37">
      <c r="A442">
        <v>257752</v>
      </c>
      <c r="B442" s="1">
        <v>45366</v>
      </c>
      <c r="C442" t="s">
        <v>394</v>
      </c>
      <c r="D442" t="s">
        <v>395</v>
      </c>
      <c r="E442" t="s">
        <v>396</v>
      </c>
      <c r="F442" t="s">
        <v>230</v>
      </c>
      <c r="G442" t="s">
        <v>137</v>
      </c>
      <c r="H442">
        <v>95834</v>
      </c>
      <c r="I442" t="s">
        <v>997</v>
      </c>
      <c r="J442" t="s">
        <v>998</v>
      </c>
      <c r="K442" t="s">
        <v>2</v>
      </c>
      <c r="L442" t="s">
        <v>999</v>
      </c>
      <c r="M442" t="s">
        <v>137</v>
      </c>
      <c r="N442" t="s">
        <v>1000</v>
      </c>
      <c r="O442" t="s">
        <v>400</v>
      </c>
      <c r="P442">
        <v>2277740</v>
      </c>
      <c r="Q442" t="s">
        <v>38</v>
      </c>
      <c r="R442">
        <v>415611</v>
      </c>
      <c r="S442" t="s">
        <v>84</v>
      </c>
      <c r="T442" s="2">
        <v>1</v>
      </c>
      <c r="U442">
        <v>0</v>
      </c>
      <c r="V442" t="s">
        <v>153</v>
      </c>
      <c r="W442">
        <v>0</v>
      </c>
      <c r="X442">
        <v>0</v>
      </c>
      <c r="Y442">
        <v>0</v>
      </c>
      <c r="Z442" t="s">
        <v>88</v>
      </c>
      <c r="AA442" t="s">
        <v>144</v>
      </c>
      <c r="AB442" t="s">
        <v>10</v>
      </c>
      <c r="AC442">
        <v>0</v>
      </c>
      <c r="AD442">
        <v>0</v>
      </c>
      <c r="AE442">
        <v>726182084542</v>
      </c>
      <c r="AF442">
        <v>289.92</v>
      </c>
      <c r="AG442">
        <v>0</v>
      </c>
      <c r="AH442">
        <v>54.6</v>
      </c>
      <c r="AI442">
        <v>344.52</v>
      </c>
      <c r="AJ442" t="s">
        <v>2</v>
      </c>
      <c r="AK442" t="s">
        <v>11</v>
      </c>
    </row>
    <row r="443" spans="1:37">
      <c r="A443">
        <v>257752</v>
      </c>
      <c r="B443" s="1">
        <v>45366</v>
      </c>
      <c r="C443" t="s">
        <v>394</v>
      </c>
      <c r="D443" t="s">
        <v>395</v>
      </c>
      <c r="E443" t="s">
        <v>396</v>
      </c>
      <c r="F443" t="s">
        <v>230</v>
      </c>
      <c r="G443" t="s">
        <v>137</v>
      </c>
      <c r="H443">
        <v>95834</v>
      </c>
      <c r="I443" t="s">
        <v>997</v>
      </c>
      <c r="J443" t="s">
        <v>998</v>
      </c>
      <c r="K443" t="s">
        <v>2</v>
      </c>
      <c r="L443" t="s">
        <v>999</v>
      </c>
      <c r="M443" t="s">
        <v>137</v>
      </c>
      <c r="N443" t="s">
        <v>1000</v>
      </c>
      <c r="O443" t="s">
        <v>400</v>
      </c>
      <c r="P443">
        <v>2277740</v>
      </c>
      <c r="Q443" t="s">
        <v>38</v>
      </c>
      <c r="R443">
        <v>415611</v>
      </c>
      <c r="S443" t="s">
        <v>84</v>
      </c>
      <c r="T443" s="2">
        <v>1</v>
      </c>
      <c r="U443">
        <v>0</v>
      </c>
      <c r="V443" t="s">
        <v>153</v>
      </c>
      <c r="W443">
        <v>0</v>
      </c>
      <c r="X443">
        <v>0</v>
      </c>
      <c r="Y443">
        <v>0</v>
      </c>
      <c r="Z443" t="s">
        <v>88</v>
      </c>
      <c r="AA443" t="e">
        <f>-MOVED</f>
        <v>#NAME?</v>
      </c>
      <c r="AB443" t="s">
        <v>10</v>
      </c>
      <c r="AC443">
        <v>0</v>
      </c>
      <c r="AD443">
        <v>0</v>
      </c>
      <c r="AE443">
        <v>726182084542</v>
      </c>
      <c r="AF443">
        <v>289.92</v>
      </c>
      <c r="AG443">
        <v>0</v>
      </c>
      <c r="AH443">
        <v>54.6</v>
      </c>
      <c r="AI443">
        <v>344.52</v>
      </c>
      <c r="AJ443" t="s">
        <v>2</v>
      </c>
      <c r="AK443" t="s">
        <v>11</v>
      </c>
    </row>
    <row r="444" spans="1:37">
      <c r="A444">
        <v>257753</v>
      </c>
      <c r="B444" s="1">
        <v>45366</v>
      </c>
      <c r="C444" t="s">
        <v>197</v>
      </c>
      <c r="D444" t="s">
        <v>198</v>
      </c>
      <c r="E444" t="s">
        <v>2</v>
      </c>
      <c r="F444" t="s">
        <v>199</v>
      </c>
      <c r="G444" t="s">
        <v>44</v>
      </c>
      <c r="H444">
        <v>97070</v>
      </c>
      <c r="I444" t="s">
        <v>1003</v>
      </c>
      <c r="J444" t="s">
        <v>343</v>
      </c>
      <c r="K444" t="s">
        <v>2</v>
      </c>
      <c r="L444" t="s">
        <v>344</v>
      </c>
      <c r="M444" t="s">
        <v>44</v>
      </c>
      <c r="N444" t="s">
        <v>345</v>
      </c>
      <c r="O444" t="s">
        <v>204</v>
      </c>
      <c r="P444">
        <v>2278303</v>
      </c>
      <c r="Q444" t="s">
        <v>38</v>
      </c>
      <c r="R444">
        <v>415641</v>
      </c>
      <c r="S444" t="s">
        <v>84</v>
      </c>
      <c r="T444" s="2">
        <v>1</v>
      </c>
      <c r="U444">
        <v>0</v>
      </c>
      <c r="V444" t="s">
        <v>153</v>
      </c>
      <c r="W444">
        <v>0</v>
      </c>
      <c r="X444">
        <v>0</v>
      </c>
      <c r="Y444">
        <v>0</v>
      </c>
      <c r="Z444" t="s">
        <v>9</v>
      </c>
      <c r="AA444" t="s">
        <v>2</v>
      </c>
      <c r="AB444" t="s">
        <v>10</v>
      </c>
      <c r="AC444">
        <v>0</v>
      </c>
      <c r="AD444">
        <v>0</v>
      </c>
      <c r="AE444">
        <v>726182084829</v>
      </c>
      <c r="AF444">
        <v>184.01</v>
      </c>
      <c r="AG444">
        <v>0</v>
      </c>
      <c r="AH444">
        <v>62.73</v>
      </c>
      <c r="AI444">
        <v>246.74</v>
      </c>
      <c r="AJ444" t="s">
        <v>2</v>
      </c>
      <c r="AK444" t="s">
        <v>11</v>
      </c>
    </row>
    <row r="445" spans="1:37">
      <c r="A445">
        <v>257753</v>
      </c>
      <c r="B445" s="1">
        <v>45366</v>
      </c>
      <c r="C445" t="s">
        <v>197</v>
      </c>
      <c r="D445" t="s">
        <v>198</v>
      </c>
      <c r="E445" t="s">
        <v>2</v>
      </c>
      <c r="F445" t="s">
        <v>199</v>
      </c>
      <c r="G445" t="s">
        <v>44</v>
      </c>
      <c r="H445">
        <v>97070</v>
      </c>
      <c r="I445" t="s">
        <v>1003</v>
      </c>
      <c r="J445" t="s">
        <v>343</v>
      </c>
      <c r="K445" t="s">
        <v>2</v>
      </c>
      <c r="L445" t="s">
        <v>344</v>
      </c>
      <c r="M445" t="s">
        <v>44</v>
      </c>
      <c r="N445" t="s">
        <v>345</v>
      </c>
      <c r="O445" t="s">
        <v>204</v>
      </c>
      <c r="P445">
        <v>2278303</v>
      </c>
      <c r="Q445" t="s">
        <v>38</v>
      </c>
      <c r="R445">
        <v>415641</v>
      </c>
      <c r="S445" t="s">
        <v>84</v>
      </c>
      <c r="T445" s="2">
        <v>1</v>
      </c>
      <c r="U445">
        <v>0</v>
      </c>
      <c r="V445" t="s">
        <v>153</v>
      </c>
      <c r="W445">
        <v>1</v>
      </c>
      <c r="X445">
        <v>1</v>
      </c>
      <c r="Y445">
        <v>0</v>
      </c>
      <c r="Z445" t="s">
        <v>1004</v>
      </c>
      <c r="AA445" t="s">
        <v>1005</v>
      </c>
      <c r="AB445" t="s">
        <v>14</v>
      </c>
      <c r="AC445">
        <v>184.00749999999999</v>
      </c>
      <c r="AD445">
        <v>184.01</v>
      </c>
      <c r="AE445">
        <v>726182084829</v>
      </c>
      <c r="AF445">
        <v>184.01</v>
      </c>
      <c r="AG445">
        <v>0</v>
      </c>
      <c r="AH445">
        <v>62.73</v>
      </c>
      <c r="AI445">
        <v>246.74</v>
      </c>
      <c r="AJ445" t="s">
        <v>2</v>
      </c>
      <c r="AK445" t="s">
        <v>11</v>
      </c>
    </row>
    <row r="446" spans="1:37">
      <c r="A446">
        <v>257753</v>
      </c>
      <c r="B446" s="1">
        <v>45366</v>
      </c>
      <c r="C446" t="s">
        <v>197</v>
      </c>
      <c r="D446" t="s">
        <v>198</v>
      </c>
      <c r="E446" t="s">
        <v>2</v>
      </c>
      <c r="F446" t="s">
        <v>199</v>
      </c>
      <c r="G446" t="s">
        <v>44</v>
      </c>
      <c r="H446">
        <v>97070</v>
      </c>
      <c r="I446" t="s">
        <v>1003</v>
      </c>
      <c r="J446" t="s">
        <v>343</v>
      </c>
      <c r="K446" t="s">
        <v>2</v>
      </c>
      <c r="L446" t="s">
        <v>344</v>
      </c>
      <c r="M446" t="s">
        <v>44</v>
      </c>
      <c r="N446" t="s">
        <v>345</v>
      </c>
      <c r="O446" t="s">
        <v>204</v>
      </c>
      <c r="P446">
        <v>2278303</v>
      </c>
      <c r="Q446" t="s">
        <v>38</v>
      </c>
      <c r="R446">
        <v>415641</v>
      </c>
      <c r="S446" t="s">
        <v>84</v>
      </c>
      <c r="T446" s="2">
        <v>1</v>
      </c>
      <c r="U446">
        <v>0</v>
      </c>
      <c r="V446" t="s">
        <v>153</v>
      </c>
      <c r="W446">
        <v>0</v>
      </c>
      <c r="X446">
        <v>0</v>
      </c>
      <c r="Y446">
        <v>0</v>
      </c>
      <c r="Z446" t="s">
        <v>88</v>
      </c>
      <c r="AA446" t="s">
        <v>2</v>
      </c>
      <c r="AB446" t="s">
        <v>10</v>
      </c>
      <c r="AC446">
        <v>0</v>
      </c>
      <c r="AD446">
        <v>0</v>
      </c>
      <c r="AE446">
        <v>726182084829</v>
      </c>
      <c r="AF446">
        <v>184.01</v>
      </c>
      <c r="AG446">
        <v>0</v>
      </c>
      <c r="AH446">
        <v>62.73</v>
      </c>
      <c r="AI446">
        <v>246.74</v>
      </c>
      <c r="AJ446" t="s">
        <v>2</v>
      </c>
      <c r="AK446" t="s">
        <v>11</v>
      </c>
    </row>
    <row r="447" spans="1:37">
      <c r="A447">
        <v>257753</v>
      </c>
      <c r="B447" s="1">
        <v>45366</v>
      </c>
      <c r="C447" t="s">
        <v>197</v>
      </c>
      <c r="D447" t="s">
        <v>198</v>
      </c>
      <c r="E447" t="s">
        <v>2</v>
      </c>
      <c r="F447" t="s">
        <v>199</v>
      </c>
      <c r="G447" t="s">
        <v>44</v>
      </c>
      <c r="H447">
        <v>97070</v>
      </c>
      <c r="I447" t="s">
        <v>1003</v>
      </c>
      <c r="J447" t="s">
        <v>343</v>
      </c>
      <c r="K447" t="s">
        <v>2</v>
      </c>
      <c r="L447" t="s">
        <v>344</v>
      </c>
      <c r="M447" t="s">
        <v>44</v>
      </c>
      <c r="N447" t="s">
        <v>345</v>
      </c>
      <c r="O447" t="s">
        <v>204</v>
      </c>
      <c r="P447">
        <v>2278303</v>
      </c>
      <c r="Q447" t="s">
        <v>38</v>
      </c>
      <c r="R447">
        <v>415641</v>
      </c>
      <c r="S447" t="s">
        <v>84</v>
      </c>
      <c r="T447" s="2">
        <v>1</v>
      </c>
      <c r="U447">
        <v>0</v>
      </c>
      <c r="V447" t="s">
        <v>153</v>
      </c>
      <c r="W447">
        <v>0</v>
      </c>
      <c r="X447">
        <v>0</v>
      </c>
      <c r="Y447">
        <v>0</v>
      </c>
      <c r="Z447" t="s">
        <v>88</v>
      </c>
      <c r="AA447" t="e">
        <f>-SPLIT WITH RENO</f>
        <v>#NAME?</v>
      </c>
      <c r="AB447" t="s">
        <v>10</v>
      </c>
      <c r="AC447">
        <v>0</v>
      </c>
      <c r="AD447">
        <v>0</v>
      </c>
      <c r="AE447">
        <v>726182084829</v>
      </c>
      <c r="AF447">
        <v>184.01</v>
      </c>
      <c r="AG447">
        <v>0</v>
      </c>
      <c r="AH447">
        <v>62.73</v>
      </c>
      <c r="AI447">
        <v>246.74</v>
      </c>
      <c r="AJ447" t="s">
        <v>2</v>
      </c>
      <c r="AK447" t="s">
        <v>11</v>
      </c>
    </row>
    <row r="448" spans="1:37">
      <c r="A448">
        <v>257753</v>
      </c>
      <c r="B448" s="1">
        <v>45366</v>
      </c>
      <c r="C448" t="s">
        <v>197</v>
      </c>
      <c r="D448" t="s">
        <v>198</v>
      </c>
      <c r="E448" t="s">
        <v>2</v>
      </c>
      <c r="F448" t="s">
        <v>199</v>
      </c>
      <c r="G448" t="s">
        <v>44</v>
      </c>
      <c r="H448">
        <v>97070</v>
      </c>
      <c r="I448" t="s">
        <v>1003</v>
      </c>
      <c r="J448" t="s">
        <v>343</v>
      </c>
      <c r="K448" t="s">
        <v>2</v>
      </c>
      <c r="L448" t="s">
        <v>344</v>
      </c>
      <c r="M448" t="s">
        <v>44</v>
      </c>
      <c r="N448" t="s">
        <v>345</v>
      </c>
      <c r="O448" t="s">
        <v>204</v>
      </c>
      <c r="P448">
        <v>2278303</v>
      </c>
      <c r="Q448" t="s">
        <v>38</v>
      </c>
      <c r="R448">
        <v>415641</v>
      </c>
      <c r="S448" t="s">
        <v>84</v>
      </c>
      <c r="T448" s="2">
        <v>1</v>
      </c>
      <c r="U448">
        <v>0</v>
      </c>
      <c r="V448" t="s">
        <v>153</v>
      </c>
      <c r="W448">
        <v>0</v>
      </c>
      <c r="X448">
        <v>0</v>
      </c>
      <c r="Y448">
        <v>0</v>
      </c>
      <c r="Z448" t="s">
        <v>88</v>
      </c>
      <c r="AA448" t="e">
        <f>-MOVED</f>
        <v>#NAME?</v>
      </c>
      <c r="AB448" t="s">
        <v>10</v>
      </c>
      <c r="AC448">
        <v>0</v>
      </c>
      <c r="AD448">
        <v>0</v>
      </c>
      <c r="AE448">
        <v>726182084829</v>
      </c>
      <c r="AF448">
        <v>184.01</v>
      </c>
      <c r="AG448">
        <v>0</v>
      </c>
      <c r="AH448">
        <v>62.73</v>
      </c>
      <c r="AI448">
        <v>246.74</v>
      </c>
      <c r="AJ448" t="s">
        <v>2</v>
      </c>
      <c r="AK448" t="s">
        <v>11</v>
      </c>
    </row>
    <row r="449" spans="1:37">
      <c r="A449">
        <v>257754</v>
      </c>
      <c r="B449" s="1">
        <v>45366</v>
      </c>
      <c r="C449" t="s">
        <v>1006</v>
      </c>
      <c r="D449" t="s">
        <v>1007</v>
      </c>
      <c r="E449" t="s">
        <v>2</v>
      </c>
      <c r="F449" t="s">
        <v>1008</v>
      </c>
      <c r="G449" t="s">
        <v>137</v>
      </c>
      <c r="H449">
        <v>92821</v>
      </c>
      <c r="I449" t="s">
        <v>1009</v>
      </c>
      <c r="J449" t="s">
        <v>1010</v>
      </c>
      <c r="K449" t="s">
        <v>2</v>
      </c>
      <c r="L449" t="s">
        <v>1011</v>
      </c>
      <c r="M449" t="s">
        <v>137</v>
      </c>
      <c r="N449">
        <v>93308</v>
      </c>
      <c r="O449" t="s">
        <v>1012</v>
      </c>
      <c r="P449" t="s">
        <v>1013</v>
      </c>
      <c r="Q449" t="s">
        <v>21</v>
      </c>
      <c r="R449">
        <v>415665</v>
      </c>
      <c r="S449" t="s">
        <v>84</v>
      </c>
      <c r="T449" s="2">
        <v>1</v>
      </c>
      <c r="U449">
        <v>0</v>
      </c>
      <c r="V449" t="s">
        <v>236</v>
      </c>
      <c r="W449">
        <v>0</v>
      </c>
      <c r="X449">
        <v>0</v>
      </c>
      <c r="Y449">
        <v>0</v>
      </c>
      <c r="Z449" t="s">
        <v>9</v>
      </c>
      <c r="AA449" t="s">
        <v>2</v>
      </c>
      <c r="AB449" t="s">
        <v>10</v>
      </c>
      <c r="AC449">
        <v>0</v>
      </c>
      <c r="AD449">
        <v>0</v>
      </c>
      <c r="AE449">
        <v>726182084792</v>
      </c>
      <c r="AF449">
        <v>210.83</v>
      </c>
      <c r="AG449">
        <v>0</v>
      </c>
      <c r="AH449">
        <v>75.680000000000007</v>
      </c>
      <c r="AI449">
        <v>286.51</v>
      </c>
      <c r="AJ449" t="s">
        <v>2</v>
      </c>
      <c r="AK449" t="s">
        <v>11</v>
      </c>
    </row>
    <row r="450" spans="1:37">
      <c r="A450">
        <v>257754</v>
      </c>
      <c r="B450" s="1">
        <v>45366</v>
      </c>
      <c r="C450" t="s">
        <v>1006</v>
      </c>
      <c r="D450" t="s">
        <v>1007</v>
      </c>
      <c r="E450" t="s">
        <v>2</v>
      </c>
      <c r="F450" t="s">
        <v>1008</v>
      </c>
      <c r="G450" t="s">
        <v>137</v>
      </c>
      <c r="H450">
        <v>92821</v>
      </c>
      <c r="I450" t="s">
        <v>1009</v>
      </c>
      <c r="J450" t="s">
        <v>1010</v>
      </c>
      <c r="K450" t="s">
        <v>2</v>
      </c>
      <c r="L450" t="s">
        <v>1011</v>
      </c>
      <c r="M450" t="s">
        <v>137</v>
      </c>
      <c r="N450">
        <v>93308</v>
      </c>
      <c r="O450" t="s">
        <v>1012</v>
      </c>
      <c r="P450" t="s">
        <v>1013</v>
      </c>
      <c r="Q450" t="s">
        <v>21</v>
      </c>
      <c r="R450">
        <v>415665</v>
      </c>
      <c r="S450" t="s">
        <v>84</v>
      </c>
      <c r="T450" s="2">
        <v>1</v>
      </c>
      <c r="U450">
        <v>0</v>
      </c>
      <c r="V450" t="s">
        <v>236</v>
      </c>
      <c r="W450">
        <v>1</v>
      </c>
      <c r="X450">
        <v>1</v>
      </c>
      <c r="Y450">
        <v>0</v>
      </c>
      <c r="Z450" t="s">
        <v>1014</v>
      </c>
      <c r="AA450" t="s">
        <v>1015</v>
      </c>
      <c r="AB450" t="s">
        <v>14</v>
      </c>
      <c r="AC450">
        <v>210.82550000000001</v>
      </c>
      <c r="AD450">
        <v>210.83</v>
      </c>
      <c r="AE450">
        <v>726182084792</v>
      </c>
      <c r="AF450">
        <v>210.83</v>
      </c>
      <c r="AG450">
        <v>0</v>
      </c>
      <c r="AH450">
        <v>75.680000000000007</v>
      </c>
      <c r="AI450">
        <v>286.51</v>
      </c>
      <c r="AJ450" t="s">
        <v>2</v>
      </c>
      <c r="AK450" t="s">
        <v>11</v>
      </c>
    </row>
    <row r="451" spans="1:37">
      <c r="A451">
        <v>257754</v>
      </c>
      <c r="B451" s="1">
        <v>45366</v>
      </c>
      <c r="C451" t="s">
        <v>1006</v>
      </c>
      <c r="D451" t="s">
        <v>1007</v>
      </c>
      <c r="E451" t="s">
        <v>2</v>
      </c>
      <c r="F451" t="s">
        <v>1008</v>
      </c>
      <c r="G451" t="s">
        <v>137</v>
      </c>
      <c r="H451">
        <v>92821</v>
      </c>
      <c r="I451" t="s">
        <v>1009</v>
      </c>
      <c r="J451" t="s">
        <v>1010</v>
      </c>
      <c r="K451" t="s">
        <v>2</v>
      </c>
      <c r="L451" t="s">
        <v>1011</v>
      </c>
      <c r="M451" t="s">
        <v>137</v>
      </c>
      <c r="N451">
        <v>93308</v>
      </c>
      <c r="O451" t="s">
        <v>1012</v>
      </c>
      <c r="P451" t="s">
        <v>1013</v>
      </c>
      <c r="Q451" t="s">
        <v>21</v>
      </c>
      <c r="R451">
        <v>415665</v>
      </c>
      <c r="S451" t="s">
        <v>84</v>
      </c>
      <c r="T451" s="2">
        <v>1</v>
      </c>
      <c r="U451">
        <v>0</v>
      </c>
      <c r="V451" t="s">
        <v>236</v>
      </c>
      <c r="W451">
        <v>0</v>
      </c>
      <c r="X451">
        <v>0</v>
      </c>
      <c r="Y451">
        <v>0</v>
      </c>
      <c r="Z451" t="s">
        <v>88</v>
      </c>
      <c r="AA451" t="s">
        <v>251</v>
      </c>
      <c r="AB451" t="s">
        <v>10</v>
      </c>
      <c r="AC451">
        <v>0</v>
      </c>
      <c r="AD451">
        <v>0</v>
      </c>
      <c r="AE451">
        <v>726182084792</v>
      </c>
      <c r="AF451">
        <v>210.83</v>
      </c>
      <c r="AG451">
        <v>0</v>
      </c>
      <c r="AH451">
        <v>75.680000000000007</v>
      </c>
      <c r="AI451">
        <v>286.51</v>
      </c>
      <c r="AJ451" t="s">
        <v>2</v>
      </c>
      <c r="AK451" t="s">
        <v>11</v>
      </c>
    </row>
    <row r="452" spans="1:37">
      <c r="A452">
        <v>257754</v>
      </c>
      <c r="B452" s="1">
        <v>45366</v>
      </c>
      <c r="C452" t="s">
        <v>1006</v>
      </c>
      <c r="D452" t="s">
        <v>1007</v>
      </c>
      <c r="E452" t="s">
        <v>2</v>
      </c>
      <c r="F452" t="s">
        <v>1008</v>
      </c>
      <c r="G452" t="s">
        <v>137</v>
      </c>
      <c r="H452">
        <v>92821</v>
      </c>
      <c r="I452" t="s">
        <v>1009</v>
      </c>
      <c r="J452" t="s">
        <v>1010</v>
      </c>
      <c r="K452" t="s">
        <v>2</v>
      </c>
      <c r="L452" t="s">
        <v>1011</v>
      </c>
      <c r="M452" t="s">
        <v>137</v>
      </c>
      <c r="N452">
        <v>93308</v>
      </c>
      <c r="O452" t="s">
        <v>1012</v>
      </c>
      <c r="P452" t="s">
        <v>1013</v>
      </c>
      <c r="Q452" t="s">
        <v>21</v>
      </c>
      <c r="R452">
        <v>415665</v>
      </c>
      <c r="S452" t="s">
        <v>84</v>
      </c>
      <c r="T452" s="2">
        <v>1</v>
      </c>
      <c r="U452">
        <v>0</v>
      </c>
      <c r="V452" t="s">
        <v>236</v>
      </c>
      <c r="W452">
        <v>0</v>
      </c>
      <c r="X452">
        <v>0</v>
      </c>
      <c r="Y452">
        <v>0</v>
      </c>
      <c r="Z452" t="s">
        <v>88</v>
      </c>
      <c r="AA452" t="s">
        <v>2</v>
      </c>
      <c r="AB452" t="s">
        <v>10</v>
      </c>
      <c r="AC452">
        <v>0</v>
      </c>
      <c r="AD452">
        <v>0</v>
      </c>
      <c r="AE452">
        <v>726182084792</v>
      </c>
      <c r="AF452">
        <v>210.83</v>
      </c>
      <c r="AG452">
        <v>0</v>
      </c>
      <c r="AH452">
        <v>75.680000000000007</v>
      </c>
      <c r="AI452">
        <v>286.51</v>
      </c>
      <c r="AJ452" t="s">
        <v>2</v>
      </c>
      <c r="AK452" t="s">
        <v>11</v>
      </c>
    </row>
    <row r="453" spans="1:37">
      <c r="A453">
        <v>257754</v>
      </c>
      <c r="B453" s="1">
        <v>45366</v>
      </c>
      <c r="C453" t="s">
        <v>1006</v>
      </c>
      <c r="D453" t="s">
        <v>1007</v>
      </c>
      <c r="E453" t="s">
        <v>2</v>
      </c>
      <c r="F453" t="s">
        <v>1008</v>
      </c>
      <c r="G453" t="s">
        <v>137</v>
      </c>
      <c r="H453">
        <v>92821</v>
      </c>
      <c r="I453" t="s">
        <v>1009</v>
      </c>
      <c r="J453" t="s">
        <v>1010</v>
      </c>
      <c r="K453" t="s">
        <v>2</v>
      </c>
      <c r="L453" t="s">
        <v>1011</v>
      </c>
      <c r="M453" t="s">
        <v>137</v>
      </c>
      <c r="N453">
        <v>93308</v>
      </c>
      <c r="O453" t="s">
        <v>1012</v>
      </c>
      <c r="P453" t="s">
        <v>1013</v>
      </c>
      <c r="Q453" t="s">
        <v>21</v>
      </c>
      <c r="R453">
        <v>415665</v>
      </c>
      <c r="S453" t="s">
        <v>84</v>
      </c>
      <c r="T453" s="2">
        <v>1</v>
      </c>
      <c r="U453">
        <v>0</v>
      </c>
      <c r="V453" t="s">
        <v>236</v>
      </c>
      <c r="W453">
        <v>0</v>
      </c>
      <c r="X453">
        <v>0</v>
      </c>
      <c r="Y453">
        <v>0</v>
      </c>
      <c r="Z453" t="s">
        <v>88</v>
      </c>
      <c r="AA453" t="e">
        <f>-MOVED</f>
        <v>#NAME?</v>
      </c>
      <c r="AB453" t="s">
        <v>10</v>
      </c>
      <c r="AC453">
        <v>0</v>
      </c>
      <c r="AD453">
        <v>0</v>
      </c>
      <c r="AE453">
        <v>726182084792</v>
      </c>
      <c r="AF453">
        <v>210.83</v>
      </c>
      <c r="AG453">
        <v>0</v>
      </c>
      <c r="AH453">
        <v>75.680000000000007</v>
      </c>
      <c r="AI453">
        <v>286.51</v>
      </c>
      <c r="AJ453" t="s">
        <v>2</v>
      </c>
      <c r="AK453" t="s">
        <v>11</v>
      </c>
    </row>
    <row r="454" spans="1:37">
      <c r="A454">
        <v>257755</v>
      </c>
      <c r="B454" s="1">
        <v>45366</v>
      </c>
      <c r="C454" t="s">
        <v>197</v>
      </c>
      <c r="D454" t="s">
        <v>198</v>
      </c>
      <c r="E454" t="s">
        <v>2</v>
      </c>
      <c r="F454" t="s">
        <v>199</v>
      </c>
      <c r="G454" t="s">
        <v>44</v>
      </c>
      <c r="H454">
        <v>97070</v>
      </c>
      <c r="I454" t="s">
        <v>1016</v>
      </c>
      <c r="J454" t="s">
        <v>1017</v>
      </c>
      <c r="K454" t="s">
        <v>2</v>
      </c>
      <c r="L454" t="s">
        <v>1018</v>
      </c>
      <c r="M454" t="s">
        <v>44</v>
      </c>
      <c r="N454" t="s">
        <v>1019</v>
      </c>
      <c r="O454" t="s">
        <v>204</v>
      </c>
      <c r="P454">
        <v>2278682</v>
      </c>
      <c r="Q454" t="s">
        <v>38</v>
      </c>
      <c r="R454">
        <v>415684</v>
      </c>
      <c r="S454" t="s">
        <v>84</v>
      </c>
      <c r="T454" s="2">
        <v>1</v>
      </c>
      <c r="U454">
        <v>0</v>
      </c>
      <c r="V454" t="s">
        <v>153</v>
      </c>
      <c r="W454">
        <v>0</v>
      </c>
      <c r="X454">
        <v>0</v>
      </c>
      <c r="Y454">
        <v>0</v>
      </c>
      <c r="Z454" t="s">
        <v>9</v>
      </c>
      <c r="AA454" t="s">
        <v>2</v>
      </c>
      <c r="AB454" t="s">
        <v>10</v>
      </c>
      <c r="AC454">
        <v>0</v>
      </c>
      <c r="AD454">
        <v>0</v>
      </c>
      <c r="AE454">
        <v>726182084623</v>
      </c>
      <c r="AF454">
        <v>125.77</v>
      </c>
      <c r="AG454">
        <v>0</v>
      </c>
      <c r="AH454">
        <v>37.54</v>
      </c>
      <c r="AI454">
        <v>163.31</v>
      </c>
      <c r="AJ454" t="s">
        <v>2</v>
      </c>
      <c r="AK454" t="s">
        <v>11</v>
      </c>
    </row>
    <row r="455" spans="1:37">
      <c r="A455">
        <v>257755</v>
      </c>
      <c r="B455" s="1">
        <v>45366</v>
      </c>
      <c r="C455" t="s">
        <v>197</v>
      </c>
      <c r="D455" t="s">
        <v>198</v>
      </c>
      <c r="E455" t="s">
        <v>2</v>
      </c>
      <c r="F455" t="s">
        <v>199</v>
      </c>
      <c r="G455" t="s">
        <v>44</v>
      </c>
      <c r="H455">
        <v>97070</v>
      </c>
      <c r="I455" t="s">
        <v>1016</v>
      </c>
      <c r="J455" t="s">
        <v>1017</v>
      </c>
      <c r="K455" t="s">
        <v>2</v>
      </c>
      <c r="L455" t="s">
        <v>1018</v>
      </c>
      <c r="M455" t="s">
        <v>44</v>
      </c>
      <c r="N455" t="s">
        <v>1019</v>
      </c>
      <c r="O455" t="s">
        <v>204</v>
      </c>
      <c r="P455">
        <v>2278682</v>
      </c>
      <c r="Q455" t="s">
        <v>38</v>
      </c>
      <c r="R455">
        <v>415684</v>
      </c>
      <c r="S455" t="s">
        <v>84</v>
      </c>
      <c r="T455" s="2">
        <v>1</v>
      </c>
      <c r="U455">
        <v>0</v>
      </c>
      <c r="V455" t="s">
        <v>153</v>
      </c>
      <c r="W455">
        <v>1</v>
      </c>
      <c r="X455">
        <v>1</v>
      </c>
      <c r="Y455">
        <v>0</v>
      </c>
      <c r="Z455" t="s">
        <v>1020</v>
      </c>
      <c r="AA455" t="s">
        <v>716</v>
      </c>
      <c r="AB455" t="s">
        <v>14</v>
      </c>
      <c r="AC455">
        <v>125.7694</v>
      </c>
      <c r="AD455">
        <v>125.77</v>
      </c>
      <c r="AE455">
        <v>726182084623</v>
      </c>
      <c r="AF455">
        <v>125.77</v>
      </c>
      <c r="AG455">
        <v>0</v>
      </c>
      <c r="AH455">
        <v>37.54</v>
      </c>
      <c r="AI455">
        <v>163.31</v>
      </c>
      <c r="AJ455" t="s">
        <v>2</v>
      </c>
      <c r="AK455" t="s">
        <v>11</v>
      </c>
    </row>
    <row r="456" spans="1:37">
      <c r="A456">
        <v>257755</v>
      </c>
      <c r="B456" s="1">
        <v>45366</v>
      </c>
      <c r="C456" t="s">
        <v>197</v>
      </c>
      <c r="D456" t="s">
        <v>198</v>
      </c>
      <c r="E456" t="s">
        <v>2</v>
      </c>
      <c r="F456" t="s">
        <v>199</v>
      </c>
      <c r="G456" t="s">
        <v>44</v>
      </c>
      <c r="H456">
        <v>97070</v>
      </c>
      <c r="I456" t="s">
        <v>1016</v>
      </c>
      <c r="J456" t="s">
        <v>1017</v>
      </c>
      <c r="K456" t="s">
        <v>2</v>
      </c>
      <c r="L456" t="s">
        <v>1018</v>
      </c>
      <c r="M456" t="s">
        <v>44</v>
      </c>
      <c r="N456" t="s">
        <v>1019</v>
      </c>
      <c r="O456" t="s">
        <v>204</v>
      </c>
      <c r="P456">
        <v>2278682</v>
      </c>
      <c r="Q456" t="s">
        <v>38</v>
      </c>
      <c r="R456">
        <v>415684</v>
      </c>
      <c r="S456" t="s">
        <v>84</v>
      </c>
      <c r="T456" s="2">
        <v>1</v>
      </c>
      <c r="U456">
        <v>0</v>
      </c>
      <c r="V456" t="s">
        <v>153</v>
      </c>
      <c r="W456">
        <v>0</v>
      </c>
      <c r="X456">
        <v>0</v>
      </c>
      <c r="Y456">
        <v>0</v>
      </c>
      <c r="Z456" t="s">
        <v>88</v>
      </c>
      <c r="AA456" t="s">
        <v>1021</v>
      </c>
      <c r="AB456" t="s">
        <v>10</v>
      </c>
      <c r="AC456">
        <v>0</v>
      </c>
      <c r="AD456">
        <v>0</v>
      </c>
      <c r="AE456">
        <v>726182084623</v>
      </c>
      <c r="AF456">
        <v>125.77</v>
      </c>
      <c r="AG456">
        <v>0</v>
      </c>
      <c r="AH456">
        <v>37.54</v>
      </c>
      <c r="AI456">
        <v>163.31</v>
      </c>
      <c r="AJ456" t="s">
        <v>2</v>
      </c>
      <c r="AK456" t="s">
        <v>11</v>
      </c>
    </row>
    <row r="457" spans="1:37">
      <c r="A457">
        <v>257756</v>
      </c>
      <c r="B457" s="1">
        <v>45366</v>
      </c>
      <c r="C457" t="s">
        <v>145</v>
      </c>
      <c r="D457" t="s">
        <v>146</v>
      </c>
      <c r="E457" t="s">
        <v>2</v>
      </c>
      <c r="F457" t="s">
        <v>147</v>
      </c>
      <c r="G457" t="s">
        <v>148</v>
      </c>
      <c r="H457">
        <v>84104</v>
      </c>
      <c r="I457" t="s">
        <v>323</v>
      </c>
      <c r="J457" t="s">
        <v>1022</v>
      </c>
      <c r="K457" t="s">
        <v>2</v>
      </c>
      <c r="L457" t="s">
        <v>147</v>
      </c>
      <c r="M457" t="s">
        <v>148</v>
      </c>
      <c r="N457" t="s">
        <v>325</v>
      </c>
      <c r="O457" t="s">
        <v>152</v>
      </c>
      <c r="P457">
        <v>2278293</v>
      </c>
      <c r="Q457" t="s">
        <v>46</v>
      </c>
      <c r="R457">
        <v>415724</v>
      </c>
      <c r="S457" t="s">
        <v>84</v>
      </c>
      <c r="T457" s="2">
        <v>1</v>
      </c>
      <c r="U457">
        <v>0</v>
      </c>
      <c r="V457" t="s">
        <v>153</v>
      </c>
      <c r="W457">
        <v>0</v>
      </c>
      <c r="X457">
        <v>0</v>
      </c>
      <c r="Y457">
        <v>0</v>
      </c>
      <c r="Z457" t="s">
        <v>9</v>
      </c>
      <c r="AA457" t="s">
        <v>2</v>
      </c>
      <c r="AB457" t="s">
        <v>10</v>
      </c>
      <c r="AC457">
        <v>0</v>
      </c>
      <c r="AD457">
        <v>0</v>
      </c>
      <c r="AE457">
        <v>726182084759</v>
      </c>
      <c r="AF457">
        <v>247.44</v>
      </c>
      <c r="AG457">
        <v>0</v>
      </c>
      <c r="AH457">
        <v>18.18</v>
      </c>
      <c r="AI457">
        <v>265.62</v>
      </c>
      <c r="AJ457" t="s">
        <v>2</v>
      </c>
      <c r="AK457" t="s">
        <v>11</v>
      </c>
    </row>
    <row r="458" spans="1:37">
      <c r="A458">
        <v>257756</v>
      </c>
      <c r="B458" s="1">
        <v>45366</v>
      </c>
      <c r="C458" t="s">
        <v>145</v>
      </c>
      <c r="D458" t="s">
        <v>146</v>
      </c>
      <c r="E458" t="s">
        <v>2</v>
      </c>
      <c r="F458" t="s">
        <v>147</v>
      </c>
      <c r="G458" t="s">
        <v>148</v>
      </c>
      <c r="H458">
        <v>84104</v>
      </c>
      <c r="I458" t="s">
        <v>323</v>
      </c>
      <c r="J458" t="s">
        <v>1022</v>
      </c>
      <c r="K458" t="s">
        <v>2</v>
      </c>
      <c r="L458" t="s">
        <v>147</v>
      </c>
      <c r="M458" t="s">
        <v>148</v>
      </c>
      <c r="N458" t="s">
        <v>325</v>
      </c>
      <c r="O458" t="s">
        <v>152</v>
      </c>
      <c r="P458">
        <v>2278293</v>
      </c>
      <c r="Q458" t="s">
        <v>46</v>
      </c>
      <c r="R458">
        <v>415724</v>
      </c>
      <c r="S458" t="s">
        <v>84</v>
      </c>
      <c r="T458" s="2">
        <v>1</v>
      </c>
      <c r="U458">
        <v>0</v>
      </c>
      <c r="V458" t="s">
        <v>153</v>
      </c>
      <c r="W458">
        <v>1</v>
      </c>
      <c r="X458">
        <v>1</v>
      </c>
      <c r="Y458">
        <v>0</v>
      </c>
      <c r="Z458" t="s">
        <v>1023</v>
      </c>
      <c r="AA458" t="s">
        <v>1024</v>
      </c>
      <c r="AB458" t="s">
        <v>14</v>
      </c>
      <c r="AC458">
        <v>247.441</v>
      </c>
      <c r="AD458">
        <v>247.44</v>
      </c>
      <c r="AE458">
        <v>726182084759</v>
      </c>
      <c r="AF458">
        <v>247.44</v>
      </c>
      <c r="AG458">
        <v>0</v>
      </c>
      <c r="AH458">
        <v>18.18</v>
      </c>
      <c r="AI458">
        <v>265.62</v>
      </c>
      <c r="AJ458" t="s">
        <v>2</v>
      </c>
      <c r="AK458" t="s">
        <v>11</v>
      </c>
    </row>
    <row r="459" spans="1:37">
      <c r="A459">
        <v>257756</v>
      </c>
      <c r="B459" s="1">
        <v>45366</v>
      </c>
      <c r="C459" t="s">
        <v>145</v>
      </c>
      <c r="D459" t="s">
        <v>146</v>
      </c>
      <c r="E459" t="s">
        <v>2</v>
      </c>
      <c r="F459" t="s">
        <v>147</v>
      </c>
      <c r="G459" t="s">
        <v>148</v>
      </c>
      <c r="H459">
        <v>84104</v>
      </c>
      <c r="I459" t="s">
        <v>323</v>
      </c>
      <c r="J459" t="s">
        <v>1022</v>
      </c>
      <c r="K459" t="s">
        <v>2</v>
      </c>
      <c r="L459" t="s">
        <v>147</v>
      </c>
      <c r="M459" t="s">
        <v>148</v>
      </c>
      <c r="N459" t="s">
        <v>325</v>
      </c>
      <c r="O459" t="s">
        <v>152</v>
      </c>
      <c r="P459">
        <v>2278293</v>
      </c>
      <c r="Q459" t="s">
        <v>46</v>
      </c>
      <c r="R459">
        <v>415724</v>
      </c>
      <c r="S459" t="s">
        <v>84</v>
      </c>
      <c r="T459" s="2">
        <v>1</v>
      </c>
      <c r="U459">
        <v>0</v>
      </c>
      <c r="V459" t="s">
        <v>153</v>
      </c>
      <c r="W459">
        <v>0</v>
      </c>
      <c r="X459">
        <v>0</v>
      </c>
      <c r="Y459">
        <v>0</v>
      </c>
      <c r="Z459" t="s">
        <v>88</v>
      </c>
      <c r="AA459" t="s">
        <v>116</v>
      </c>
      <c r="AB459" t="s">
        <v>10</v>
      </c>
      <c r="AC459">
        <v>0</v>
      </c>
      <c r="AD459">
        <v>0</v>
      </c>
      <c r="AE459">
        <v>726182084759</v>
      </c>
      <c r="AF459">
        <v>247.44</v>
      </c>
      <c r="AG459">
        <v>0</v>
      </c>
      <c r="AH459">
        <v>18.18</v>
      </c>
      <c r="AI459">
        <v>265.62</v>
      </c>
      <c r="AJ459" t="s">
        <v>2</v>
      </c>
      <c r="AK459" t="s">
        <v>11</v>
      </c>
    </row>
    <row r="460" spans="1:37">
      <c r="A460">
        <v>257756</v>
      </c>
      <c r="B460" s="1">
        <v>45366</v>
      </c>
      <c r="C460" t="s">
        <v>145</v>
      </c>
      <c r="D460" t="s">
        <v>146</v>
      </c>
      <c r="E460" t="s">
        <v>2</v>
      </c>
      <c r="F460" t="s">
        <v>147</v>
      </c>
      <c r="G460" t="s">
        <v>148</v>
      </c>
      <c r="H460">
        <v>84104</v>
      </c>
      <c r="I460" t="s">
        <v>323</v>
      </c>
      <c r="J460" t="s">
        <v>1022</v>
      </c>
      <c r="K460" t="s">
        <v>2</v>
      </c>
      <c r="L460" t="s">
        <v>147</v>
      </c>
      <c r="M460" t="s">
        <v>148</v>
      </c>
      <c r="N460" t="s">
        <v>325</v>
      </c>
      <c r="O460" t="s">
        <v>152</v>
      </c>
      <c r="P460">
        <v>2278293</v>
      </c>
      <c r="Q460" t="s">
        <v>46</v>
      </c>
      <c r="R460">
        <v>415724</v>
      </c>
      <c r="S460" t="s">
        <v>84</v>
      </c>
      <c r="T460" s="2">
        <v>1</v>
      </c>
      <c r="U460">
        <v>0</v>
      </c>
      <c r="V460" t="s">
        <v>153</v>
      </c>
      <c r="W460">
        <v>0</v>
      </c>
      <c r="X460">
        <v>0</v>
      </c>
      <c r="Y460">
        <v>0</v>
      </c>
      <c r="Z460" t="s">
        <v>88</v>
      </c>
      <c r="AA460" t="s">
        <v>2</v>
      </c>
      <c r="AB460" t="s">
        <v>10</v>
      </c>
      <c r="AC460">
        <v>0</v>
      </c>
      <c r="AD460">
        <v>0</v>
      </c>
      <c r="AE460">
        <v>726182084759</v>
      </c>
      <c r="AF460">
        <v>247.44</v>
      </c>
      <c r="AG460">
        <v>0</v>
      </c>
      <c r="AH460">
        <v>18.18</v>
      </c>
      <c r="AI460">
        <v>265.62</v>
      </c>
      <c r="AJ460" t="s">
        <v>2</v>
      </c>
      <c r="AK460" t="s">
        <v>11</v>
      </c>
    </row>
    <row r="461" spans="1:37">
      <c r="A461">
        <v>257756</v>
      </c>
      <c r="B461" s="1">
        <v>45366</v>
      </c>
      <c r="C461" t="s">
        <v>145</v>
      </c>
      <c r="D461" t="s">
        <v>146</v>
      </c>
      <c r="E461" t="s">
        <v>2</v>
      </c>
      <c r="F461" t="s">
        <v>147</v>
      </c>
      <c r="G461" t="s">
        <v>148</v>
      </c>
      <c r="H461">
        <v>84104</v>
      </c>
      <c r="I461" t="s">
        <v>323</v>
      </c>
      <c r="J461" t="s">
        <v>1022</v>
      </c>
      <c r="K461" t="s">
        <v>2</v>
      </c>
      <c r="L461" t="s">
        <v>147</v>
      </c>
      <c r="M461" t="s">
        <v>148</v>
      </c>
      <c r="N461" t="s">
        <v>325</v>
      </c>
      <c r="O461" t="s">
        <v>152</v>
      </c>
      <c r="P461">
        <v>2278293</v>
      </c>
      <c r="Q461" t="s">
        <v>46</v>
      </c>
      <c r="R461">
        <v>415724</v>
      </c>
      <c r="S461" t="s">
        <v>84</v>
      </c>
      <c r="T461" s="2">
        <v>1</v>
      </c>
      <c r="U461">
        <v>0</v>
      </c>
      <c r="V461" t="s">
        <v>153</v>
      </c>
      <c r="W461">
        <v>0</v>
      </c>
      <c r="X461">
        <v>0</v>
      </c>
      <c r="Y461">
        <v>0</v>
      </c>
      <c r="Z461" t="s">
        <v>88</v>
      </c>
      <c r="AA461" t="e">
        <f>-MOVED</f>
        <v>#NAME?</v>
      </c>
      <c r="AB461" t="s">
        <v>10</v>
      </c>
      <c r="AC461">
        <v>0</v>
      </c>
      <c r="AD461">
        <v>0</v>
      </c>
      <c r="AE461">
        <v>726182084759</v>
      </c>
      <c r="AF461">
        <v>247.44</v>
      </c>
      <c r="AG461">
        <v>0</v>
      </c>
      <c r="AH461">
        <v>18.18</v>
      </c>
      <c r="AI461">
        <v>265.62</v>
      </c>
      <c r="AJ461" t="s">
        <v>2</v>
      </c>
      <c r="AK461" t="s">
        <v>11</v>
      </c>
    </row>
    <row r="462" spans="1:37">
      <c r="A462">
        <v>257756</v>
      </c>
      <c r="B462" s="1">
        <v>45366</v>
      </c>
      <c r="C462" t="s">
        <v>145</v>
      </c>
      <c r="D462" t="s">
        <v>146</v>
      </c>
      <c r="E462" t="s">
        <v>2</v>
      </c>
      <c r="F462" t="s">
        <v>147</v>
      </c>
      <c r="G462" t="s">
        <v>148</v>
      </c>
      <c r="H462">
        <v>84104</v>
      </c>
      <c r="I462" t="s">
        <v>323</v>
      </c>
      <c r="J462" t="s">
        <v>1022</v>
      </c>
      <c r="K462" t="s">
        <v>2</v>
      </c>
      <c r="L462" t="s">
        <v>147</v>
      </c>
      <c r="M462" t="s">
        <v>148</v>
      </c>
      <c r="N462" t="s">
        <v>325</v>
      </c>
      <c r="O462" t="s">
        <v>152</v>
      </c>
      <c r="P462">
        <v>2278293</v>
      </c>
      <c r="Q462" t="s">
        <v>46</v>
      </c>
      <c r="R462">
        <v>415724</v>
      </c>
      <c r="S462" t="s">
        <v>84</v>
      </c>
      <c r="T462" s="2">
        <v>1</v>
      </c>
      <c r="U462">
        <v>0</v>
      </c>
      <c r="V462" t="s">
        <v>153</v>
      </c>
      <c r="W462">
        <v>0</v>
      </c>
      <c r="X462">
        <v>0</v>
      </c>
      <c r="Y462">
        <v>0</v>
      </c>
      <c r="Z462" t="s">
        <v>88</v>
      </c>
      <c r="AA462" t="e">
        <f>-SPLIT WITH RENO</f>
        <v>#NAME?</v>
      </c>
      <c r="AB462" t="s">
        <v>10</v>
      </c>
      <c r="AC462">
        <v>0</v>
      </c>
      <c r="AD462">
        <v>0</v>
      </c>
      <c r="AE462">
        <v>726182084759</v>
      </c>
      <c r="AF462">
        <v>247.44</v>
      </c>
      <c r="AG462">
        <v>0</v>
      </c>
      <c r="AH462">
        <v>18.18</v>
      </c>
      <c r="AI462">
        <v>265.62</v>
      </c>
      <c r="AJ462" t="s">
        <v>2</v>
      </c>
      <c r="AK462" t="s">
        <v>11</v>
      </c>
    </row>
    <row r="463" spans="1:37">
      <c r="A463">
        <v>257757</v>
      </c>
      <c r="B463" s="1">
        <v>45366</v>
      </c>
      <c r="C463" t="s">
        <v>1025</v>
      </c>
      <c r="D463" t="s">
        <v>2</v>
      </c>
      <c r="E463" t="s">
        <v>1026</v>
      </c>
      <c r="F463" t="s">
        <v>172</v>
      </c>
      <c r="G463" t="s">
        <v>579</v>
      </c>
      <c r="H463" t="s">
        <v>1027</v>
      </c>
      <c r="I463" t="s">
        <v>1028</v>
      </c>
      <c r="J463" t="s">
        <v>1029</v>
      </c>
      <c r="K463" t="s">
        <v>1030</v>
      </c>
      <c r="L463" t="s">
        <v>1031</v>
      </c>
      <c r="M463" t="s">
        <v>579</v>
      </c>
      <c r="N463">
        <v>44256</v>
      </c>
      <c r="O463" t="s">
        <v>1032</v>
      </c>
      <c r="P463">
        <v>245823</v>
      </c>
      <c r="Q463" t="s">
        <v>6</v>
      </c>
      <c r="R463">
        <v>415681</v>
      </c>
      <c r="S463" t="s">
        <v>1033</v>
      </c>
      <c r="T463" s="2">
        <v>3</v>
      </c>
      <c r="U463">
        <v>0</v>
      </c>
      <c r="V463" t="s">
        <v>1034</v>
      </c>
      <c r="W463">
        <v>0</v>
      </c>
      <c r="X463">
        <v>0</v>
      </c>
      <c r="Y463">
        <v>0</v>
      </c>
      <c r="Z463" t="s">
        <v>9</v>
      </c>
      <c r="AA463" t="s">
        <v>2</v>
      </c>
      <c r="AB463" t="s">
        <v>10</v>
      </c>
      <c r="AC463">
        <v>0</v>
      </c>
      <c r="AD463">
        <v>0</v>
      </c>
      <c r="AE463">
        <v>726182084807</v>
      </c>
      <c r="AF463">
        <v>223.5</v>
      </c>
      <c r="AG463">
        <v>0</v>
      </c>
      <c r="AH463">
        <v>0</v>
      </c>
      <c r="AI463">
        <v>223.5</v>
      </c>
      <c r="AJ463" t="s">
        <v>2</v>
      </c>
      <c r="AK463" t="s">
        <v>11</v>
      </c>
    </row>
    <row r="464" spans="1:37">
      <c r="A464">
        <v>257757</v>
      </c>
      <c r="B464" s="1">
        <v>45366</v>
      </c>
      <c r="C464" t="s">
        <v>1025</v>
      </c>
      <c r="D464" t="s">
        <v>2</v>
      </c>
      <c r="E464" t="s">
        <v>1026</v>
      </c>
      <c r="F464" t="s">
        <v>172</v>
      </c>
      <c r="G464" t="s">
        <v>579</v>
      </c>
      <c r="H464" t="s">
        <v>1027</v>
      </c>
      <c r="I464" t="s">
        <v>1028</v>
      </c>
      <c r="J464" t="s">
        <v>1029</v>
      </c>
      <c r="K464" t="s">
        <v>1030</v>
      </c>
      <c r="L464" t="s">
        <v>1031</v>
      </c>
      <c r="M464" t="s">
        <v>579</v>
      </c>
      <c r="N464">
        <v>44256</v>
      </c>
      <c r="O464" t="s">
        <v>1032</v>
      </c>
      <c r="P464">
        <v>245823</v>
      </c>
      <c r="Q464" t="s">
        <v>6</v>
      </c>
      <c r="R464">
        <v>415681</v>
      </c>
      <c r="S464" t="s">
        <v>1033</v>
      </c>
      <c r="T464" s="2">
        <v>3</v>
      </c>
      <c r="U464">
        <v>0</v>
      </c>
      <c r="V464" t="s">
        <v>1034</v>
      </c>
      <c r="W464">
        <v>0</v>
      </c>
      <c r="X464">
        <v>0</v>
      </c>
      <c r="Y464">
        <v>0</v>
      </c>
      <c r="Z464" t="s">
        <v>88</v>
      </c>
      <c r="AA464" t="s">
        <v>311</v>
      </c>
      <c r="AB464" t="s">
        <v>10</v>
      </c>
      <c r="AC464">
        <v>0</v>
      </c>
      <c r="AD464">
        <v>0</v>
      </c>
      <c r="AE464">
        <v>726182084807</v>
      </c>
      <c r="AF464">
        <v>223.5</v>
      </c>
      <c r="AG464">
        <v>0</v>
      </c>
      <c r="AH464">
        <v>0</v>
      </c>
      <c r="AI464">
        <v>223.5</v>
      </c>
      <c r="AJ464" t="s">
        <v>2</v>
      </c>
      <c r="AK464" t="s">
        <v>11</v>
      </c>
    </row>
    <row r="465" spans="1:37">
      <c r="A465">
        <v>257757</v>
      </c>
      <c r="B465" s="1">
        <v>45366</v>
      </c>
      <c r="C465" t="s">
        <v>1025</v>
      </c>
      <c r="D465" t="s">
        <v>2</v>
      </c>
      <c r="E465" t="s">
        <v>1026</v>
      </c>
      <c r="F465" t="s">
        <v>172</v>
      </c>
      <c r="G465" t="s">
        <v>579</v>
      </c>
      <c r="H465" t="s">
        <v>1027</v>
      </c>
      <c r="I465" t="s">
        <v>1028</v>
      </c>
      <c r="J465" t="s">
        <v>1029</v>
      </c>
      <c r="K465" t="s">
        <v>1030</v>
      </c>
      <c r="L465" t="s">
        <v>1031</v>
      </c>
      <c r="M465" t="s">
        <v>579</v>
      </c>
      <c r="N465">
        <v>44256</v>
      </c>
      <c r="O465" t="s">
        <v>1032</v>
      </c>
      <c r="P465">
        <v>245823</v>
      </c>
      <c r="Q465" t="s">
        <v>6</v>
      </c>
      <c r="R465">
        <v>415681</v>
      </c>
      <c r="S465" t="s">
        <v>1033</v>
      </c>
      <c r="T465" s="2">
        <v>3</v>
      </c>
      <c r="U465">
        <v>0</v>
      </c>
      <c r="V465" t="s">
        <v>1034</v>
      </c>
      <c r="W465">
        <v>0</v>
      </c>
      <c r="X465">
        <v>0</v>
      </c>
      <c r="Y465">
        <v>0</v>
      </c>
      <c r="Z465" t="s">
        <v>88</v>
      </c>
      <c r="AA465" t="s">
        <v>311</v>
      </c>
      <c r="AB465" t="s">
        <v>10</v>
      </c>
      <c r="AC465">
        <v>0</v>
      </c>
      <c r="AD465">
        <v>0</v>
      </c>
      <c r="AE465">
        <v>726182084807</v>
      </c>
      <c r="AF465">
        <v>223.5</v>
      </c>
      <c r="AG465">
        <v>0</v>
      </c>
      <c r="AH465">
        <v>0</v>
      </c>
      <c r="AI465">
        <v>223.5</v>
      </c>
      <c r="AJ465" t="s">
        <v>2</v>
      </c>
      <c r="AK465" t="s">
        <v>11</v>
      </c>
    </row>
    <row r="466" spans="1:37">
      <c r="A466">
        <v>257757</v>
      </c>
      <c r="B466" s="1">
        <v>45366</v>
      </c>
      <c r="C466" t="s">
        <v>1025</v>
      </c>
      <c r="D466" t="s">
        <v>2</v>
      </c>
      <c r="E466" t="s">
        <v>1026</v>
      </c>
      <c r="F466" t="s">
        <v>172</v>
      </c>
      <c r="G466" t="s">
        <v>579</v>
      </c>
      <c r="H466" t="s">
        <v>1027</v>
      </c>
      <c r="I466" t="s">
        <v>1028</v>
      </c>
      <c r="J466" t="s">
        <v>1029</v>
      </c>
      <c r="K466" t="s">
        <v>1030</v>
      </c>
      <c r="L466" t="s">
        <v>1031</v>
      </c>
      <c r="M466" t="s">
        <v>579</v>
      </c>
      <c r="N466">
        <v>44256</v>
      </c>
      <c r="O466" t="s">
        <v>1032</v>
      </c>
      <c r="P466">
        <v>245823</v>
      </c>
      <c r="Q466" t="s">
        <v>6</v>
      </c>
      <c r="R466">
        <v>415681</v>
      </c>
      <c r="S466" t="s">
        <v>1033</v>
      </c>
      <c r="T466" s="2">
        <v>3</v>
      </c>
      <c r="U466">
        <v>0</v>
      </c>
      <c r="V466" t="s">
        <v>1034</v>
      </c>
      <c r="W466">
        <v>0</v>
      </c>
      <c r="X466">
        <v>0</v>
      </c>
      <c r="Y466">
        <v>0</v>
      </c>
      <c r="Z466" t="s">
        <v>88</v>
      </c>
      <c r="AA466" t="s">
        <v>1035</v>
      </c>
      <c r="AB466" t="s">
        <v>10</v>
      </c>
      <c r="AC466">
        <v>0</v>
      </c>
      <c r="AD466">
        <v>0</v>
      </c>
      <c r="AE466">
        <v>726182084807</v>
      </c>
      <c r="AF466">
        <v>223.5</v>
      </c>
      <c r="AG466">
        <v>0</v>
      </c>
      <c r="AH466">
        <v>0</v>
      </c>
      <c r="AI466">
        <v>223.5</v>
      </c>
      <c r="AJ466" t="s">
        <v>2</v>
      </c>
      <c r="AK466" t="s">
        <v>11</v>
      </c>
    </row>
    <row r="467" spans="1:37">
      <c r="A467">
        <v>257757</v>
      </c>
      <c r="B467" s="1">
        <v>45366</v>
      </c>
      <c r="C467" t="s">
        <v>1025</v>
      </c>
      <c r="D467" t="s">
        <v>2</v>
      </c>
      <c r="E467" t="s">
        <v>1026</v>
      </c>
      <c r="F467" t="s">
        <v>172</v>
      </c>
      <c r="G467" t="s">
        <v>579</v>
      </c>
      <c r="H467" t="s">
        <v>1027</v>
      </c>
      <c r="I467" t="s">
        <v>1028</v>
      </c>
      <c r="J467" t="s">
        <v>1029</v>
      </c>
      <c r="K467" t="s">
        <v>1030</v>
      </c>
      <c r="L467" t="s">
        <v>1031</v>
      </c>
      <c r="M467" t="s">
        <v>579</v>
      </c>
      <c r="N467">
        <v>44256</v>
      </c>
      <c r="O467" t="s">
        <v>1032</v>
      </c>
      <c r="P467">
        <v>245823</v>
      </c>
      <c r="Q467" t="s">
        <v>6</v>
      </c>
      <c r="R467">
        <v>415681</v>
      </c>
      <c r="S467" t="s">
        <v>1033</v>
      </c>
      <c r="T467" s="2">
        <v>3</v>
      </c>
      <c r="U467">
        <v>0</v>
      </c>
      <c r="V467" t="s">
        <v>1034</v>
      </c>
      <c r="W467">
        <v>0</v>
      </c>
      <c r="X467">
        <v>0</v>
      </c>
      <c r="Y467">
        <v>0</v>
      </c>
      <c r="Z467" t="s">
        <v>88</v>
      </c>
      <c r="AA467" t="s">
        <v>311</v>
      </c>
      <c r="AB467" t="s">
        <v>10</v>
      </c>
      <c r="AC467">
        <v>0</v>
      </c>
      <c r="AD467">
        <v>0</v>
      </c>
      <c r="AE467">
        <v>726182084807</v>
      </c>
      <c r="AF467">
        <v>223.5</v>
      </c>
      <c r="AG467">
        <v>0</v>
      </c>
      <c r="AH467">
        <v>0</v>
      </c>
      <c r="AI467">
        <v>223.5</v>
      </c>
      <c r="AJ467" t="s">
        <v>2</v>
      </c>
      <c r="AK467" t="s">
        <v>11</v>
      </c>
    </row>
    <row r="468" spans="1:37">
      <c r="A468">
        <v>257757</v>
      </c>
      <c r="B468" s="1">
        <v>45366</v>
      </c>
      <c r="C468" t="s">
        <v>1025</v>
      </c>
      <c r="D468" t="s">
        <v>2</v>
      </c>
      <c r="E468" t="s">
        <v>1026</v>
      </c>
      <c r="F468" t="s">
        <v>172</v>
      </c>
      <c r="G468" t="s">
        <v>579</v>
      </c>
      <c r="H468" t="s">
        <v>1027</v>
      </c>
      <c r="I468" t="s">
        <v>1028</v>
      </c>
      <c r="J468" t="s">
        <v>1029</v>
      </c>
      <c r="K468" t="s">
        <v>1030</v>
      </c>
      <c r="L468" t="s">
        <v>1031</v>
      </c>
      <c r="M468" t="s">
        <v>579</v>
      </c>
      <c r="N468">
        <v>44256</v>
      </c>
      <c r="O468" t="s">
        <v>1032</v>
      </c>
      <c r="P468">
        <v>245823</v>
      </c>
      <c r="Q468" t="s">
        <v>6</v>
      </c>
      <c r="R468">
        <v>415681</v>
      </c>
      <c r="S468" t="s">
        <v>1033</v>
      </c>
      <c r="T468" s="2">
        <v>3</v>
      </c>
      <c r="U468">
        <v>0</v>
      </c>
      <c r="V468" t="s">
        <v>1034</v>
      </c>
      <c r="W468">
        <v>0</v>
      </c>
      <c r="X468">
        <v>0</v>
      </c>
      <c r="Y468">
        <v>0</v>
      </c>
      <c r="Z468" t="s">
        <v>88</v>
      </c>
      <c r="AA468" t="s">
        <v>311</v>
      </c>
      <c r="AB468" t="s">
        <v>10</v>
      </c>
      <c r="AC468">
        <v>0</v>
      </c>
      <c r="AD468">
        <v>0</v>
      </c>
      <c r="AE468">
        <v>726182084807</v>
      </c>
      <c r="AF468">
        <v>223.5</v>
      </c>
      <c r="AG468">
        <v>0</v>
      </c>
      <c r="AH468">
        <v>0</v>
      </c>
      <c r="AI468">
        <v>223.5</v>
      </c>
      <c r="AJ468" t="s">
        <v>2</v>
      </c>
      <c r="AK468" t="s">
        <v>11</v>
      </c>
    </row>
    <row r="469" spans="1:37">
      <c r="A469">
        <v>257757</v>
      </c>
      <c r="B469" s="1">
        <v>45366</v>
      </c>
      <c r="C469" t="s">
        <v>1025</v>
      </c>
      <c r="D469" t="s">
        <v>2</v>
      </c>
      <c r="E469" t="s">
        <v>1026</v>
      </c>
      <c r="F469" t="s">
        <v>172</v>
      </c>
      <c r="G469" t="s">
        <v>579</v>
      </c>
      <c r="H469" t="s">
        <v>1027</v>
      </c>
      <c r="I469" t="s">
        <v>1028</v>
      </c>
      <c r="J469" t="s">
        <v>1029</v>
      </c>
      <c r="K469" t="s">
        <v>1030</v>
      </c>
      <c r="L469" t="s">
        <v>1031</v>
      </c>
      <c r="M469" t="s">
        <v>579</v>
      </c>
      <c r="N469">
        <v>44256</v>
      </c>
      <c r="O469" t="s">
        <v>1032</v>
      </c>
      <c r="P469">
        <v>245823</v>
      </c>
      <c r="Q469" t="s">
        <v>6</v>
      </c>
      <c r="R469">
        <v>415681</v>
      </c>
      <c r="S469" t="s">
        <v>1033</v>
      </c>
      <c r="T469" s="2">
        <v>3</v>
      </c>
      <c r="U469">
        <v>0</v>
      </c>
      <c r="V469" t="s">
        <v>1034</v>
      </c>
      <c r="W469">
        <v>0</v>
      </c>
      <c r="X469">
        <v>0</v>
      </c>
      <c r="Y469">
        <v>0</v>
      </c>
      <c r="Z469" t="s">
        <v>88</v>
      </c>
      <c r="AA469" t="s">
        <v>311</v>
      </c>
      <c r="AB469" t="s">
        <v>10</v>
      </c>
      <c r="AC469">
        <v>0</v>
      </c>
      <c r="AD469">
        <v>0</v>
      </c>
      <c r="AE469">
        <v>726182084807</v>
      </c>
      <c r="AF469">
        <v>223.5</v>
      </c>
      <c r="AG469">
        <v>0</v>
      </c>
      <c r="AH469">
        <v>0</v>
      </c>
      <c r="AI469">
        <v>223.5</v>
      </c>
      <c r="AJ469" t="s">
        <v>2</v>
      </c>
      <c r="AK469" t="s">
        <v>11</v>
      </c>
    </row>
    <row r="470" spans="1:37">
      <c r="A470">
        <v>257757</v>
      </c>
      <c r="B470" s="1">
        <v>45366</v>
      </c>
      <c r="C470" t="s">
        <v>1025</v>
      </c>
      <c r="D470" t="s">
        <v>2</v>
      </c>
      <c r="E470" t="s">
        <v>1026</v>
      </c>
      <c r="F470" t="s">
        <v>172</v>
      </c>
      <c r="G470" t="s">
        <v>579</v>
      </c>
      <c r="H470" t="s">
        <v>1027</v>
      </c>
      <c r="I470" t="s">
        <v>1028</v>
      </c>
      <c r="J470" t="s">
        <v>1029</v>
      </c>
      <c r="K470" t="s">
        <v>1030</v>
      </c>
      <c r="L470" t="s">
        <v>1031</v>
      </c>
      <c r="M470" t="s">
        <v>579</v>
      </c>
      <c r="N470">
        <v>44256</v>
      </c>
      <c r="O470" t="s">
        <v>1032</v>
      </c>
      <c r="P470">
        <v>245823</v>
      </c>
      <c r="Q470" t="s">
        <v>6</v>
      </c>
      <c r="R470">
        <v>415681</v>
      </c>
      <c r="S470" t="s">
        <v>1033</v>
      </c>
      <c r="T470" s="2">
        <v>3</v>
      </c>
      <c r="U470">
        <v>0</v>
      </c>
      <c r="V470" t="s">
        <v>1034</v>
      </c>
      <c r="W470">
        <v>0</v>
      </c>
      <c r="X470">
        <v>0</v>
      </c>
      <c r="Y470">
        <v>0</v>
      </c>
      <c r="Z470" t="s">
        <v>88</v>
      </c>
      <c r="AA470" t="s">
        <v>1036</v>
      </c>
      <c r="AB470" t="s">
        <v>10</v>
      </c>
      <c r="AC470">
        <v>0</v>
      </c>
      <c r="AD470">
        <v>0</v>
      </c>
      <c r="AE470">
        <v>726182084807</v>
      </c>
      <c r="AF470">
        <v>223.5</v>
      </c>
      <c r="AG470">
        <v>0</v>
      </c>
      <c r="AH470">
        <v>0</v>
      </c>
      <c r="AI470">
        <v>223.5</v>
      </c>
      <c r="AJ470" t="s">
        <v>2</v>
      </c>
      <c r="AK470" t="s">
        <v>11</v>
      </c>
    </row>
    <row r="471" spans="1:37">
      <c r="A471">
        <v>257757</v>
      </c>
      <c r="B471" s="1">
        <v>45366</v>
      </c>
      <c r="C471" t="s">
        <v>1025</v>
      </c>
      <c r="D471" t="s">
        <v>2</v>
      </c>
      <c r="E471" t="s">
        <v>1026</v>
      </c>
      <c r="F471" t="s">
        <v>172</v>
      </c>
      <c r="G471" t="s">
        <v>579</v>
      </c>
      <c r="H471" t="s">
        <v>1027</v>
      </c>
      <c r="I471" t="s">
        <v>1028</v>
      </c>
      <c r="J471" t="s">
        <v>1029</v>
      </c>
      <c r="K471" t="s">
        <v>1030</v>
      </c>
      <c r="L471" t="s">
        <v>1031</v>
      </c>
      <c r="M471" t="s">
        <v>579</v>
      </c>
      <c r="N471">
        <v>44256</v>
      </c>
      <c r="O471" t="s">
        <v>1032</v>
      </c>
      <c r="P471">
        <v>245823</v>
      </c>
      <c r="Q471" t="s">
        <v>6</v>
      </c>
      <c r="R471">
        <v>415681</v>
      </c>
      <c r="S471" t="s">
        <v>1033</v>
      </c>
      <c r="T471" s="2">
        <v>3</v>
      </c>
      <c r="U471">
        <v>0</v>
      </c>
      <c r="V471" t="s">
        <v>1034</v>
      </c>
      <c r="W471">
        <v>0</v>
      </c>
      <c r="X471">
        <v>0</v>
      </c>
      <c r="Y471">
        <v>0</v>
      </c>
      <c r="Z471" t="s">
        <v>88</v>
      </c>
      <c r="AA471" t="e">
        <f>-SATURDAY DELIVERY</f>
        <v>#NAME?</v>
      </c>
      <c r="AB471" t="s">
        <v>10</v>
      </c>
      <c r="AC471">
        <v>0</v>
      </c>
      <c r="AD471">
        <v>0</v>
      </c>
      <c r="AE471">
        <v>726182084807</v>
      </c>
      <c r="AF471">
        <v>223.5</v>
      </c>
      <c r="AG471">
        <v>0</v>
      </c>
      <c r="AH471">
        <v>0</v>
      </c>
      <c r="AI471">
        <v>223.5</v>
      </c>
      <c r="AJ471" t="s">
        <v>2</v>
      </c>
      <c r="AK471" t="s">
        <v>11</v>
      </c>
    </row>
    <row r="472" spans="1:37">
      <c r="A472">
        <v>257757</v>
      </c>
      <c r="B472" s="1">
        <v>45366</v>
      </c>
      <c r="C472" t="s">
        <v>1025</v>
      </c>
      <c r="D472" t="s">
        <v>2</v>
      </c>
      <c r="E472" t="s">
        <v>1026</v>
      </c>
      <c r="F472" t="s">
        <v>172</v>
      </c>
      <c r="G472" t="s">
        <v>579</v>
      </c>
      <c r="H472" t="s">
        <v>1027</v>
      </c>
      <c r="I472" t="s">
        <v>1028</v>
      </c>
      <c r="J472" t="s">
        <v>1029</v>
      </c>
      <c r="K472" t="s">
        <v>1030</v>
      </c>
      <c r="L472" t="s">
        <v>1031</v>
      </c>
      <c r="M472" t="s">
        <v>579</v>
      </c>
      <c r="N472">
        <v>44256</v>
      </c>
      <c r="O472" t="s">
        <v>1032</v>
      </c>
      <c r="P472">
        <v>245823</v>
      </c>
      <c r="Q472" t="s">
        <v>6</v>
      </c>
      <c r="R472">
        <v>415681</v>
      </c>
      <c r="S472" t="s">
        <v>1033</v>
      </c>
      <c r="T472" s="2">
        <v>3</v>
      </c>
      <c r="U472">
        <v>0</v>
      </c>
      <c r="V472" t="s">
        <v>1034</v>
      </c>
      <c r="W472">
        <v>0</v>
      </c>
      <c r="X472">
        <v>0</v>
      </c>
      <c r="Y472">
        <v>0</v>
      </c>
      <c r="Z472" t="s">
        <v>88</v>
      </c>
      <c r="AA472" t="s">
        <v>1035</v>
      </c>
      <c r="AB472" t="s">
        <v>10</v>
      </c>
      <c r="AC472">
        <v>0</v>
      </c>
      <c r="AD472">
        <v>0</v>
      </c>
      <c r="AE472">
        <v>726182084807</v>
      </c>
      <c r="AF472">
        <v>223.5</v>
      </c>
      <c r="AG472">
        <v>0</v>
      </c>
      <c r="AH472">
        <v>0</v>
      </c>
      <c r="AI472">
        <v>223.5</v>
      </c>
      <c r="AJ472" t="s">
        <v>2</v>
      </c>
      <c r="AK472" t="s">
        <v>11</v>
      </c>
    </row>
    <row r="473" spans="1:37">
      <c r="A473">
        <v>257757</v>
      </c>
      <c r="B473" s="1">
        <v>45366</v>
      </c>
      <c r="C473" t="s">
        <v>1025</v>
      </c>
      <c r="D473" t="s">
        <v>2</v>
      </c>
      <c r="E473" t="s">
        <v>1026</v>
      </c>
      <c r="F473" t="s">
        <v>172</v>
      </c>
      <c r="G473" t="s">
        <v>579</v>
      </c>
      <c r="H473" t="s">
        <v>1027</v>
      </c>
      <c r="I473" t="s">
        <v>1028</v>
      </c>
      <c r="J473" t="s">
        <v>1029</v>
      </c>
      <c r="K473" t="s">
        <v>1030</v>
      </c>
      <c r="L473" t="s">
        <v>1031</v>
      </c>
      <c r="M473" t="s">
        <v>579</v>
      </c>
      <c r="N473">
        <v>44256</v>
      </c>
      <c r="O473" t="s">
        <v>1032</v>
      </c>
      <c r="P473">
        <v>245823</v>
      </c>
      <c r="Q473" t="s">
        <v>6</v>
      </c>
      <c r="R473">
        <v>415681</v>
      </c>
      <c r="S473" t="s">
        <v>1033</v>
      </c>
      <c r="T473" s="2">
        <v>3</v>
      </c>
      <c r="U473">
        <v>0</v>
      </c>
      <c r="V473" t="s">
        <v>1034</v>
      </c>
      <c r="W473">
        <v>0</v>
      </c>
      <c r="X473">
        <v>0</v>
      </c>
      <c r="Y473">
        <v>0</v>
      </c>
      <c r="Z473" t="s">
        <v>88</v>
      </c>
      <c r="AA473" t="s">
        <v>1037</v>
      </c>
      <c r="AB473" t="s">
        <v>10</v>
      </c>
      <c r="AC473">
        <v>0</v>
      </c>
      <c r="AD473">
        <v>0</v>
      </c>
      <c r="AE473">
        <v>726182084807</v>
      </c>
      <c r="AF473">
        <v>223.5</v>
      </c>
      <c r="AG473">
        <v>0</v>
      </c>
      <c r="AH473">
        <v>0</v>
      </c>
      <c r="AI473">
        <v>223.5</v>
      </c>
      <c r="AJ473" t="s">
        <v>2</v>
      </c>
      <c r="AK473" t="s">
        <v>11</v>
      </c>
    </row>
    <row r="474" spans="1:37">
      <c r="A474">
        <v>257757</v>
      </c>
      <c r="B474" s="1">
        <v>45366</v>
      </c>
      <c r="C474" t="s">
        <v>1025</v>
      </c>
      <c r="D474" t="s">
        <v>2</v>
      </c>
      <c r="E474" t="s">
        <v>1026</v>
      </c>
      <c r="F474" t="s">
        <v>172</v>
      </c>
      <c r="G474" t="s">
        <v>579</v>
      </c>
      <c r="H474" t="s">
        <v>1027</v>
      </c>
      <c r="I474" t="s">
        <v>1028</v>
      </c>
      <c r="J474" t="s">
        <v>1029</v>
      </c>
      <c r="K474" t="s">
        <v>1030</v>
      </c>
      <c r="L474" t="s">
        <v>1031</v>
      </c>
      <c r="M474" t="s">
        <v>579</v>
      </c>
      <c r="N474">
        <v>44256</v>
      </c>
      <c r="O474" t="s">
        <v>1032</v>
      </c>
      <c r="P474">
        <v>245823</v>
      </c>
      <c r="Q474" t="s">
        <v>6</v>
      </c>
      <c r="R474">
        <v>415681</v>
      </c>
      <c r="S474" t="s">
        <v>1033</v>
      </c>
      <c r="T474" s="2">
        <v>3</v>
      </c>
      <c r="U474">
        <v>0</v>
      </c>
      <c r="V474" t="s">
        <v>1034</v>
      </c>
      <c r="W474">
        <v>0</v>
      </c>
      <c r="X474">
        <v>0</v>
      </c>
      <c r="Y474">
        <v>0</v>
      </c>
      <c r="Z474" t="s">
        <v>88</v>
      </c>
      <c r="AA474" t="e">
        <f>-CHARGE FREIGHT TO CUSTOMER</f>
        <v>#NAME?</v>
      </c>
      <c r="AB474" t="s">
        <v>10</v>
      </c>
      <c r="AC474">
        <v>0</v>
      </c>
      <c r="AD474">
        <v>0</v>
      </c>
      <c r="AE474">
        <v>726182084807</v>
      </c>
      <c r="AF474">
        <v>223.5</v>
      </c>
      <c r="AG474">
        <v>0</v>
      </c>
      <c r="AH474">
        <v>0</v>
      </c>
      <c r="AI474">
        <v>223.5</v>
      </c>
      <c r="AJ474" t="s">
        <v>2</v>
      </c>
      <c r="AK474" t="s">
        <v>11</v>
      </c>
    </row>
    <row r="475" spans="1:37">
      <c r="A475">
        <v>257757</v>
      </c>
      <c r="B475" s="1">
        <v>45366</v>
      </c>
      <c r="C475" t="s">
        <v>1025</v>
      </c>
      <c r="D475" t="s">
        <v>2</v>
      </c>
      <c r="E475" t="s">
        <v>1026</v>
      </c>
      <c r="F475" t="s">
        <v>172</v>
      </c>
      <c r="G475" t="s">
        <v>579</v>
      </c>
      <c r="H475" t="s">
        <v>1027</v>
      </c>
      <c r="I475" t="s">
        <v>1028</v>
      </c>
      <c r="J475" t="s">
        <v>1029</v>
      </c>
      <c r="K475" t="s">
        <v>1030</v>
      </c>
      <c r="L475" t="s">
        <v>1031</v>
      </c>
      <c r="M475" t="s">
        <v>579</v>
      </c>
      <c r="N475">
        <v>44256</v>
      </c>
      <c r="O475" t="s">
        <v>1032</v>
      </c>
      <c r="P475">
        <v>245823</v>
      </c>
      <c r="Q475" t="s">
        <v>6</v>
      </c>
      <c r="R475">
        <v>415681</v>
      </c>
      <c r="S475" t="s">
        <v>1033</v>
      </c>
      <c r="T475" s="2">
        <v>3</v>
      </c>
      <c r="U475">
        <v>0</v>
      </c>
      <c r="V475" t="s">
        <v>1034</v>
      </c>
      <c r="W475">
        <v>0</v>
      </c>
      <c r="X475">
        <v>0</v>
      </c>
      <c r="Y475">
        <v>0</v>
      </c>
      <c r="Z475" t="s">
        <v>88</v>
      </c>
      <c r="AA475" t="s">
        <v>1038</v>
      </c>
      <c r="AB475" t="s">
        <v>10</v>
      </c>
      <c r="AC475">
        <v>0</v>
      </c>
      <c r="AD475">
        <v>0</v>
      </c>
      <c r="AE475">
        <v>726182084807</v>
      </c>
      <c r="AF475">
        <v>223.5</v>
      </c>
      <c r="AG475">
        <v>0</v>
      </c>
      <c r="AH475">
        <v>0</v>
      </c>
      <c r="AI475">
        <v>223.5</v>
      </c>
      <c r="AJ475" t="s">
        <v>2</v>
      </c>
      <c r="AK475" t="s">
        <v>11</v>
      </c>
    </row>
    <row r="476" spans="1:37">
      <c r="A476">
        <v>257757</v>
      </c>
      <c r="B476" s="1">
        <v>45366</v>
      </c>
      <c r="C476" t="s">
        <v>1025</v>
      </c>
      <c r="D476" t="s">
        <v>2</v>
      </c>
      <c r="E476" t="s">
        <v>1026</v>
      </c>
      <c r="F476" t="s">
        <v>172</v>
      </c>
      <c r="G476" t="s">
        <v>579</v>
      </c>
      <c r="H476" t="s">
        <v>1027</v>
      </c>
      <c r="I476" t="s">
        <v>1028</v>
      </c>
      <c r="J476" t="s">
        <v>1029</v>
      </c>
      <c r="K476" t="s">
        <v>1030</v>
      </c>
      <c r="L476" t="s">
        <v>1031</v>
      </c>
      <c r="M476" t="s">
        <v>579</v>
      </c>
      <c r="N476">
        <v>44256</v>
      </c>
      <c r="O476" t="s">
        <v>1032</v>
      </c>
      <c r="P476">
        <v>245823</v>
      </c>
      <c r="Q476" t="s">
        <v>6</v>
      </c>
      <c r="R476">
        <v>415681</v>
      </c>
      <c r="S476" t="s">
        <v>1033</v>
      </c>
      <c r="T476" s="2">
        <v>3</v>
      </c>
      <c r="U476">
        <v>0</v>
      </c>
      <c r="V476" t="s">
        <v>1034</v>
      </c>
      <c r="W476">
        <v>3</v>
      </c>
      <c r="X476">
        <v>3</v>
      </c>
      <c r="Y476">
        <v>0</v>
      </c>
      <c r="Z476" t="s">
        <v>1039</v>
      </c>
      <c r="AA476" t="s">
        <v>1040</v>
      </c>
      <c r="AB476" t="s">
        <v>14</v>
      </c>
      <c r="AC476">
        <v>74.5</v>
      </c>
      <c r="AD476">
        <v>223.5</v>
      </c>
      <c r="AE476">
        <v>726182084807</v>
      </c>
      <c r="AF476">
        <v>223.5</v>
      </c>
      <c r="AG476">
        <v>0</v>
      </c>
      <c r="AH476">
        <v>0</v>
      </c>
      <c r="AI476">
        <v>223.5</v>
      </c>
      <c r="AJ476" t="s">
        <v>2</v>
      </c>
      <c r="AK476" t="s">
        <v>11</v>
      </c>
    </row>
    <row r="477" spans="1:37">
      <c r="A477">
        <v>257757</v>
      </c>
      <c r="B477" s="1">
        <v>45366</v>
      </c>
      <c r="C477" t="s">
        <v>1025</v>
      </c>
      <c r="D477" t="s">
        <v>2</v>
      </c>
      <c r="E477" t="s">
        <v>1026</v>
      </c>
      <c r="F477" t="s">
        <v>172</v>
      </c>
      <c r="G477" t="s">
        <v>579</v>
      </c>
      <c r="H477" t="s">
        <v>1027</v>
      </c>
      <c r="I477" t="s">
        <v>1028</v>
      </c>
      <c r="J477" t="s">
        <v>1029</v>
      </c>
      <c r="K477" t="s">
        <v>1030</v>
      </c>
      <c r="L477" t="s">
        <v>1031</v>
      </c>
      <c r="M477" t="s">
        <v>579</v>
      </c>
      <c r="N477">
        <v>44256</v>
      </c>
      <c r="O477" t="s">
        <v>1032</v>
      </c>
      <c r="P477">
        <v>245823</v>
      </c>
      <c r="Q477" t="s">
        <v>6</v>
      </c>
      <c r="R477">
        <v>415681</v>
      </c>
      <c r="S477" t="s">
        <v>1033</v>
      </c>
      <c r="T477" s="2">
        <v>3</v>
      </c>
      <c r="U477">
        <v>0</v>
      </c>
      <c r="V477" t="s">
        <v>1034</v>
      </c>
      <c r="W477">
        <v>0</v>
      </c>
      <c r="X477">
        <v>0</v>
      </c>
      <c r="Y477">
        <v>0</v>
      </c>
      <c r="Z477" t="s">
        <v>88</v>
      </c>
      <c r="AA477" t="s">
        <v>1041</v>
      </c>
      <c r="AB477" t="s">
        <v>10</v>
      </c>
      <c r="AC477">
        <v>0</v>
      </c>
      <c r="AD477">
        <v>0</v>
      </c>
      <c r="AE477">
        <v>726182084807</v>
      </c>
      <c r="AF477">
        <v>223.5</v>
      </c>
      <c r="AG477">
        <v>0</v>
      </c>
      <c r="AH477">
        <v>0</v>
      </c>
      <c r="AI477">
        <v>223.5</v>
      </c>
      <c r="AJ477" t="s">
        <v>2</v>
      </c>
      <c r="AK477" t="s">
        <v>11</v>
      </c>
    </row>
    <row r="478" spans="1:37">
      <c r="A478">
        <v>257758</v>
      </c>
      <c r="B478" s="1">
        <v>45366</v>
      </c>
      <c r="C478" t="s">
        <v>705</v>
      </c>
      <c r="D478" t="s">
        <v>706</v>
      </c>
      <c r="E478" t="s">
        <v>707</v>
      </c>
      <c r="F478" t="s">
        <v>708</v>
      </c>
      <c r="G478" t="s">
        <v>579</v>
      </c>
      <c r="H478">
        <v>44310</v>
      </c>
      <c r="I478" t="s">
        <v>1042</v>
      </c>
      <c r="J478" t="s">
        <v>1043</v>
      </c>
      <c r="K478" t="s">
        <v>2</v>
      </c>
      <c r="L478" t="s">
        <v>1044</v>
      </c>
      <c r="M478" t="s">
        <v>579</v>
      </c>
      <c r="N478" t="s">
        <v>1045</v>
      </c>
      <c r="O478" t="s">
        <v>712</v>
      </c>
      <c r="P478">
        <v>2278234</v>
      </c>
      <c r="Q478" t="s">
        <v>38</v>
      </c>
      <c r="R478">
        <v>415481</v>
      </c>
      <c r="S478" t="s">
        <v>84</v>
      </c>
      <c r="T478" s="2">
        <v>2</v>
      </c>
      <c r="U478">
        <v>0</v>
      </c>
      <c r="V478" t="s">
        <v>153</v>
      </c>
      <c r="W478">
        <v>0</v>
      </c>
      <c r="X478">
        <v>0</v>
      </c>
      <c r="Y478">
        <v>0</v>
      </c>
      <c r="Z478" t="s">
        <v>9</v>
      </c>
      <c r="AA478" t="s">
        <v>2</v>
      </c>
      <c r="AB478" t="s">
        <v>10</v>
      </c>
      <c r="AC478">
        <v>0</v>
      </c>
      <c r="AD478">
        <v>0</v>
      </c>
      <c r="AE478">
        <v>726182084119</v>
      </c>
      <c r="AF478">
        <v>655.94</v>
      </c>
      <c r="AG478">
        <v>0</v>
      </c>
      <c r="AH478">
        <v>61.23</v>
      </c>
      <c r="AI478">
        <v>717.17</v>
      </c>
      <c r="AJ478" t="s">
        <v>2</v>
      </c>
      <c r="AK478" t="s">
        <v>11</v>
      </c>
    </row>
    <row r="479" spans="1:37">
      <c r="A479">
        <v>257758</v>
      </c>
      <c r="B479" s="1">
        <v>45366</v>
      </c>
      <c r="C479" t="s">
        <v>705</v>
      </c>
      <c r="D479" t="s">
        <v>706</v>
      </c>
      <c r="E479" t="s">
        <v>707</v>
      </c>
      <c r="F479" t="s">
        <v>708</v>
      </c>
      <c r="G479" t="s">
        <v>579</v>
      </c>
      <c r="H479">
        <v>44310</v>
      </c>
      <c r="I479" t="s">
        <v>1042</v>
      </c>
      <c r="J479" t="s">
        <v>1043</v>
      </c>
      <c r="K479" t="s">
        <v>2</v>
      </c>
      <c r="L479" t="s">
        <v>1044</v>
      </c>
      <c r="M479" t="s">
        <v>579</v>
      </c>
      <c r="N479" t="s">
        <v>1045</v>
      </c>
      <c r="O479" t="s">
        <v>712</v>
      </c>
      <c r="P479">
        <v>2278234</v>
      </c>
      <c r="Q479" t="s">
        <v>38</v>
      </c>
      <c r="R479">
        <v>415481</v>
      </c>
      <c r="S479" t="s">
        <v>84</v>
      </c>
      <c r="T479" s="2">
        <v>2</v>
      </c>
      <c r="U479">
        <v>0</v>
      </c>
      <c r="V479" t="s">
        <v>153</v>
      </c>
      <c r="W479">
        <v>1</v>
      </c>
      <c r="X479">
        <v>1</v>
      </c>
      <c r="Y479">
        <v>0</v>
      </c>
      <c r="Z479" t="s">
        <v>1046</v>
      </c>
      <c r="AA479" t="s">
        <v>1047</v>
      </c>
      <c r="AB479" t="s">
        <v>14</v>
      </c>
      <c r="AC479">
        <v>76.099999999999994</v>
      </c>
      <c r="AD479">
        <v>76.099999999999994</v>
      </c>
      <c r="AE479">
        <v>726182084119</v>
      </c>
      <c r="AF479">
        <v>655.94</v>
      </c>
      <c r="AG479">
        <v>0</v>
      </c>
      <c r="AH479">
        <v>61.23</v>
      </c>
      <c r="AI479">
        <v>717.17</v>
      </c>
      <c r="AJ479" t="s">
        <v>2</v>
      </c>
      <c r="AK479" t="s">
        <v>11</v>
      </c>
    </row>
    <row r="480" spans="1:37">
      <c r="A480">
        <v>257758</v>
      </c>
      <c r="B480" s="1">
        <v>45366</v>
      </c>
      <c r="C480" t="s">
        <v>705</v>
      </c>
      <c r="D480" t="s">
        <v>706</v>
      </c>
      <c r="E480" t="s">
        <v>707</v>
      </c>
      <c r="F480" t="s">
        <v>708</v>
      </c>
      <c r="G480" t="s">
        <v>579</v>
      </c>
      <c r="H480">
        <v>44310</v>
      </c>
      <c r="I480" t="s">
        <v>1042</v>
      </c>
      <c r="J480" t="s">
        <v>1043</v>
      </c>
      <c r="K480" t="s">
        <v>2</v>
      </c>
      <c r="L480" t="s">
        <v>1044</v>
      </c>
      <c r="M480" t="s">
        <v>579</v>
      </c>
      <c r="N480" t="s">
        <v>1045</v>
      </c>
      <c r="O480" t="s">
        <v>712</v>
      </c>
      <c r="P480">
        <v>2278234</v>
      </c>
      <c r="Q480" t="s">
        <v>38</v>
      </c>
      <c r="R480">
        <v>415481</v>
      </c>
      <c r="S480" t="s">
        <v>84</v>
      </c>
      <c r="T480" s="2">
        <v>2</v>
      </c>
      <c r="U480">
        <v>0</v>
      </c>
      <c r="V480" t="s">
        <v>153</v>
      </c>
      <c r="W480">
        <v>0</v>
      </c>
      <c r="X480">
        <v>0</v>
      </c>
      <c r="Y480">
        <v>0</v>
      </c>
      <c r="Z480" t="s">
        <v>88</v>
      </c>
      <c r="AA480" t="s">
        <v>144</v>
      </c>
      <c r="AB480" t="s">
        <v>10</v>
      </c>
      <c r="AC480">
        <v>0</v>
      </c>
      <c r="AD480">
        <v>0</v>
      </c>
      <c r="AE480">
        <v>726182084119</v>
      </c>
      <c r="AF480">
        <v>655.94</v>
      </c>
      <c r="AG480">
        <v>0</v>
      </c>
      <c r="AH480">
        <v>61.23</v>
      </c>
      <c r="AI480">
        <v>717.17</v>
      </c>
      <c r="AJ480" t="s">
        <v>2</v>
      </c>
      <c r="AK480" t="s">
        <v>11</v>
      </c>
    </row>
    <row r="481" spans="1:37">
      <c r="A481">
        <v>257758</v>
      </c>
      <c r="B481" s="1">
        <v>45366</v>
      </c>
      <c r="C481" t="s">
        <v>705</v>
      </c>
      <c r="D481" t="s">
        <v>706</v>
      </c>
      <c r="E481" t="s">
        <v>707</v>
      </c>
      <c r="F481" t="s">
        <v>708</v>
      </c>
      <c r="G481" t="s">
        <v>579</v>
      </c>
      <c r="H481">
        <v>44310</v>
      </c>
      <c r="I481" t="s">
        <v>1042</v>
      </c>
      <c r="J481" t="s">
        <v>1043</v>
      </c>
      <c r="K481" t="s">
        <v>2</v>
      </c>
      <c r="L481" t="s">
        <v>1044</v>
      </c>
      <c r="M481" t="s">
        <v>579</v>
      </c>
      <c r="N481" t="s">
        <v>1045</v>
      </c>
      <c r="O481" t="s">
        <v>712</v>
      </c>
      <c r="P481">
        <v>2278234</v>
      </c>
      <c r="Q481" t="s">
        <v>38</v>
      </c>
      <c r="R481">
        <v>415481</v>
      </c>
      <c r="S481" t="s">
        <v>84</v>
      </c>
      <c r="T481" s="2">
        <v>2</v>
      </c>
      <c r="U481">
        <v>0</v>
      </c>
      <c r="V481" t="s">
        <v>153</v>
      </c>
      <c r="W481">
        <v>1</v>
      </c>
      <c r="X481">
        <v>1</v>
      </c>
      <c r="Y481">
        <v>0</v>
      </c>
      <c r="Z481" t="s">
        <v>1048</v>
      </c>
      <c r="AA481" t="s">
        <v>1049</v>
      </c>
      <c r="AB481" t="s">
        <v>14</v>
      </c>
      <c r="AC481">
        <v>579.84</v>
      </c>
      <c r="AD481">
        <v>579.84</v>
      </c>
      <c r="AE481">
        <v>726182084119</v>
      </c>
      <c r="AF481">
        <v>655.94</v>
      </c>
      <c r="AG481">
        <v>0</v>
      </c>
      <c r="AH481">
        <v>61.23</v>
      </c>
      <c r="AI481">
        <v>717.17</v>
      </c>
      <c r="AJ481" t="s">
        <v>2</v>
      </c>
      <c r="AK481" t="s">
        <v>11</v>
      </c>
    </row>
    <row r="482" spans="1:37">
      <c r="A482">
        <v>257758</v>
      </c>
      <c r="B482" s="1">
        <v>45366</v>
      </c>
      <c r="C482" t="s">
        <v>705</v>
      </c>
      <c r="D482" t="s">
        <v>706</v>
      </c>
      <c r="E482" t="s">
        <v>707</v>
      </c>
      <c r="F482" t="s">
        <v>708</v>
      </c>
      <c r="G482" t="s">
        <v>579</v>
      </c>
      <c r="H482">
        <v>44310</v>
      </c>
      <c r="I482" t="s">
        <v>1042</v>
      </c>
      <c r="J482" t="s">
        <v>1043</v>
      </c>
      <c r="K482" t="s">
        <v>2</v>
      </c>
      <c r="L482" t="s">
        <v>1044</v>
      </c>
      <c r="M482" t="s">
        <v>579</v>
      </c>
      <c r="N482" t="s">
        <v>1045</v>
      </c>
      <c r="O482" t="s">
        <v>712</v>
      </c>
      <c r="P482">
        <v>2278234</v>
      </c>
      <c r="Q482" t="s">
        <v>38</v>
      </c>
      <c r="R482">
        <v>415481</v>
      </c>
      <c r="S482" t="s">
        <v>84</v>
      </c>
      <c r="T482" s="2">
        <v>2</v>
      </c>
      <c r="U482">
        <v>0</v>
      </c>
      <c r="V482" t="s">
        <v>153</v>
      </c>
      <c r="W482">
        <v>0</v>
      </c>
      <c r="X482">
        <v>0</v>
      </c>
      <c r="Y482">
        <v>0</v>
      </c>
      <c r="Z482" t="s">
        <v>88</v>
      </c>
      <c r="AA482" t="s">
        <v>144</v>
      </c>
      <c r="AB482" t="s">
        <v>10</v>
      </c>
      <c r="AC482">
        <v>0</v>
      </c>
      <c r="AD482">
        <v>0</v>
      </c>
      <c r="AE482">
        <v>726182084119</v>
      </c>
      <c r="AF482">
        <v>655.94</v>
      </c>
      <c r="AG482">
        <v>0</v>
      </c>
      <c r="AH482">
        <v>61.23</v>
      </c>
      <c r="AI482">
        <v>717.17</v>
      </c>
      <c r="AJ482" t="s">
        <v>2</v>
      </c>
      <c r="AK482" t="s">
        <v>11</v>
      </c>
    </row>
    <row r="483" spans="1:37">
      <c r="A483">
        <v>257759</v>
      </c>
      <c r="B483" s="1">
        <v>45366</v>
      </c>
      <c r="C483" t="s">
        <v>646</v>
      </c>
      <c r="D483" t="s">
        <v>647</v>
      </c>
      <c r="E483" t="s">
        <v>2</v>
      </c>
      <c r="F483" t="s">
        <v>648</v>
      </c>
      <c r="G483" t="s">
        <v>579</v>
      </c>
      <c r="H483">
        <v>43230</v>
      </c>
      <c r="I483" t="s">
        <v>1050</v>
      </c>
      <c r="J483" t="s">
        <v>1051</v>
      </c>
      <c r="K483" t="s">
        <v>2</v>
      </c>
      <c r="L483" t="s">
        <v>1052</v>
      </c>
      <c r="M483" t="s">
        <v>579</v>
      </c>
      <c r="N483" t="s">
        <v>1053</v>
      </c>
      <c r="O483" t="s">
        <v>653</v>
      </c>
      <c r="P483">
        <v>2278207</v>
      </c>
      <c r="Q483" t="s">
        <v>38</v>
      </c>
      <c r="R483">
        <v>415467</v>
      </c>
      <c r="S483" t="s">
        <v>84</v>
      </c>
      <c r="T483" s="2">
        <v>1</v>
      </c>
      <c r="U483">
        <v>0</v>
      </c>
      <c r="V483" t="s">
        <v>153</v>
      </c>
      <c r="W483">
        <v>0</v>
      </c>
      <c r="X483">
        <v>0</v>
      </c>
      <c r="Y483">
        <v>0</v>
      </c>
      <c r="Z483" t="s">
        <v>9</v>
      </c>
      <c r="AA483" t="s">
        <v>2</v>
      </c>
      <c r="AB483" t="s">
        <v>10</v>
      </c>
      <c r="AC483">
        <v>0</v>
      </c>
      <c r="AD483">
        <v>0</v>
      </c>
      <c r="AE483">
        <v>726182083774</v>
      </c>
      <c r="AF483">
        <v>470.51</v>
      </c>
      <c r="AG483">
        <v>0</v>
      </c>
      <c r="AH483">
        <v>40.659999999999997</v>
      </c>
      <c r="AI483">
        <v>511.17</v>
      </c>
      <c r="AJ483" t="s">
        <v>2</v>
      </c>
      <c r="AK483" t="s">
        <v>11</v>
      </c>
    </row>
    <row r="484" spans="1:37">
      <c r="A484">
        <v>257759</v>
      </c>
      <c r="B484" s="1">
        <v>45366</v>
      </c>
      <c r="C484" t="s">
        <v>646</v>
      </c>
      <c r="D484" t="s">
        <v>647</v>
      </c>
      <c r="E484" t="s">
        <v>2</v>
      </c>
      <c r="F484" t="s">
        <v>648</v>
      </c>
      <c r="G484" t="s">
        <v>579</v>
      </c>
      <c r="H484">
        <v>43230</v>
      </c>
      <c r="I484" t="s">
        <v>1050</v>
      </c>
      <c r="J484" t="s">
        <v>1051</v>
      </c>
      <c r="K484" t="s">
        <v>2</v>
      </c>
      <c r="L484" t="s">
        <v>1052</v>
      </c>
      <c r="M484" t="s">
        <v>579</v>
      </c>
      <c r="N484" t="s">
        <v>1053</v>
      </c>
      <c r="O484" t="s">
        <v>653</v>
      </c>
      <c r="P484">
        <v>2278207</v>
      </c>
      <c r="Q484" t="s">
        <v>38</v>
      </c>
      <c r="R484">
        <v>415467</v>
      </c>
      <c r="S484" t="s">
        <v>84</v>
      </c>
      <c r="T484" s="2">
        <v>1</v>
      </c>
      <c r="U484">
        <v>0</v>
      </c>
      <c r="V484" t="s">
        <v>153</v>
      </c>
      <c r="W484">
        <v>0</v>
      </c>
      <c r="X484">
        <v>0</v>
      </c>
      <c r="Y484">
        <v>0</v>
      </c>
      <c r="Z484" t="s">
        <v>88</v>
      </c>
      <c r="AA484" t="s">
        <v>311</v>
      </c>
      <c r="AB484" t="s">
        <v>10</v>
      </c>
      <c r="AC484">
        <v>0</v>
      </c>
      <c r="AD484">
        <v>0</v>
      </c>
      <c r="AE484">
        <v>726182083774</v>
      </c>
      <c r="AF484">
        <v>470.51</v>
      </c>
      <c r="AG484">
        <v>0</v>
      </c>
      <c r="AH484">
        <v>40.659999999999997</v>
      </c>
      <c r="AI484">
        <v>511.17</v>
      </c>
      <c r="AJ484" t="s">
        <v>2</v>
      </c>
      <c r="AK484" t="s">
        <v>11</v>
      </c>
    </row>
    <row r="485" spans="1:37">
      <c r="A485">
        <v>257759</v>
      </c>
      <c r="B485" s="1">
        <v>45366</v>
      </c>
      <c r="C485" t="s">
        <v>646</v>
      </c>
      <c r="D485" t="s">
        <v>647</v>
      </c>
      <c r="E485" t="s">
        <v>2</v>
      </c>
      <c r="F485" t="s">
        <v>648</v>
      </c>
      <c r="G485" t="s">
        <v>579</v>
      </c>
      <c r="H485">
        <v>43230</v>
      </c>
      <c r="I485" t="s">
        <v>1050</v>
      </c>
      <c r="J485" t="s">
        <v>1051</v>
      </c>
      <c r="K485" t="s">
        <v>2</v>
      </c>
      <c r="L485" t="s">
        <v>1052</v>
      </c>
      <c r="M485" t="s">
        <v>579</v>
      </c>
      <c r="N485" t="s">
        <v>1053</v>
      </c>
      <c r="O485" t="s">
        <v>653</v>
      </c>
      <c r="P485">
        <v>2278207</v>
      </c>
      <c r="Q485" t="s">
        <v>38</v>
      </c>
      <c r="R485">
        <v>415467</v>
      </c>
      <c r="S485" t="s">
        <v>84</v>
      </c>
      <c r="T485" s="2">
        <v>1</v>
      </c>
      <c r="U485">
        <v>0</v>
      </c>
      <c r="V485" t="s">
        <v>153</v>
      </c>
      <c r="W485">
        <v>1</v>
      </c>
      <c r="X485">
        <v>1</v>
      </c>
      <c r="Y485">
        <v>0</v>
      </c>
      <c r="Z485" t="s">
        <v>1054</v>
      </c>
      <c r="AA485" t="s">
        <v>1055</v>
      </c>
      <c r="AB485" t="s">
        <v>14</v>
      </c>
      <c r="AC485">
        <v>470.5138</v>
      </c>
      <c r="AD485">
        <v>470.51</v>
      </c>
      <c r="AE485">
        <v>726182083774</v>
      </c>
      <c r="AF485">
        <v>470.51</v>
      </c>
      <c r="AG485">
        <v>0</v>
      </c>
      <c r="AH485">
        <v>40.659999999999997</v>
      </c>
      <c r="AI485">
        <v>511.17</v>
      </c>
      <c r="AJ485" t="s">
        <v>2</v>
      </c>
      <c r="AK485" t="s">
        <v>11</v>
      </c>
    </row>
    <row r="486" spans="1:37">
      <c r="A486">
        <v>257759</v>
      </c>
      <c r="B486" s="1">
        <v>45366</v>
      </c>
      <c r="C486" t="s">
        <v>646</v>
      </c>
      <c r="D486" t="s">
        <v>647</v>
      </c>
      <c r="E486" t="s">
        <v>2</v>
      </c>
      <c r="F486" t="s">
        <v>648</v>
      </c>
      <c r="G486" t="s">
        <v>579</v>
      </c>
      <c r="H486">
        <v>43230</v>
      </c>
      <c r="I486" t="s">
        <v>1050</v>
      </c>
      <c r="J486" t="s">
        <v>1051</v>
      </c>
      <c r="K486" t="s">
        <v>2</v>
      </c>
      <c r="L486" t="s">
        <v>1052</v>
      </c>
      <c r="M486" t="s">
        <v>579</v>
      </c>
      <c r="N486" t="s">
        <v>1053</v>
      </c>
      <c r="O486" t="s">
        <v>653</v>
      </c>
      <c r="P486">
        <v>2278207</v>
      </c>
      <c r="Q486" t="s">
        <v>38</v>
      </c>
      <c r="R486">
        <v>415467</v>
      </c>
      <c r="S486" t="s">
        <v>84</v>
      </c>
      <c r="T486" s="2">
        <v>1</v>
      </c>
      <c r="U486">
        <v>0</v>
      </c>
      <c r="V486" t="s">
        <v>153</v>
      </c>
      <c r="W486">
        <v>0</v>
      </c>
      <c r="X486">
        <v>0</v>
      </c>
      <c r="Y486">
        <v>0</v>
      </c>
      <c r="Z486" t="s">
        <v>88</v>
      </c>
      <c r="AA486" t="s">
        <v>213</v>
      </c>
      <c r="AB486" t="s">
        <v>10</v>
      </c>
      <c r="AC486">
        <v>0</v>
      </c>
      <c r="AD486">
        <v>0</v>
      </c>
      <c r="AE486">
        <v>726182083774</v>
      </c>
      <c r="AF486">
        <v>470.51</v>
      </c>
      <c r="AG486">
        <v>0</v>
      </c>
      <c r="AH486">
        <v>40.659999999999997</v>
      </c>
      <c r="AI486">
        <v>511.17</v>
      </c>
      <c r="AJ486" t="s">
        <v>2</v>
      </c>
      <c r="AK486" t="s">
        <v>11</v>
      </c>
    </row>
    <row r="487" spans="1:37">
      <c r="A487">
        <v>257760</v>
      </c>
      <c r="B487" s="1">
        <v>45366</v>
      </c>
      <c r="C487" t="s">
        <v>792</v>
      </c>
      <c r="D487" t="s">
        <v>793</v>
      </c>
      <c r="E487" t="s">
        <v>794</v>
      </c>
      <c r="F487" t="s">
        <v>795</v>
      </c>
      <c r="G487" t="s">
        <v>67</v>
      </c>
      <c r="H487">
        <v>75019</v>
      </c>
      <c r="I487" t="s">
        <v>1056</v>
      </c>
      <c r="J487" t="s">
        <v>1057</v>
      </c>
      <c r="K487" t="s">
        <v>2</v>
      </c>
      <c r="L487" t="s">
        <v>1058</v>
      </c>
      <c r="M487" t="s">
        <v>67</v>
      </c>
      <c r="N487" t="s">
        <v>1059</v>
      </c>
      <c r="O487" t="s">
        <v>799</v>
      </c>
      <c r="P487">
        <v>2278183</v>
      </c>
      <c r="Q487" t="s">
        <v>38</v>
      </c>
      <c r="R487">
        <v>415443</v>
      </c>
      <c r="S487" t="s">
        <v>84</v>
      </c>
      <c r="T487" s="2">
        <v>1</v>
      </c>
      <c r="U487">
        <v>0</v>
      </c>
      <c r="V487" t="s">
        <v>153</v>
      </c>
      <c r="W487">
        <v>0</v>
      </c>
      <c r="X487">
        <v>0</v>
      </c>
      <c r="Y487">
        <v>0</v>
      </c>
      <c r="Z487" t="s">
        <v>9</v>
      </c>
      <c r="AA487" t="s">
        <v>2</v>
      </c>
      <c r="AB487" t="s">
        <v>10</v>
      </c>
      <c r="AC487">
        <v>0</v>
      </c>
      <c r="AD487">
        <v>0</v>
      </c>
      <c r="AE487">
        <v>726182083730</v>
      </c>
      <c r="AF487">
        <v>149.47</v>
      </c>
      <c r="AG487">
        <v>0</v>
      </c>
      <c r="AH487">
        <v>46.12</v>
      </c>
      <c r="AI487">
        <v>195.59</v>
      </c>
      <c r="AJ487" t="s">
        <v>2</v>
      </c>
      <c r="AK487" t="s">
        <v>11</v>
      </c>
    </row>
    <row r="488" spans="1:37">
      <c r="A488">
        <v>257760</v>
      </c>
      <c r="B488" s="1">
        <v>45366</v>
      </c>
      <c r="C488" t="s">
        <v>792</v>
      </c>
      <c r="D488" t="s">
        <v>793</v>
      </c>
      <c r="E488" t="s">
        <v>794</v>
      </c>
      <c r="F488" t="s">
        <v>795</v>
      </c>
      <c r="G488" t="s">
        <v>67</v>
      </c>
      <c r="H488">
        <v>75019</v>
      </c>
      <c r="I488" t="s">
        <v>1056</v>
      </c>
      <c r="J488" t="s">
        <v>1057</v>
      </c>
      <c r="K488" t="s">
        <v>2</v>
      </c>
      <c r="L488" t="s">
        <v>1058</v>
      </c>
      <c r="M488" t="s">
        <v>67</v>
      </c>
      <c r="N488" t="s">
        <v>1059</v>
      </c>
      <c r="O488" t="s">
        <v>799</v>
      </c>
      <c r="P488">
        <v>2278183</v>
      </c>
      <c r="Q488" t="s">
        <v>38</v>
      </c>
      <c r="R488">
        <v>415443</v>
      </c>
      <c r="S488" t="s">
        <v>84</v>
      </c>
      <c r="T488" s="2">
        <v>1</v>
      </c>
      <c r="U488">
        <v>0</v>
      </c>
      <c r="V488" t="s">
        <v>153</v>
      </c>
      <c r="W488">
        <v>1</v>
      </c>
      <c r="X488">
        <v>1</v>
      </c>
      <c r="Y488">
        <v>0</v>
      </c>
      <c r="Z488" t="s">
        <v>1060</v>
      </c>
      <c r="AA488" t="s">
        <v>1061</v>
      </c>
      <c r="AB488" t="s">
        <v>14</v>
      </c>
      <c r="AC488">
        <v>149.47</v>
      </c>
      <c r="AD488">
        <v>149.47</v>
      </c>
      <c r="AE488">
        <v>726182083730</v>
      </c>
      <c r="AF488">
        <v>149.47</v>
      </c>
      <c r="AG488">
        <v>0</v>
      </c>
      <c r="AH488">
        <v>46.12</v>
      </c>
      <c r="AI488">
        <v>195.59</v>
      </c>
      <c r="AJ488" t="s">
        <v>2</v>
      </c>
      <c r="AK488" t="s">
        <v>11</v>
      </c>
    </row>
    <row r="489" spans="1:37">
      <c r="A489">
        <v>257760</v>
      </c>
      <c r="B489" s="1">
        <v>45366</v>
      </c>
      <c r="C489" t="s">
        <v>792</v>
      </c>
      <c r="D489" t="s">
        <v>793</v>
      </c>
      <c r="E489" t="s">
        <v>794</v>
      </c>
      <c r="F489" t="s">
        <v>795</v>
      </c>
      <c r="G489" t="s">
        <v>67</v>
      </c>
      <c r="H489">
        <v>75019</v>
      </c>
      <c r="I489" t="s">
        <v>1056</v>
      </c>
      <c r="J489" t="s">
        <v>1057</v>
      </c>
      <c r="K489" t="s">
        <v>2</v>
      </c>
      <c r="L489" t="s">
        <v>1058</v>
      </c>
      <c r="M489" t="s">
        <v>67</v>
      </c>
      <c r="N489" t="s">
        <v>1059</v>
      </c>
      <c r="O489" t="s">
        <v>799</v>
      </c>
      <c r="P489">
        <v>2278183</v>
      </c>
      <c r="Q489" t="s">
        <v>38</v>
      </c>
      <c r="R489">
        <v>415443</v>
      </c>
      <c r="S489" t="s">
        <v>84</v>
      </c>
      <c r="T489" s="2">
        <v>1</v>
      </c>
      <c r="U489">
        <v>0</v>
      </c>
      <c r="V489" t="s">
        <v>153</v>
      </c>
      <c r="W489">
        <v>0</v>
      </c>
      <c r="X489">
        <v>0</v>
      </c>
      <c r="Y489">
        <v>0</v>
      </c>
      <c r="Z489" t="s">
        <v>88</v>
      </c>
      <c r="AA489" t="s">
        <v>107</v>
      </c>
      <c r="AB489" t="s">
        <v>10</v>
      </c>
      <c r="AC489">
        <v>0</v>
      </c>
      <c r="AD489">
        <v>0</v>
      </c>
      <c r="AE489">
        <v>726182083730</v>
      </c>
      <c r="AF489">
        <v>149.47</v>
      </c>
      <c r="AG489">
        <v>0</v>
      </c>
      <c r="AH489">
        <v>46.12</v>
      </c>
      <c r="AI489">
        <v>195.59</v>
      </c>
      <c r="AJ489" t="s">
        <v>2</v>
      </c>
      <c r="AK489" t="s">
        <v>11</v>
      </c>
    </row>
    <row r="490" spans="1:37">
      <c r="A490">
        <v>257761</v>
      </c>
      <c r="B490" s="1">
        <v>45366</v>
      </c>
      <c r="C490" t="s">
        <v>634</v>
      </c>
      <c r="D490" t="s">
        <v>635</v>
      </c>
      <c r="E490" t="s">
        <v>2</v>
      </c>
      <c r="F490" t="s">
        <v>636</v>
      </c>
      <c r="G490" t="s">
        <v>19</v>
      </c>
      <c r="H490">
        <v>7072</v>
      </c>
      <c r="I490" t="s">
        <v>1062</v>
      </c>
      <c r="J490" t="s">
        <v>1063</v>
      </c>
      <c r="K490" t="s">
        <v>2</v>
      </c>
      <c r="L490" t="s">
        <v>828</v>
      </c>
      <c r="M490" t="s">
        <v>103</v>
      </c>
      <c r="N490" t="s">
        <v>1064</v>
      </c>
      <c r="O490" t="s">
        <v>641</v>
      </c>
      <c r="P490">
        <v>2278187</v>
      </c>
      <c r="Q490" t="s">
        <v>38</v>
      </c>
      <c r="R490">
        <v>415447</v>
      </c>
      <c r="S490" t="s">
        <v>84</v>
      </c>
      <c r="T490" s="2">
        <v>1</v>
      </c>
      <c r="U490">
        <v>0</v>
      </c>
      <c r="V490" t="s">
        <v>153</v>
      </c>
      <c r="W490">
        <v>0</v>
      </c>
      <c r="X490">
        <v>0</v>
      </c>
      <c r="Y490">
        <v>0</v>
      </c>
      <c r="Z490" t="s">
        <v>9</v>
      </c>
      <c r="AA490" t="s">
        <v>2</v>
      </c>
      <c r="AB490" t="s">
        <v>10</v>
      </c>
      <c r="AC490">
        <v>0</v>
      </c>
      <c r="AD490">
        <v>0</v>
      </c>
      <c r="AE490">
        <v>726182083980</v>
      </c>
      <c r="AF490">
        <v>106.5</v>
      </c>
      <c r="AG490">
        <v>0</v>
      </c>
      <c r="AH490">
        <v>16.829999999999998</v>
      </c>
      <c r="AI490">
        <v>123.33</v>
      </c>
      <c r="AJ490" t="s">
        <v>2</v>
      </c>
      <c r="AK490" t="s">
        <v>11</v>
      </c>
    </row>
    <row r="491" spans="1:37">
      <c r="A491">
        <v>257761</v>
      </c>
      <c r="B491" s="1">
        <v>45366</v>
      </c>
      <c r="C491" t="s">
        <v>634</v>
      </c>
      <c r="D491" t="s">
        <v>635</v>
      </c>
      <c r="E491" t="s">
        <v>2</v>
      </c>
      <c r="F491" t="s">
        <v>636</v>
      </c>
      <c r="G491" t="s">
        <v>19</v>
      </c>
      <c r="H491">
        <v>7072</v>
      </c>
      <c r="I491" t="s">
        <v>1062</v>
      </c>
      <c r="J491" t="s">
        <v>1063</v>
      </c>
      <c r="K491" t="s">
        <v>2</v>
      </c>
      <c r="L491" t="s">
        <v>828</v>
      </c>
      <c r="M491" t="s">
        <v>103</v>
      </c>
      <c r="N491" t="s">
        <v>1064</v>
      </c>
      <c r="O491" t="s">
        <v>641</v>
      </c>
      <c r="P491">
        <v>2278187</v>
      </c>
      <c r="Q491" t="s">
        <v>38</v>
      </c>
      <c r="R491">
        <v>415447</v>
      </c>
      <c r="S491" t="s">
        <v>84</v>
      </c>
      <c r="T491" s="2">
        <v>1</v>
      </c>
      <c r="U491">
        <v>0</v>
      </c>
      <c r="V491" t="s">
        <v>153</v>
      </c>
      <c r="W491">
        <v>1</v>
      </c>
      <c r="X491">
        <v>1</v>
      </c>
      <c r="Y491">
        <v>0</v>
      </c>
      <c r="Z491" t="s">
        <v>1065</v>
      </c>
      <c r="AA491" t="s">
        <v>1066</v>
      </c>
      <c r="AB491" t="s">
        <v>14</v>
      </c>
      <c r="AC491">
        <v>106.5</v>
      </c>
      <c r="AD491">
        <v>106.5</v>
      </c>
      <c r="AE491">
        <v>726182083980</v>
      </c>
      <c r="AF491">
        <v>106.5</v>
      </c>
      <c r="AG491">
        <v>0</v>
      </c>
      <c r="AH491">
        <v>16.829999999999998</v>
      </c>
      <c r="AI491">
        <v>123.33</v>
      </c>
      <c r="AJ491" t="s">
        <v>2</v>
      </c>
      <c r="AK491" t="s">
        <v>11</v>
      </c>
    </row>
    <row r="492" spans="1:37">
      <c r="A492">
        <v>257761</v>
      </c>
      <c r="B492" s="1">
        <v>45366</v>
      </c>
      <c r="C492" t="s">
        <v>634</v>
      </c>
      <c r="D492" t="s">
        <v>635</v>
      </c>
      <c r="E492" t="s">
        <v>2</v>
      </c>
      <c r="F492" t="s">
        <v>636</v>
      </c>
      <c r="G492" t="s">
        <v>19</v>
      </c>
      <c r="H492">
        <v>7072</v>
      </c>
      <c r="I492" t="s">
        <v>1062</v>
      </c>
      <c r="J492" t="s">
        <v>1063</v>
      </c>
      <c r="K492" t="s">
        <v>2</v>
      </c>
      <c r="L492" t="s">
        <v>828</v>
      </c>
      <c r="M492" t="s">
        <v>103</v>
      </c>
      <c r="N492" t="s">
        <v>1064</v>
      </c>
      <c r="O492" t="s">
        <v>641</v>
      </c>
      <c r="P492">
        <v>2278187</v>
      </c>
      <c r="Q492" t="s">
        <v>38</v>
      </c>
      <c r="R492">
        <v>415447</v>
      </c>
      <c r="S492" t="s">
        <v>84</v>
      </c>
      <c r="T492" s="2">
        <v>1</v>
      </c>
      <c r="U492">
        <v>0</v>
      </c>
      <c r="V492" t="s">
        <v>153</v>
      </c>
      <c r="W492">
        <v>0</v>
      </c>
      <c r="X492">
        <v>0</v>
      </c>
      <c r="Y492">
        <v>0</v>
      </c>
      <c r="Z492" t="s">
        <v>88</v>
      </c>
      <c r="AA492" t="s">
        <v>251</v>
      </c>
      <c r="AB492" t="s">
        <v>10</v>
      </c>
      <c r="AC492">
        <v>0</v>
      </c>
      <c r="AD492">
        <v>0</v>
      </c>
      <c r="AE492">
        <v>726182083980</v>
      </c>
      <c r="AF492">
        <v>106.5</v>
      </c>
      <c r="AG492">
        <v>0</v>
      </c>
      <c r="AH492">
        <v>16.829999999999998</v>
      </c>
      <c r="AI492">
        <v>123.33</v>
      </c>
      <c r="AJ492" t="s">
        <v>2</v>
      </c>
      <c r="AK492" t="s">
        <v>11</v>
      </c>
    </row>
    <row r="493" spans="1:37">
      <c r="A493">
        <v>257762</v>
      </c>
      <c r="B493" s="1">
        <v>45366</v>
      </c>
      <c r="C493" t="s">
        <v>792</v>
      </c>
      <c r="D493" t="s">
        <v>793</v>
      </c>
      <c r="E493" t="s">
        <v>794</v>
      </c>
      <c r="F493" t="s">
        <v>795</v>
      </c>
      <c r="G493" t="s">
        <v>67</v>
      </c>
      <c r="H493">
        <v>75019</v>
      </c>
      <c r="I493" t="s">
        <v>1067</v>
      </c>
      <c r="J493" t="s">
        <v>1068</v>
      </c>
      <c r="K493" t="s">
        <v>2</v>
      </c>
      <c r="L493" t="s">
        <v>1069</v>
      </c>
      <c r="M493" t="s">
        <v>67</v>
      </c>
      <c r="N493" t="s">
        <v>1070</v>
      </c>
      <c r="O493" t="s">
        <v>799</v>
      </c>
      <c r="P493">
        <v>2278254</v>
      </c>
      <c r="Q493" t="s">
        <v>38</v>
      </c>
      <c r="R493">
        <v>415495</v>
      </c>
      <c r="S493" t="s">
        <v>84</v>
      </c>
      <c r="T493" s="2">
        <v>1</v>
      </c>
      <c r="U493">
        <v>0</v>
      </c>
      <c r="V493" t="s">
        <v>153</v>
      </c>
      <c r="W493">
        <v>0</v>
      </c>
      <c r="X493">
        <v>0</v>
      </c>
      <c r="Y493">
        <v>0</v>
      </c>
      <c r="Z493" t="s">
        <v>9</v>
      </c>
      <c r="AA493" t="s">
        <v>2</v>
      </c>
      <c r="AB493" t="s">
        <v>10</v>
      </c>
      <c r="AC493">
        <v>0</v>
      </c>
      <c r="AD493">
        <v>0</v>
      </c>
      <c r="AE493">
        <v>726182083903</v>
      </c>
      <c r="AF493">
        <v>48.58</v>
      </c>
      <c r="AG493">
        <v>0</v>
      </c>
      <c r="AH493">
        <v>19.760000000000002</v>
      </c>
      <c r="AI493">
        <v>68.34</v>
      </c>
      <c r="AJ493" t="s">
        <v>2</v>
      </c>
      <c r="AK493" t="s">
        <v>11</v>
      </c>
    </row>
    <row r="494" spans="1:37">
      <c r="A494">
        <v>257762</v>
      </c>
      <c r="B494" s="1">
        <v>45366</v>
      </c>
      <c r="C494" t="s">
        <v>792</v>
      </c>
      <c r="D494" t="s">
        <v>793</v>
      </c>
      <c r="E494" t="s">
        <v>794</v>
      </c>
      <c r="F494" t="s">
        <v>795</v>
      </c>
      <c r="G494" t="s">
        <v>67</v>
      </c>
      <c r="H494">
        <v>75019</v>
      </c>
      <c r="I494" t="s">
        <v>1067</v>
      </c>
      <c r="J494" t="s">
        <v>1068</v>
      </c>
      <c r="K494" t="s">
        <v>2</v>
      </c>
      <c r="L494" t="s">
        <v>1069</v>
      </c>
      <c r="M494" t="s">
        <v>67</v>
      </c>
      <c r="N494" t="s">
        <v>1070</v>
      </c>
      <c r="O494" t="s">
        <v>799</v>
      </c>
      <c r="P494">
        <v>2278254</v>
      </c>
      <c r="Q494" t="s">
        <v>38</v>
      </c>
      <c r="R494">
        <v>415495</v>
      </c>
      <c r="S494" t="s">
        <v>84</v>
      </c>
      <c r="T494" s="2">
        <v>1</v>
      </c>
      <c r="U494">
        <v>0</v>
      </c>
      <c r="V494" t="s">
        <v>153</v>
      </c>
      <c r="W494">
        <v>1</v>
      </c>
      <c r="X494">
        <v>1</v>
      </c>
      <c r="Y494">
        <v>0</v>
      </c>
      <c r="Z494" t="s">
        <v>1071</v>
      </c>
      <c r="AA494" t="s">
        <v>1072</v>
      </c>
      <c r="AB494" t="s">
        <v>14</v>
      </c>
      <c r="AC494">
        <v>48.58</v>
      </c>
      <c r="AD494">
        <v>48.58</v>
      </c>
      <c r="AE494">
        <v>726182083903</v>
      </c>
      <c r="AF494">
        <v>48.58</v>
      </c>
      <c r="AG494">
        <v>0</v>
      </c>
      <c r="AH494">
        <v>19.760000000000002</v>
      </c>
      <c r="AI494">
        <v>68.34</v>
      </c>
      <c r="AJ494" t="s">
        <v>2</v>
      </c>
      <c r="AK494" t="s">
        <v>11</v>
      </c>
    </row>
    <row r="495" spans="1:37">
      <c r="A495">
        <v>257762</v>
      </c>
      <c r="B495" s="1">
        <v>45366</v>
      </c>
      <c r="C495" t="s">
        <v>792</v>
      </c>
      <c r="D495" t="s">
        <v>793</v>
      </c>
      <c r="E495" t="s">
        <v>794</v>
      </c>
      <c r="F495" t="s">
        <v>795</v>
      </c>
      <c r="G495" t="s">
        <v>67</v>
      </c>
      <c r="H495">
        <v>75019</v>
      </c>
      <c r="I495" t="s">
        <v>1067</v>
      </c>
      <c r="J495" t="s">
        <v>1068</v>
      </c>
      <c r="K495" t="s">
        <v>2</v>
      </c>
      <c r="L495" t="s">
        <v>1069</v>
      </c>
      <c r="M495" t="s">
        <v>67</v>
      </c>
      <c r="N495" t="s">
        <v>1070</v>
      </c>
      <c r="O495" t="s">
        <v>799</v>
      </c>
      <c r="P495">
        <v>2278254</v>
      </c>
      <c r="Q495" t="s">
        <v>38</v>
      </c>
      <c r="R495">
        <v>415495</v>
      </c>
      <c r="S495" t="s">
        <v>84</v>
      </c>
      <c r="T495" s="2">
        <v>1</v>
      </c>
      <c r="U495">
        <v>0</v>
      </c>
      <c r="V495" t="s">
        <v>153</v>
      </c>
      <c r="W495">
        <v>0</v>
      </c>
      <c r="X495">
        <v>0</v>
      </c>
      <c r="Y495">
        <v>0</v>
      </c>
      <c r="Z495" t="s">
        <v>88</v>
      </c>
      <c r="AA495" t="s">
        <v>1073</v>
      </c>
      <c r="AB495" t="s">
        <v>10</v>
      </c>
      <c r="AC495">
        <v>0</v>
      </c>
      <c r="AD495">
        <v>0</v>
      </c>
      <c r="AE495">
        <v>726182083903</v>
      </c>
      <c r="AF495">
        <v>48.58</v>
      </c>
      <c r="AG495">
        <v>0</v>
      </c>
      <c r="AH495">
        <v>19.760000000000002</v>
      </c>
      <c r="AI495">
        <v>68.34</v>
      </c>
      <c r="AJ495" t="s">
        <v>2</v>
      </c>
      <c r="AK495" t="s">
        <v>11</v>
      </c>
    </row>
    <row r="496" spans="1:37">
      <c r="A496">
        <v>257763</v>
      </c>
      <c r="B496" s="1">
        <v>45366</v>
      </c>
      <c r="C496" t="s">
        <v>792</v>
      </c>
      <c r="D496" t="s">
        <v>793</v>
      </c>
      <c r="E496" t="s">
        <v>794</v>
      </c>
      <c r="F496" t="s">
        <v>795</v>
      </c>
      <c r="G496" t="s">
        <v>67</v>
      </c>
      <c r="H496">
        <v>75019</v>
      </c>
      <c r="I496" t="s">
        <v>1074</v>
      </c>
      <c r="J496" t="s">
        <v>1075</v>
      </c>
      <c r="K496" t="s">
        <v>2</v>
      </c>
      <c r="L496" t="s">
        <v>1076</v>
      </c>
      <c r="M496" t="s">
        <v>67</v>
      </c>
      <c r="N496" t="s">
        <v>1077</v>
      </c>
      <c r="O496" t="s">
        <v>799</v>
      </c>
      <c r="P496">
        <v>2278261</v>
      </c>
      <c r="Q496" t="s">
        <v>38</v>
      </c>
      <c r="R496">
        <v>415500</v>
      </c>
      <c r="S496" t="s">
        <v>84</v>
      </c>
      <c r="T496" s="2">
        <v>1</v>
      </c>
      <c r="U496">
        <v>0</v>
      </c>
      <c r="V496" t="s">
        <v>153</v>
      </c>
      <c r="W496">
        <v>0</v>
      </c>
      <c r="X496">
        <v>0</v>
      </c>
      <c r="Y496">
        <v>0</v>
      </c>
      <c r="Z496" t="s">
        <v>9</v>
      </c>
      <c r="AA496" t="s">
        <v>2</v>
      </c>
      <c r="AB496" t="s">
        <v>10</v>
      </c>
      <c r="AC496">
        <v>0</v>
      </c>
      <c r="AD496">
        <v>0</v>
      </c>
      <c r="AE496">
        <v>726182083752</v>
      </c>
      <c r="AF496">
        <v>213.99</v>
      </c>
      <c r="AG496">
        <v>0</v>
      </c>
      <c r="AH496">
        <v>18.77</v>
      </c>
      <c r="AI496">
        <v>232.76</v>
      </c>
      <c r="AJ496" t="s">
        <v>2</v>
      </c>
      <c r="AK496" t="s">
        <v>11</v>
      </c>
    </row>
    <row r="497" spans="1:37">
      <c r="A497">
        <v>257763</v>
      </c>
      <c r="B497" s="1">
        <v>45366</v>
      </c>
      <c r="C497" t="s">
        <v>792</v>
      </c>
      <c r="D497" t="s">
        <v>793</v>
      </c>
      <c r="E497" t="s">
        <v>794</v>
      </c>
      <c r="F497" t="s">
        <v>795</v>
      </c>
      <c r="G497" t="s">
        <v>67</v>
      </c>
      <c r="H497">
        <v>75019</v>
      </c>
      <c r="I497" t="s">
        <v>1074</v>
      </c>
      <c r="J497" t="s">
        <v>1075</v>
      </c>
      <c r="K497" t="s">
        <v>2</v>
      </c>
      <c r="L497" t="s">
        <v>1076</v>
      </c>
      <c r="M497" t="s">
        <v>67</v>
      </c>
      <c r="N497" t="s">
        <v>1077</v>
      </c>
      <c r="O497" t="s">
        <v>799</v>
      </c>
      <c r="P497">
        <v>2278261</v>
      </c>
      <c r="Q497" t="s">
        <v>38</v>
      </c>
      <c r="R497">
        <v>415500</v>
      </c>
      <c r="S497" t="s">
        <v>84</v>
      </c>
      <c r="T497" s="2">
        <v>1</v>
      </c>
      <c r="U497">
        <v>0</v>
      </c>
      <c r="V497" t="s">
        <v>153</v>
      </c>
      <c r="W497">
        <v>1</v>
      </c>
      <c r="X497">
        <v>1</v>
      </c>
      <c r="Y497">
        <v>0</v>
      </c>
      <c r="Z497" t="s">
        <v>1078</v>
      </c>
      <c r="AA497" t="s">
        <v>1079</v>
      </c>
      <c r="AB497" t="s">
        <v>14</v>
      </c>
      <c r="AC497">
        <v>213.99</v>
      </c>
      <c r="AD497">
        <v>213.99</v>
      </c>
      <c r="AE497">
        <v>726182083752</v>
      </c>
      <c r="AF497">
        <v>213.99</v>
      </c>
      <c r="AG497">
        <v>0</v>
      </c>
      <c r="AH497">
        <v>18.77</v>
      </c>
      <c r="AI497">
        <v>232.76</v>
      </c>
      <c r="AJ497" t="s">
        <v>2</v>
      </c>
      <c r="AK497" t="s">
        <v>11</v>
      </c>
    </row>
    <row r="498" spans="1:37">
      <c r="A498">
        <v>257763</v>
      </c>
      <c r="B498" s="1">
        <v>45366</v>
      </c>
      <c r="C498" t="s">
        <v>792</v>
      </c>
      <c r="D498" t="s">
        <v>793</v>
      </c>
      <c r="E498" t="s">
        <v>794</v>
      </c>
      <c r="F498" t="s">
        <v>795</v>
      </c>
      <c r="G498" t="s">
        <v>67</v>
      </c>
      <c r="H498">
        <v>75019</v>
      </c>
      <c r="I498" t="s">
        <v>1074</v>
      </c>
      <c r="J498" t="s">
        <v>1075</v>
      </c>
      <c r="K498" t="s">
        <v>2</v>
      </c>
      <c r="L498" t="s">
        <v>1076</v>
      </c>
      <c r="M498" t="s">
        <v>67</v>
      </c>
      <c r="N498" t="s">
        <v>1077</v>
      </c>
      <c r="O498" t="s">
        <v>799</v>
      </c>
      <c r="P498">
        <v>2278261</v>
      </c>
      <c r="Q498" t="s">
        <v>38</v>
      </c>
      <c r="R498">
        <v>415500</v>
      </c>
      <c r="S498" t="s">
        <v>84</v>
      </c>
      <c r="T498" s="2">
        <v>1</v>
      </c>
      <c r="U498">
        <v>0</v>
      </c>
      <c r="V498" t="s">
        <v>153</v>
      </c>
      <c r="W498">
        <v>0</v>
      </c>
      <c r="X498">
        <v>0</v>
      </c>
      <c r="Y498">
        <v>0</v>
      </c>
      <c r="Z498" t="s">
        <v>88</v>
      </c>
      <c r="AA498" t="s">
        <v>240</v>
      </c>
      <c r="AB498" t="s">
        <v>10</v>
      </c>
      <c r="AC498">
        <v>0</v>
      </c>
      <c r="AD498">
        <v>0</v>
      </c>
      <c r="AE498">
        <v>726182083752</v>
      </c>
      <c r="AF498">
        <v>213.99</v>
      </c>
      <c r="AG498">
        <v>0</v>
      </c>
      <c r="AH498">
        <v>18.77</v>
      </c>
      <c r="AI498">
        <v>232.76</v>
      </c>
      <c r="AJ498" t="s">
        <v>2</v>
      </c>
      <c r="AK498" t="s">
        <v>11</v>
      </c>
    </row>
    <row r="499" spans="1:37">
      <c r="A499">
        <v>257764</v>
      </c>
      <c r="B499" s="1">
        <v>45366</v>
      </c>
      <c r="C499" t="s">
        <v>705</v>
      </c>
      <c r="D499" t="s">
        <v>706</v>
      </c>
      <c r="E499" t="s">
        <v>707</v>
      </c>
      <c r="F499" t="s">
        <v>708</v>
      </c>
      <c r="G499" t="s">
        <v>579</v>
      </c>
      <c r="H499">
        <v>44310</v>
      </c>
      <c r="I499" t="s">
        <v>1080</v>
      </c>
      <c r="J499" t="s">
        <v>1081</v>
      </c>
      <c r="K499" t="s">
        <v>2</v>
      </c>
      <c r="L499" t="s">
        <v>1082</v>
      </c>
      <c r="M499" t="s">
        <v>579</v>
      </c>
      <c r="N499" t="s">
        <v>1083</v>
      </c>
      <c r="O499" t="s">
        <v>712</v>
      </c>
      <c r="P499">
        <v>2278280</v>
      </c>
      <c r="Q499" t="s">
        <v>38</v>
      </c>
      <c r="R499">
        <v>415514</v>
      </c>
      <c r="S499" t="s">
        <v>84</v>
      </c>
      <c r="T499" s="2">
        <v>3</v>
      </c>
      <c r="U499">
        <v>0</v>
      </c>
      <c r="V499" t="s">
        <v>153</v>
      </c>
      <c r="W499">
        <v>0</v>
      </c>
      <c r="X499">
        <v>0</v>
      </c>
      <c r="Y499">
        <v>0</v>
      </c>
      <c r="Z499" t="s">
        <v>9</v>
      </c>
      <c r="AA499" t="s">
        <v>2</v>
      </c>
      <c r="AB499" t="s">
        <v>10</v>
      </c>
      <c r="AC499">
        <v>0</v>
      </c>
      <c r="AD499">
        <v>0</v>
      </c>
      <c r="AE499">
        <v>726182083914</v>
      </c>
      <c r="AF499">
        <v>1888.55</v>
      </c>
      <c r="AG499">
        <v>0</v>
      </c>
      <c r="AH499">
        <v>120.69</v>
      </c>
      <c r="AI499">
        <v>2009.24</v>
      </c>
      <c r="AJ499" t="s">
        <v>2</v>
      </c>
      <c r="AK499" t="s">
        <v>11</v>
      </c>
    </row>
    <row r="500" spans="1:37">
      <c r="A500">
        <v>257764</v>
      </c>
      <c r="B500" s="1">
        <v>45366</v>
      </c>
      <c r="C500" t="s">
        <v>705</v>
      </c>
      <c r="D500" t="s">
        <v>706</v>
      </c>
      <c r="E500" t="s">
        <v>707</v>
      </c>
      <c r="F500" t="s">
        <v>708</v>
      </c>
      <c r="G500" t="s">
        <v>579</v>
      </c>
      <c r="H500">
        <v>44310</v>
      </c>
      <c r="I500" t="s">
        <v>1080</v>
      </c>
      <c r="J500" t="s">
        <v>1081</v>
      </c>
      <c r="K500" t="s">
        <v>2</v>
      </c>
      <c r="L500" t="s">
        <v>1082</v>
      </c>
      <c r="M500" t="s">
        <v>579</v>
      </c>
      <c r="N500" t="s">
        <v>1083</v>
      </c>
      <c r="O500" t="s">
        <v>712</v>
      </c>
      <c r="P500">
        <v>2278280</v>
      </c>
      <c r="Q500" t="s">
        <v>38</v>
      </c>
      <c r="R500">
        <v>415514</v>
      </c>
      <c r="S500" t="s">
        <v>84</v>
      </c>
      <c r="T500" s="2">
        <v>3</v>
      </c>
      <c r="U500">
        <v>0</v>
      </c>
      <c r="V500" t="s">
        <v>153</v>
      </c>
      <c r="W500">
        <v>1</v>
      </c>
      <c r="X500">
        <v>1</v>
      </c>
      <c r="Y500">
        <v>0</v>
      </c>
      <c r="Z500" t="s">
        <v>1084</v>
      </c>
      <c r="AA500" t="s">
        <v>1085</v>
      </c>
      <c r="AB500" t="s">
        <v>14</v>
      </c>
      <c r="AC500">
        <v>597.65</v>
      </c>
      <c r="AD500">
        <v>597.65</v>
      </c>
      <c r="AE500">
        <v>726182083914</v>
      </c>
      <c r="AF500">
        <v>1888.55</v>
      </c>
      <c r="AG500">
        <v>0</v>
      </c>
      <c r="AH500">
        <v>120.69</v>
      </c>
      <c r="AI500">
        <v>2009.24</v>
      </c>
      <c r="AJ500" t="s">
        <v>2</v>
      </c>
      <c r="AK500" t="s">
        <v>11</v>
      </c>
    </row>
    <row r="501" spans="1:37">
      <c r="A501">
        <v>257764</v>
      </c>
      <c r="B501" s="1">
        <v>45366</v>
      </c>
      <c r="C501" t="s">
        <v>705</v>
      </c>
      <c r="D501" t="s">
        <v>706</v>
      </c>
      <c r="E501" t="s">
        <v>707</v>
      </c>
      <c r="F501" t="s">
        <v>708</v>
      </c>
      <c r="G501" t="s">
        <v>579</v>
      </c>
      <c r="H501">
        <v>44310</v>
      </c>
      <c r="I501" t="s">
        <v>1080</v>
      </c>
      <c r="J501" t="s">
        <v>1081</v>
      </c>
      <c r="K501" t="s">
        <v>2</v>
      </c>
      <c r="L501" t="s">
        <v>1082</v>
      </c>
      <c r="M501" t="s">
        <v>579</v>
      </c>
      <c r="N501" t="s">
        <v>1083</v>
      </c>
      <c r="O501" t="s">
        <v>712</v>
      </c>
      <c r="P501">
        <v>2278280</v>
      </c>
      <c r="Q501" t="s">
        <v>38</v>
      </c>
      <c r="R501">
        <v>415514</v>
      </c>
      <c r="S501" t="s">
        <v>84</v>
      </c>
      <c r="T501" s="2">
        <v>3</v>
      </c>
      <c r="U501">
        <v>0</v>
      </c>
      <c r="V501" t="s">
        <v>153</v>
      </c>
      <c r="W501">
        <v>0</v>
      </c>
      <c r="X501">
        <v>0</v>
      </c>
      <c r="Y501">
        <v>0</v>
      </c>
      <c r="Z501" t="s">
        <v>88</v>
      </c>
      <c r="AA501" t="s">
        <v>298</v>
      </c>
      <c r="AB501" t="s">
        <v>10</v>
      </c>
      <c r="AC501">
        <v>0</v>
      </c>
      <c r="AD501">
        <v>0</v>
      </c>
      <c r="AE501">
        <v>726182083914</v>
      </c>
      <c r="AF501">
        <v>1888.55</v>
      </c>
      <c r="AG501">
        <v>0</v>
      </c>
      <c r="AH501">
        <v>120.69</v>
      </c>
      <c r="AI501">
        <v>2009.24</v>
      </c>
      <c r="AJ501" t="s">
        <v>2</v>
      </c>
      <c r="AK501" t="s">
        <v>11</v>
      </c>
    </row>
    <row r="502" spans="1:37">
      <c r="A502">
        <v>257764</v>
      </c>
      <c r="B502" s="1">
        <v>45366</v>
      </c>
      <c r="C502" t="s">
        <v>705</v>
      </c>
      <c r="D502" t="s">
        <v>706</v>
      </c>
      <c r="E502" t="s">
        <v>707</v>
      </c>
      <c r="F502" t="s">
        <v>708</v>
      </c>
      <c r="G502" t="s">
        <v>579</v>
      </c>
      <c r="H502">
        <v>44310</v>
      </c>
      <c r="I502" t="s">
        <v>1080</v>
      </c>
      <c r="J502" t="s">
        <v>1081</v>
      </c>
      <c r="K502" t="s">
        <v>2</v>
      </c>
      <c r="L502" t="s">
        <v>1082</v>
      </c>
      <c r="M502" t="s">
        <v>579</v>
      </c>
      <c r="N502" t="s">
        <v>1083</v>
      </c>
      <c r="O502" t="s">
        <v>712</v>
      </c>
      <c r="P502">
        <v>2278280</v>
      </c>
      <c r="Q502" t="s">
        <v>38</v>
      </c>
      <c r="R502">
        <v>415514</v>
      </c>
      <c r="S502" t="s">
        <v>84</v>
      </c>
      <c r="T502" s="2">
        <v>3</v>
      </c>
      <c r="U502">
        <v>0</v>
      </c>
      <c r="V502" t="s">
        <v>153</v>
      </c>
      <c r="W502">
        <v>1</v>
      </c>
      <c r="X502">
        <v>1</v>
      </c>
      <c r="Y502">
        <v>0</v>
      </c>
      <c r="Z502" t="s">
        <v>1086</v>
      </c>
      <c r="AA502" t="s">
        <v>1087</v>
      </c>
      <c r="AB502" t="s">
        <v>14</v>
      </c>
      <c r="AC502">
        <v>645.45000000000005</v>
      </c>
      <c r="AD502">
        <v>645.45000000000005</v>
      </c>
      <c r="AE502">
        <v>726182083914</v>
      </c>
      <c r="AF502">
        <v>1888.55</v>
      </c>
      <c r="AG502">
        <v>0</v>
      </c>
      <c r="AH502">
        <v>120.69</v>
      </c>
      <c r="AI502">
        <v>2009.24</v>
      </c>
      <c r="AJ502" t="s">
        <v>2</v>
      </c>
      <c r="AK502" t="s">
        <v>11</v>
      </c>
    </row>
    <row r="503" spans="1:37">
      <c r="A503">
        <v>257764</v>
      </c>
      <c r="B503" s="1">
        <v>45366</v>
      </c>
      <c r="C503" t="s">
        <v>705</v>
      </c>
      <c r="D503" t="s">
        <v>706</v>
      </c>
      <c r="E503" t="s">
        <v>707</v>
      </c>
      <c r="F503" t="s">
        <v>708</v>
      </c>
      <c r="G503" t="s">
        <v>579</v>
      </c>
      <c r="H503">
        <v>44310</v>
      </c>
      <c r="I503" t="s">
        <v>1080</v>
      </c>
      <c r="J503" t="s">
        <v>1081</v>
      </c>
      <c r="K503" t="s">
        <v>2</v>
      </c>
      <c r="L503" t="s">
        <v>1082</v>
      </c>
      <c r="M503" t="s">
        <v>579</v>
      </c>
      <c r="N503" t="s">
        <v>1083</v>
      </c>
      <c r="O503" t="s">
        <v>712</v>
      </c>
      <c r="P503">
        <v>2278280</v>
      </c>
      <c r="Q503" t="s">
        <v>38</v>
      </c>
      <c r="R503">
        <v>415514</v>
      </c>
      <c r="S503" t="s">
        <v>84</v>
      </c>
      <c r="T503" s="2">
        <v>3</v>
      </c>
      <c r="U503">
        <v>0</v>
      </c>
      <c r="V503" t="s">
        <v>153</v>
      </c>
      <c r="W503">
        <v>0</v>
      </c>
      <c r="X503">
        <v>0</v>
      </c>
      <c r="Y503">
        <v>0</v>
      </c>
      <c r="Z503" t="s">
        <v>88</v>
      </c>
      <c r="AA503" t="s">
        <v>298</v>
      </c>
      <c r="AB503" t="s">
        <v>10</v>
      </c>
      <c r="AC503">
        <v>0</v>
      </c>
      <c r="AD503">
        <v>0</v>
      </c>
      <c r="AE503">
        <v>726182083914</v>
      </c>
      <c r="AF503">
        <v>1888.55</v>
      </c>
      <c r="AG503">
        <v>0</v>
      </c>
      <c r="AH503">
        <v>120.69</v>
      </c>
      <c r="AI503">
        <v>2009.24</v>
      </c>
      <c r="AJ503" t="s">
        <v>2</v>
      </c>
      <c r="AK503" t="s">
        <v>11</v>
      </c>
    </row>
    <row r="504" spans="1:37">
      <c r="A504">
        <v>257764</v>
      </c>
      <c r="B504" s="1">
        <v>45366</v>
      </c>
      <c r="C504" t="s">
        <v>705</v>
      </c>
      <c r="D504" t="s">
        <v>706</v>
      </c>
      <c r="E504" t="s">
        <v>707</v>
      </c>
      <c r="F504" t="s">
        <v>708</v>
      </c>
      <c r="G504" t="s">
        <v>579</v>
      </c>
      <c r="H504">
        <v>44310</v>
      </c>
      <c r="I504" t="s">
        <v>1080</v>
      </c>
      <c r="J504" t="s">
        <v>1081</v>
      </c>
      <c r="K504" t="s">
        <v>2</v>
      </c>
      <c r="L504" t="s">
        <v>1082</v>
      </c>
      <c r="M504" t="s">
        <v>579</v>
      </c>
      <c r="N504" t="s">
        <v>1083</v>
      </c>
      <c r="O504" t="s">
        <v>712</v>
      </c>
      <c r="P504">
        <v>2278280</v>
      </c>
      <c r="Q504" t="s">
        <v>38</v>
      </c>
      <c r="R504">
        <v>415514</v>
      </c>
      <c r="S504" t="s">
        <v>84</v>
      </c>
      <c r="T504" s="2">
        <v>3</v>
      </c>
      <c r="U504">
        <v>0</v>
      </c>
      <c r="V504" t="s">
        <v>153</v>
      </c>
      <c r="W504">
        <v>1</v>
      </c>
      <c r="X504">
        <v>1</v>
      </c>
      <c r="Y504">
        <v>0</v>
      </c>
      <c r="Z504" t="s">
        <v>1088</v>
      </c>
      <c r="AA504" t="s">
        <v>1089</v>
      </c>
      <c r="AB504" t="s">
        <v>14</v>
      </c>
      <c r="AC504">
        <v>645.45000000000005</v>
      </c>
      <c r="AD504">
        <v>645.45000000000005</v>
      </c>
      <c r="AE504">
        <v>726182083914</v>
      </c>
      <c r="AF504">
        <v>1888.55</v>
      </c>
      <c r="AG504">
        <v>0</v>
      </c>
      <c r="AH504">
        <v>120.69</v>
      </c>
      <c r="AI504">
        <v>2009.24</v>
      </c>
      <c r="AJ504" t="s">
        <v>2</v>
      </c>
      <c r="AK504" t="s">
        <v>11</v>
      </c>
    </row>
    <row r="505" spans="1:37">
      <c r="A505">
        <v>257764</v>
      </c>
      <c r="B505" s="1">
        <v>45366</v>
      </c>
      <c r="C505" t="s">
        <v>705</v>
      </c>
      <c r="D505" t="s">
        <v>706</v>
      </c>
      <c r="E505" t="s">
        <v>707</v>
      </c>
      <c r="F505" t="s">
        <v>708</v>
      </c>
      <c r="G505" t="s">
        <v>579</v>
      </c>
      <c r="H505">
        <v>44310</v>
      </c>
      <c r="I505" t="s">
        <v>1080</v>
      </c>
      <c r="J505" t="s">
        <v>1081</v>
      </c>
      <c r="K505" t="s">
        <v>2</v>
      </c>
      <c r="L505" t="s">
        <v>1082</v>
      </c>
      <c r="M505" t="s">
        <v>579</v>
      </c>
      <c r="N505" t="s">
        <v>1083</v>
      </c>
      <c r="O505" t="s">
        <v>712</v>
      </c>
      <c r="P505">
        <v>2278280</v>
      </c>
      <c r="Q505" t="s">
        <v>38</v>
      </c>
      <c r="R505">
        <v>415514</v>
      </c>
      <c r="S505" t="s">
        <v>84</v>
      </c>
      <c r="T505" s="2">
        <v>3</v>
      </c>
      <c r="U505">
        <v>0</v>
      </c>
      <c r="V505" t="s">
        <v>153</v>
      </c>
      <c r="W505">
        <v>0</v>
      </c>
      <c r="X505">
        <v>0</v>
      </c>
      <c r="Y505">
        <v>0</v>
      </c>
      <c r="Z505" t="s">
        <v>88</v>
      </c>
      <c r="AA505" t="s">
        <v>298</v>
      </c>
      <c r="AB505" t="s">
        <v>10</v>
      </c>
      <c r="AC505">
        <v>0</v>
      </c>
      <c r="AD505">
        <v>0</v>
      </c>
      <c r="AE505">
        <v>726182083914</v>
      </c>
      <c r="AF505">
        <v>1888.55</v>
      </c>
      <c r="AG505">
        <v>0</v>
      </c>
      <c r="AH505">
        <v>120.69</v>
      </c>
      <c r="AI505">
        <v>2009.24</v>
      </c>
      <c r="AJ505" t="s">
        <v>2</v>
      </c>
      <c r="AK505" t="s">
        <v>11</v>
      </c>
    </row>
    <row r="506" spans="1:37">
      <c r="A506">
        <v>257765</v>
      </c>
      <c r="B506" s="1">
        <v>45366</v>
      </c>
      <c r="C506" t="s">
        <v>1090</v>
      </c>
      <c r="D506" t="s">
        <v>1091</v>
      </c>
      <c r="E506" t="s">
        <v>1092</v>
      </c>
      <c r="F506" t="s">
        <v>230</v>
      </c>
      <c r="G506" t="s">
        <v>137</v>
      </c>
      <c r="H506">
        <v>95834</v>
      </c>
      <c r="I506" t="s">
        <v>1093</v>
      </c>
      <c r="J506" t="s">
        <v>1094</v>
      </c>
      <c r="K506" t="s">
        <v>2</v>
      </c>
      <c r="L506" t="s">
        <v>1095</v>
      </c>
      <c r="M506" t="s">
        <v>137</v>
      </c>
      <c r="N506">
        <v>96003</v>
      </c>
      <c r="O506" t="s">
        <v>1096</v>
      </c>
      <c r="P506" t="s">
        <v>1097</v>
      </c>
      <c r="Q506" t="s">
        <v>21</v>
      </c>
      <c r="R506">
        <v>415540</v>
      </c>
      <c r="S506" t="s">
        <v>987</v>
      </c>
      <c r="T506" s="2">
        <v>1</v>
      </c>
      <c r="U506">
        <v>0</v>
      </c>
      <c r="V506" t="s">
        <v>236</v>
      </c>
      <c r="W506">
        <v>0</v>
      </c>
      <c r="X506">
        <v>0</v>
      </c>
      <c r="Y506">
        <v>0</v>
      </c>
      <c r="Z506" t="s">
        <v>9</v>
      </c>
      <c r="AA506" t="s">
        <v>2</v>
      </c>
      <c r="AB506" t="s">
        <v>10</v>
      </c>
      <c r="AC506">
        <v>0</v>
      </c>
      <c r="AD506">
        <v>0</v>
      </c>
      <c r="AE506" t="s">
        <v>1098</v>
      </c>
      <c r="AF506">
        <v>140.83000000000001</v>
      </c>
      <c r="AG506">
        <v>0</v>
      </c>
      <c r="AH506">
        <v>69.8</v>
      </c>
      <c r="AI506">
        <v>210.63</v>
      </c>
      <c r="AJ506" t="s">
        <v>2</v>
      </c>
      <c r="AK506" t="s">
        <v>11</v>
      </c>
    </row>
    <row r="507" spans="1:37">
      <c r="A507">
        <v>257765</v>
      </c>
      <c r="B507" s="1">
        <v>45366</v>
      </c>
      <c r="C507" t="s">
        <v>1090</v>
      </c>
      <c r="D507" t="s">
        <v>1091</v>
      </c>
      <c r="E507" t="s">
        <v>1092</v>
      </c>
      <c r="F507" t="s">
        <v>230</v>
      </c>
      <c r="G507" t="s">
        <v>137</v>
      </c>
      <c r="H507">
        <v>95834</v>
      </c>
      <c r="I507" t="s">
        <v>1093</v>
      </c>
      <c r="J507" t="s">
        <v>1094</v>
      </c>
      <c r="K507" t="s">
        <v>2</v>
      </c>
      <c r="L507" t="s">
        <v>1095</v>
      </c>
      <c r="M507" t="s">
        <v>137</v>
      </c>
      <c r="N507">
        <v>96003</v>
      </c>
      <c r="O507" t="s">
        <v>1096</v>
      </c>
      <c r="P507" t="s">
        <v>1097</v>
      </c>
      <c r="Q507" t="s">
        <v>21</v>
      </c>
      <c r="R507">
        <v>415540</v>
      </c>
      <c r="S507" t="s">
        <v>987</v>
      </c>
      <c r="T507" s="2">
        <v>1</v>
      </c>
      <c r="U507">
        <v>0</v>
      </c>
      <c r="V507" t="s">
        <v>236</v>
      </c>
      <c r="W507">
        <v>1</v>
      </c>
      <c r="X507">
        <v>1</v>
      </c>
      <c r="Y507">
        <v>0</v>
      </c>
      <c r="Z507" t="s">
        <v>1099</v>
      </c>
      <c r="AA507" t="s">
        <v>1100</v>
      </c>
      <c r="AB507" t="s">
        <v>14</v>
      </c>
      <c r="AC507">
        <v>140.82749999999999</v>
      </c>
      <c r="AD507">
        <v>140.83000000000001</v>
      </c>
      <c r="AE507" t="s">
        <v>1098</v>
      </c>
      <c r="AF507">
        <v>140.83000000000001</v>
      </c>
      <c r="AG507">
        <v>0</v>
      </c>
      <c r="AH507">
        <v>69.8</v>
      </c>
      <c r="AI507">
        <v>210.63</v>
      </c>
      <c r="AJ507" t="s">
        <v>2</v>
      </c>
      <c r="AK507" t="s">
        <v>11</v>
      </c>
    </row>
    <row r="508" spans="1:37">
      <c r="A508">
        <v>257765</v>
      </c>
      <c r="B508" s="1">
        <v>45366</v>
      </c>
      <c r="C508" t="s">
        <v>1090</v>
      </c>
      <c r="D508" t="s">
        <v>1091</v>
      </c>
      <c r="E508" t="s">
        <v>1092</v>
      </c>
      <c r="F508" t="s">
        <v>230</v>
      </c>
      <c r="G508" t="s">
        <v>137</v>
      </c>
      <c r="H508">
        <v>95834</v>
      </c>
      <c r="I508" t="s">
        <v>1093</v>
      </c>
      <c r="J508" t="s">
        <v>1094</v>
      </c>
      <c r="K508" t="s">
        <v>2</v>
      </c>
      <c r="L508" t="s">
        <v>1095</v>
      </c>
      <c r="M508" t="s">
        <v>137</v>
      </c>
      <c r="N508">
        <v>96003</v>
      </c>
      <c r="O508" t="s">
        <v>1096</v>
      </c>
      <c r="P508" t="s">
        <v>1097</v>
      </c>
      <c r="Q508" t="s">
        <v>21</v>
      </c>
      <c r="R508">
        <v>415540</v>
      </c>
      <c r="S508" t="s">
        <v>987</v>
      </c>
      <c r="T508" s="2">
        <v>1</v>
      </c>
      <c r="U508">
        <v>0</v>
      </c>
      <c r="V508" t="s">
        <v>236</v>
      </c>
      <c r="W508">
        <v>0</v>
      </c>
      <c r="X508">
        <v>0</v>
      </c>
      <c r="Y508">
        <v>0</v>
      </c>
      <c r="Z508" t="s">
        <v>88</v>
      </c>
      <c r="AA508" t="s">
        <v>656</v>
      </c>
      <c r="AB508" t="s">
        <v>10</v>
      </c>
      <c r="AC508">
        <v>0</v>
      </c>
      <c r="AD508">
        <v>0</v>
      </c>
      <c r="AE508" t="s">
        <v>1098</v>
      </c>
      <c r="AF508">
        <v>140.83000000000001</v>
      </c>
      <c r="AG508">
        <v>0</v>
      </c>
      <c r="AH508">
        <v>69.8</v>
      </c>
      <c r="AI508">
        <v>210.63</v>
      </c>
      <c r="AJ508" t="s">
        <v>2</v>
      </c>
      <c r="AK508" t="s">
        <v>11</v>
      </c>
    </row>
    <row r="509" spans="1:37">
      <c r="A509">
        <v>257766</v>
      </c>
      <c r="B509" s="1">
        <v>45366</v>
      </c>
      <c r="C509" t="s">
        <v>1101</v>
      </c>
      <c r="D509" t="s">
        <v>1102</v>
      </c>
      <c r="E509" t="s">
        <v>2</v>
      </c>
      <c r="F509" t="s">
        <v>1103</v>
      </c>
      <c r="G509" t="s">
        <v>731</v>
      </c>
      <c r="H509">
        <v>15096</v>
      </c>
      <c r="I509" t="s">
        <v>200</v>
      </c>
      <c r="J509" t="s">
        <v>1104</v>
      </c>
      <c r="K509" t="s">
        <v>2</v>
      </c>
      <c r="L509" t="s">
        <v>1103</v>
      </c>
      <c r="M509" t="s">
        <v>731</v>
      </c>
      <c r="N509">
        <v>15086</v>
      </c>
      <c r="O509" t="s">
        <v>1105</v>
      </c>
      <c r="P509">
        <v>7860</v>
      </c>
      <c r="Q509" t="s">
        <v>21</v>
      </c>
      <c r="R509">
        <v>415542</v>
      </c>
      <c r="S509" t="s">
        <v>84</v>
      </c>
      <c r="T509" s="2">
        <v>1</v>
      </c>
      <c r="U509">
        <v>0</v>
      </c>
      <c r="V509" t="s">
        <v>260</v>
      </c>
      <c r="W509">
        <v>0</v>
      </c>
      <c r="X509">
        <v>0</v>
      </c>
      <c r="Y509">
        <v>0</v>
      </c>
      <c r="Z509" t="s">
        <v>9</v>
      </c>
      <c r="AA509" t="s">
        <v>2</v>
      </c>
      <c r="AB509" t="s">
        <v>10</v>
      </c>
      <c r="AC509">
        <v>0</v>
      </c>
      <c r="AD509">
        <v>0</v>
      </c>
      <c r="AE509">
        <v>726182083844</v>
      </c>
      <c r="AF509">
        <v>47.39</v>
      </c>
      <c r="AG509">
        <v>0</v>
      </c>
      <c r="AH509">
        <v>20.74</v>
      </c>
      <c r="AI509">
        <v>68.13</v>
      </c>
      <c r="AJ509" t="s">
        <v>2</v>
      </c>
      <c r="AK509" t="s">
        <v>11</v>
      </c>
    </row>
    <row r="510" spans="1:37">
      <c r="A510">
        <v>257766</v>
      </c>
      <c r="B510" s="1">
        <v>45366</v>
      </c>
      <c r="C510" t="s">
        <v>1101</v>
      </c>
      <c r="D510" t="s">
        <v>1102</v>
      </c>
      <c r="E510" t="s">
        <v>2</v>
      </c>
      <c r="F510" t="s">
        <v>1103</v>
      </c>
      <c r="G510" t="s">
        <v>731</v>
      </c>
      <c r="H510">
        <v>15096</v>
      </c>
      <c r="I510" t="s">
        <v>200</v>
      </c>
      <c r="J510" t="s">
        <v>1104</v>
      </c>
      <c r="K510" t="s">
        <v>2</v>
      </c>
      <c r="L510" t="s">
        <v>1103</v>
      </c>
      <c r="M510" t="s">
        <v>731</v>
      </c>
      <c r="N510">
        <v>15086</v>
      </c>
      <c r="O510" t="s">
        <v>1105</v>
      </c>
      <c r="P510">
        <v>7860</v>
      </c>
      <c r="Q510" t="s">
        <v>21</v>
      </c>
      <c r="R510">
        <v>415542</v>
      </c>
      <c r="S510" t="s">
        <v>84</v>
      </c>
      <c r="T510" s="2">
        <v>1</v>
      </c>
      <c r="U510">
        <v>0</v>
      </c>
      <c r="V510" t="s">
        <v>260</v>
      </c>
      <c r="W510">
        <v>1</v>
      </c>
      <c r="X510">
        <v>1</v>
      </c>
      <c r="Y510">
        <v>0</v>
      </c>
      <c r="Z510" t="s">
        <v>1106</v>
      </c>
      <c r="AA510" t="s">
        <v>1107</v>
      </c>
      <c r="AB510" t="s">
        <v>14</v>
      </c>
      <c r="AC510">
        <v>47.387599999999999</v>
      </c>
      <c r="AD510">
        <v>47.39</v>
      </c>
      <c r="AE510">
        <v>726182083844</v>
      </c>
      <c r="AF510">
        <v>47.39</v>
      </c>
      <c r="AG510">
        <v>0</v>
      </c>
      <c r="AH510">
        <v>20.74</v>
      </c>
      <c r="AI510">
        <v>68.13</v>
      </c>
      <c r="AJ510" t="s">
        <v>2</v>
      </c>
      <c r="AK510" t="s">
        <v>11</v>
      </c>
    </row>
    <row r="511" spans="1:37">
      <c r="A511">
        <v>257766</v>
      </c>
      <c r="B511" s="1">
        <v>45366</v>
      </c>
      <c r="C511" t="s">
        <v>1101</v>
      </c>
      <c r="D511" t="s">
        <v>1102</v>
      </c>
      <c r="E511" t="s">
        <v>2</v>
      </c>
      <c r="F511" t="s">
        <v>1103</v>
      </c>
      <c r="G511" t="s">
        <v>731</v>
      </c>
      <c r="H511">
        <v>15096</v>
      </c>
      <c r="I511" t="s">
        <v>200</v>
      </c>
      <c r="J511" t="s">
        <v>1104</v>
      </c>
      <c r="K511" t="s">
        <v>2</v>
      </c>
      <c r="L511" t="s">
        <v>1103</v>
      </c>
      <c r="M511" t="s">
        <v>731</v>
      </c>
      <c r="N511">
        <v>15086</v>
      </c>
      <c r="O511" t="s">
        <v>1105</v>
      </c>
      <c r="P511">
        <v>7860</v>
      </c>
      <c r="Q511" t="s">
        <v>21</v>
      </c>
      <c r="R511">
        <v>415542</v>
      </c>
      <c r="S511" t="s">
        <v>84</v>
      </c>
      <c r="T511" s="2">
        <v>1</v>
      </c>
      <c r="U511">
        <v>0</v>
      </c>
      <c r="V511" t="s">
        <v>260</v>
      </c>
      <c r="W511">
        <v>0</v>
      </c>
      <c r="X511">
        <v>0</v>
      </c>
      <c r="Y511">
        <v>0</v>
      </c>
      <c r="Z511" t="s">
        <v>88</v>
      </c>
      <c r="AA511" t="s">
        <v>1108</v>
      </c>
      <c r="AB511" t="s">
        <v>10</v>
      </c>
      <c r="AC511">
        <v>0</v>
      </c>
      <c r="AD511">
        <v>0</v>
      </c>
      <c r="AE511">
        <v>726182083844</v>
      </c>
      <c r="AF511">
        <v>47.39</v>
      </c>
      <c r="AG511">
        <v>0</v>
      </c>
      <c r="AH511">
        <v>20.74</v>
      </c>
      <c r="AI511">
        <v>68.13</v>
      </c>
      <c r="AJ511" t="s">
        <v>2</v>
      </c>
      <c r="AK511" t="s">
        <v>11</v>
      </c>
    </row>
    <row r="512" spans="1:37">
      <c r="A512">
        <v>257767</v>
      </c>
      <c r="B512" s="1">
        <v>45366</v>
      </c>
      <c r="C512" t="s">
        <v>1109</v>
      </c>
      <c r="D512" t="s">
        <v>1110</v>
      </c>
      <c r="E512" t="s">
        <v>2</v>
      </c>
      <c r="F512" t="s">
        <v>694</v>
      </c>
      <c r="G512" t="s">
        <v>67</v>
      </c>
      <c r="H512">
        <v>78220</v>
      </c>
      <c r="I512" t="s">
        <v>1111</v>
      </c>
      <c r="J512" t="s">
        <v>1112</v>
      </c>
      <c r="K512" t="s">
        <v>2</v>
      </c>
      <c r="L512" t="s">
        <v>694</v>
      </c>
      <c r="M512" t="s">
        <v>67</v>
      </c>
      <c r="N512">
        <v>78209</v>
      </c>
      <c r="O512" t="s">
        <v>1113</v>
      </c>
      <c r="P512" t="s">
        <v>1114</v>
      </c>
      <c r="Q512" t="s">
        <v>6</v>
      </c>
      <c r="R512">
        <v>415569</v>
      </c>
      <c r="S512" t="s">
        <v>84</v>
      </c>
      <c r="T512" s="2">
        <v>1</v>
      </c>
      <c r="U512">
        <v>0</v>
      </c>
      <c r="V512" t="s">
        <v>260</v>
      </c>
      <c r="W512">
        <v>0</v>
      </c>
      <c r="X512">
        <v>0</v>
      </c>
      <c r="Y512">
        <v>0</v>
      </c>
      <c r="Z512" t="s">
        <v>9</v>
      </c>
      <c r="AA512" t="s">
        <v>2</v>
      </c>
      <c r="AB512" t="s">
        <v>10</v>
      </c>
      <c r="AC512">
        <v>0</v>
      </c>
      <c r="AD512">
        <v>0</v>
      </c>
      <c r="AE512">
        <v>726182083763</v>
      </c>
      <c r="AF512">
        <v>150.75</v>
      </c>
      <c r="AG512">
        <v>0</v>
      </c>
      <c r="AH512">
        <v>59.86</v>
      </c>
      <c r="AI512">
        <v>210.61</v>
      </c>
      <c r="AJ512" t="s">
        <v>2</v>
      </c>
      <c r="AK512" t="s">
        <v>11</v>
      </c>
    </row>
    <row r="513" spans="1:37">
      <c r="A513">
        <v>257767</v>
      </c>
      <c r="B513" s="1">
        <v>45366</v>
      </c>
      <c r="C513" t="s">
        <v>1109</v>
      </c>
      <c r="D513" t="s">
        <v>1110</v>
      </c>
      <c r="E513" t="s">
        <v>2</v>
      </c>
      <c r="F513" t="s">
        <v>694</v>
      </c>
      <c r="G513" t="s">
        <v>67</v>
      </c>
      <c r="H513">
        <v>78220</v>
      </c>
      <c r="I513" t="s">
        <v>1111</v>
      </c>
      <c r="J513" t="s">
        <v>1112</v>
      </c>
      <c r="K513" t="s">
        <v>2</v>
      </c>
      <c r="L513" t="s">
        <v>694</v>
      </c>
      <c r="M513" t="s">
        <v>67</v>
      </c>
      <c r="N513">
        <v>78209</v>
      </c>
      <c r="O513" t="s">
        <v>1113</v>
      </c>
      <c r="P513" t="s">
        <v>1114</v>
      </c>
      <c r="Q513" t="s">
        <v>6</v>
      </c>
      <c r="R513">
        <v>415569</v>
      </c>
      <c r="S513" t="s">
        <v>84</v>
      </c>
      <c r="T513" s="2">
        <v>1</v>
      </c>
      <c r="U513">
        <v>0</v>
      </c>
      <c r="V513" t="s">
        <v>260</v>
      </c>
      <c r="W513">
        <v>1</v>
      </c>
      <c r="X513">
        <v>1</v>
      </c>
      <c r="Y513">
        <v>0</v>
      </c>
      <c r="Z513" t="s">
        <v>1115</v>
      </c>
      <c r="AA513" t="s">
        <v>1116</v>
      </c>
      <c r="AB513" t="s">
        <v>14</v>
      </c>
      <c r="AC513">
        <v>150.74610000000001</v>
      </c>
      <c r="AD513">
        <v>150.75</v>
      </c>
      <c r="AE513">
        <v>726182083763</v>
      </c>
      <c r="AF513">
        <v>150.75</v>
      </c>
      <c r="AG513">
        <v>0</v>
      </c>
      <c r="AH513">
        <v>59.86</v>
      </c>
      <c r="AI513">
        <v>210.61</v>
      </c>
      <c r="AJ513" t="s">
        <v>2</v>
      </c>
      <c r="AK513" t="s">
        <v>11</v>
      </c>
    </row>
    <row r="514" spans="1:37">
      <c r="A514">
        <v>257767</v>
      </c>
      <c r="B514" s="1">
        <v>45366</v>
      </c>
      <c r="C514" t="s">
        <v>1109</v>
      </c>
      <c r="D514" t="s">
        <v>1110</v>
      </c>
      <c r="E514" t="s">
        <v>2</v>
      </c>
      <c r="F514" t="s">
        <v>694</v>
      </c>
      <c r="G514" t="s">
        <v>67</v>
      </c>
      <c r="H514">
        <v>78220</v>
      </c>
      <c r="I514" t="s">
        <v>1111</v>
      </c>
      <c r="J514" t="s">
        <v>1112</v>
      </c>
      <c r="K514" t="s">
        <v>2</v>
      </c>
      <c r="L514" t="s">
        <v>694</v>
      </c>
      <c r="M514" t="s">
        <v>67</v>
      </c>
      <c r="N514">
        <v>78209</v>
      </c>
      <c r="O514" t="s">
        <v>1113</v>
      </c>
      <c r="P514" t="s">
        <v>1114</v>
      </c>
      <c r="Q514" t="s">
        <v>6</v>
      </c>
      <c r="R514">
        <v>415569</v>
      </c>
      <c r="S514" t="s">
        <v>84</v>
      </c>
      <c r="T514" s="2">
        <v>1</v>
      </c>
      <c r="U514">
        <v>0</v>
      </c>
      <c r="V514" t="s">
        <v>260</v>
      </c>
      <c r="W514">
        <v>0</v>
      </c>
      <c r="X514">
        <v>0</v>
      </c>
      <c r="Y514">
        <v>0</v>
      </c>
      <c r="Z514" t="s">
        <v>88</v>
      </c>
      <c r="AA514" t="s">
        <v>107</v>
      </c>
      <c r="AB514" t="s">
        <v>10</v>
      </c>
      <c r="AC514">
        <v>0</v>
      </c>
      <c r="AD514">
        <v>0</v>
      </c>
      <c r="AE514">
        <v>726182083763</v>
      </c>
      <c r="AF514">
        <v>150.75</v>
      </c>
      <c r="AG514">
        <v>0</v>
      </c>
      <c r="AH514">
        <v>59.86</v>
      </c>
      <c r="AI514">
        <v>210.61</v>
      </c>
      <c r="AJ514" t="s">
        <v>2</v>
      </c>
      <c r="AK514" t="s">
        <v>11</v>
      </c>
    </row>
    <row r="515" spans="1:37">
      <c r="A515">
        <v>257768</v>
      </c>
      <c r="B515" s="1">
        <v>45366</v>
      </c>
      <c r="C515" t="s">
        <v>424</v>
      </c>
      <c r="D515" t="s">
        <v>425</v>
      </c>
      <c r="E515" t="s">
        <v>426</v>
      </c>
      <c r="F515" t="s">
        <v>427</v>
      </c>
      <c r="G515" t="s">
        <v>103</v>
      </c>
      <c r="H515">
        <v>10013</v>
      </c>
      <c r="I515" t="s">
        <v>1117</v>
      </c>
      <c r="J515" t="s">
        <v>1118</v>
      </c>
      <c r="K515" t="s">
        <v>2</v>
      </c>
      <c r="L515" t="s">
        <v>1119</v>
      </c>
      <c r="M515" t="s">
        <v>493</v>
      </c>
      <c r="N515">
        <v>21783</v>
      </c>
      <c r="O515" t="s">
        <v>431</v>
      </c>
      <c r="P515">
        <v>1054855</v>
      </c>
      <c r="Q515" t="s">
        <v>21</v>
      </c>
      <c r="R515">
        <v>415580</v>
      </c>
      <c r="S515" t="s">
        <v>84</v>
      </c>
      <c r="T515" s="2">
        <v>2</v>
      </c>
      <c r="U515">
        <v>0</v>
      </c>
      <c r="V515" t="s">
        <v>260</v>
      </c>
      <c r="W515">
        <v>0</v>
      </c>
      <c r="X515">
        <v>0</v>
      </c>
      <c r="Y515">
        <v>0</v>
      </c>
      <c r="Z515" t="s">
        <v>9</v>
      </c>
      <c r="AA515" t="s">
        <v>2</v>
      </c>
      <c r="AB515" t="s">
        <v>10</v>
      </c>
      <c r="AC515">
        <v>0</v>
      </c>
      <c r="AD515">
        <v>0</v>
      </c>
      <c r="AE515">
        <v>726182083741</v>
      </c>
      <c r="AF515">
        <v>559.82000000000005</v>
      </c>
      <c r="AG515">
        <v>0</v>
      </c>
      <c r="AH515">
        <v>64.12</v>
      </c>
      <c r="AI515">
        <v>623.94000000000005</v>
      </c>
      <c r="AJ515" t="s">
        <v>2</v>
      </c>
      <c r="AK515" t="s">
        <v>11</v>
      </c>
    </row>
    <row r="516" spans="1:37">
      <c r="A516">
        <v>257768</v>
      </c>
      <c r="B516" s="1">
        <v>45366</v>
      </c>
      <c r="C516" t="s">
        <v>424</v>
      </c>
      <c r="D516" t="s">
        <v>425</v>
      </c>
      <c r="E516" t="s">
        <v>426</v>
      </c>
      <c r="F516" t="s">
        <v>427</v>
      </c>
      <c r="G516" t="s">
        <v>103</v>
      </c>
      <c r="H516">
        <v>10013</v>
      </c>
      <c r="I516" t="s">
        <v>1117</v>
      </c>
      <c r="J516" t="s">
        <v>1118</v>
      </c>
      <c r="K516" t="s">
        <v>2</v>
      </c>
      <c r="L516" t="s">
        <v>1119</v>
      </c>
      <c r="M516" t="s">
        <v>493</v>
      </c>
      <c r="N516">
        <v>21783</v>
      </c>
      <c r="O516" t="s">
        <v>431</v>
      </c>
      <c r="P516">
        <v>1054855</v>
      </c>
      <c r="Q516" t="s">
        <v>21</v>
      </c>
      <c r="R516">
        <v>415580</v>
      </c>
      <c r="S516" t="s">
        <v>84</v>
      </c>
      <c r="T516" s="2">
        <v>2</v>
      </c>
      <c r="U516">
        <v>0</v>
      </c>
      <c r="V516" t="s">
        <v>260</v>
      </c>
      <c r="W516">
        <v>1</v>
      </c>
      <c r="X516">
        <v>1</v>
      </c>
      <c r="Y516">
        <v>0</v>
      </c>
      <c r="Z516" t="s">
        <v>1120</v>
      </c>
      <c r="AA516" t="s">
        <v>1121</v>
      </c>
      <c r="AB516" t="s">
        <v>14</v>
      </c>
      <c r="AC516">
        <v>367.8818</v>
      </c>
      <c r="AD516">
        <v>367.88</v>
      </c>
      <c r="AE516">
        <v>726182083741</v>
      </c>
      <c r="AF516">
        <v>559.82000000000005</v>
      </c>
      <c r="AG516">
        <v>0</v>
      </c>
      <c r="AH516">
        <v>64.12</v>
      </c>
      <c r="AI516">
        <v>623.94000000000005</v>
      </c>
      <c r="AJ516" t="s">
        <v>2</v>
      </c>
      <c r="AK516" t="s">
        <v>11</v>
      </c>
    </row>
    <row r="517" spans="1:37">
      <c r="A517">
        <v>257768</v>
      </c>
      <c r="B517" s="1">
        <v>45366</v>
      </c>
      <c r="C517" t="s">
        <v>424</v>
      </c>
      <c r="D517" t="s">
        <v>425</v>
      </c>
      <c r="E517" t="s">
        <v>426</v>
      </c>
      <c r="F517" t="s">
        <v>427</v>
      </c>
      <c r="G517" t="s">
        <v>103</v>
      </c>
      <c r="H517">
        <v>10013</v>
      </c>
      <c r="I517" t="s">
        <v>1117</v>
      </c>
      <c r="J517" t="s">
        <v>1118</v>
      </c>
      <c r="K517" t="s">
        <v>2</v>
      </c>
      <c r="L517" t="s">
        <v>1119</v>
      </c>
      <c r="M517" t="s">
        <v>493</v>
      </c>
      <c r="N517">
        <v>21783</v>
      </c>
      <c r="O517" t="s">
        <v>431</v>
      </c>
      <c r="P517">
        <v>1054855</v>
      </c>
      <c r="Q517" t="s">
        <v>21</v>
      </c>
      <c r="R517">
        <v>415580</v>
      </c>
      <c r="S517" t="s">
        <v>84</v>
      </c>
      <c r="T517" s="2">
        <v>2</v>
      </c>
      <c r="U517">
        <v>0</v>
      </c>
      <c r="V517" t="s">
        <v>260</v>
      </c>
      <c r="W517">
        <v>0</v>
      </c>
      <c r="X517">
        <v>0</v>
      </c>
      <c r="Y517">
        <v>0</v>
      </c>
      <c r="Z517" t="s">
        <v>88</v>
      </c>
      <c r="AA517" t="s">
        <v>887</v>
      </c>
      <c r="AB517" t="s">
        <v>10</v>
      </c>
      <c r="AC517">
        <v>0</v>
      </c>
      <c r="AD517">
        <v>0</v>
      </c>
      <c r="AE517">
        <v>726182083741</v>
      </c>
      <c r="AF517">
        <v>559.82000000000005</v>
      </c>
      <c r="AG517">
        <v>0</v>
      </c>
      <c r="AH517">
        <v>64.12</v>
      </c>
      <c r="AI517">
        <v>623.94000000000005</v>
      </c>
      <c r="AJ517" t="s">
        <v>2</v>
      </c>
      <c r="AK517" t="s">
        <v>11</v>
      </c>
    </row>
    <row r="518" spans="1:37">
      <c r="A518">
        <v>257768</v>
      </c>
      <c r="B518" s="1">
        <v>45366</v>
      </c>
      <c r="C518" t="s">
        <v>424</v>
      </c>
      <c r="D518" t="s">
        <v>425</v>
      </c>
      <c r="E518" t="s">
        <v>426</v>
      </c>
      <c r="F518" t="s">
        <v>427</v>
      </c>
      <c r="G518" t="s">
        <v>103</v>
      </c>
      <c r="H518">
        <v>10013</v>
      </c>
      <c r="I518" t="s">
        <v>1117</v>
      </c>
      <c r="J518" t="s">
        <v>1118</v>
      </c>
      <c r="K518" t="s">
        <v>2</v>
      </c>
      <c r="L518" t="s">
        <v>1119</v>
      </c>
      <c r="M518" t="s">
        <v>493</v>
      </c>
      <c r="N518">
        <v>21783</v>
      </c>
      <c r="O518" t="s">
        <v>431</v>
      </c>
      <c r="P518">
        <v>1054855</v>
      </c>
      <c r="Q518" t="s">
        <v>21</v>
      </c>
      <c r="R518">
        <v>415580</v>
      </c>
      <c r="S518" t="s">
        <v>84</v>
      </c>
      <c r="T518" s="2">
        <v>2</v>
      </c>
      <c r="U518">
        <v>0</v>
      </c>
      <c r="V518" t="s">
        <v>260</v>
      </c>
      <c r="W518">
        <v>1</v>
      </c>
      <c r="X518">
        <v>1</v>
      </c>
      <c r="Y518">
        <v>0</v>
      </c>
      <c r="Z518" t="s">
        <v>1122</v>
      </c>
      <c r="AA518" t="s">
        <v>1123</v>
      </c>
      <c r="AB518" t="s">
        <v>14</v>
      </c>
      <c r="AC518">
        <v>191.9383</v>
      </c>
      <c r="AD518">
        <v>191.94</v>
      </c>
      <c r="AE518">
        <v>726182083741</v>
      </c>
      <c r="AF518">
        <v>559.82000000000005</v>
      </c>
      <c r="AG518">
        <v>0</v>
      </c>
      <c r="AH518">
        <v>64.12</v>
      </c>
      <c r="AI518">
        <v>623.94000000000005</v>
      </c>
      <c r="AJ518" t="s">
        <v>2</v>
      </c>
      <c r="AK518" t="s">
        <v>11</v>
      </c>
    </row>
    <row r="519" spans="1:37">
      <c r="A519">
        <v>257768</v>
      </c>
      <c r="B519" s="1">
        <v>45366</v>
      </c>
      <c r="C519" t="s">
        <v>424</v>
      </c>
      <c r="D519" t="s">
        <v>425</v>
      </c>
      <c r="E519" t="s">
        <v>426</v>
      </c>
      <c r="F519" t="s">
        <v>427</v>
      </c>
      <c r="G519" t="s">
        <v>103</v>
      </c>
      <c r="H519">
        <v>10013</v>
      </c>
      <c r="I519" t="s">
        <v>1117</v>
      </c>
      <c r="J519" t="s">
        <v>1118</v>
      </c>
      <c r="K519" t="s">
        <v>2</v>
      </c>
      <c r="L519" t="s">
        <v>1119</v>
      </c>
      <c r="M519" t="s">
        <v>493</v>
      </c>
      <c r="N519">
        <v>21783</v>
      </c>
      <c r="O519" t="s">
        <v>431</v>
      </c>
      <c r="P519">
        <v>1054855</v>
      </c>
      <c r="Q519" t="s">
        <v>21</v>
      </c>
      <c r="R519">
        <v>415580</v>
      </c>
      <c r="S519" t="s">
        <v>84</v>
      </c>
      <c r="T519" s="2">
        <v>2</v>
      </c>
      <c r="U519">
        <v>0</v>
      </c>
      <c r="V519" t="s">
        <v>260</v>
      </c>
      <c r="W519">
        <v>0</v>
      </c>
      <c r="X519">
        <v>0</v>
      </c>
      <c r="Y519">
        <v>0</v>
      </c>
      <c r="Z519" t="s">
        <v>88</v>
      </c>
      <c r="AA519" t="s">
        <v>887</v>
      </c>
      <c r="AB519" t="s">
        <v>10</v>
      </c>
      <c r="AC519">
        <v>0</v>
      </c>
      <c r="AD519">
        <v>0</v>
      </c>
      <c r="AE519">
        <v>726182083741</v>
      </c>
      <c r="AF519">
        <v>559.82000000000005</v>
      </c>
      <c r="AG519">
        <v>0</v>
      </c>
      <c r="AH519">
        <v>64.12</v>
      </c>
      <c r="AI519">
        <v>623.94000000000005</v>
      </c>
      <c r="AJ519" t="s">
        <v>2</v>
      </c>
      <c r="AK519" t="s">
        <v>11</v>
      </c>
    </row>
    <row r="520" spans="1:37">
      <c r="A520">
        <v>257769</v>
      </c>
      <c r="B520" s="1">
        <v>45366</v>
      </c>
      <c r="C520" t="s">
        <v>1124</v>
      </c>
      <c r="D520" t="s">
        <v>1125</v>
      </c>
      <c r="E520" t="s">
        <v>855</v>
      </c>
      <c r="F520" t="s">
        <v>1126</v>
      </c>
      <c r="G520" t="s">
        <v>493</v>
      </c>
      <c r="H520">
        <v>21061</v>
      </c>
      <c r="I520" t="s">
        <v>1127</v>
      </c>
      <c r="J520" t="s">
        <v>1128</v>
      </c>
      <c r="K520" t="s">
        <v>2</v>
      </c>
      <c r="L520" t="s">
        <v>1129</v>
      </c>
      <c r="M520" t="s">
        <v>493</v>
      </c>
      <c r="N520">
        <v>20877</v>
      </c>
      <c r="O520" t="s">
        <v>1130</v>
      </c>
      <c r="P520" t="s">
        <v>1131</v>
      </c>
      <c r="Q520" t="s">
        <v>21</v>
      </c>
      <c r="R520">
        <v>415602</v>
      </c>
      <c r="S520" t="s">
        <v>84</v>
      </c>
      <c r="T520" s="2">
        <v>1</v>
      </c>
      <c r="U520">
        <v>0</v>
      </c>
      <c r="V520" t="s">
        <v>236</v>
      </c>
      <c r="W520">
        <v>0</v>
      </c>
      <c r="X520">
        <v>0</v>
      </c>
      <c r="Y520">
        <v>0</v>
      </c>
      <c r="Z520" t="s">
        <v>9</v>
      </c>
      <c r="AA520" t="s">
        <v>2</v>
      </c>
      <c r="AB520" t="s">
        <v>10</v>
      </c>
      <c r="AC520">
        <v>0</v>
      </c>
      <c r="AD520">
        <v>0</v>
      </c>
      <c r="AE520">
        <v>726182084016</v>
      </c>
      <c r="AF520">
        <v>258.18</v>
      </c>
      <c r="AG520">
        <v>0</v>
      </c>
      <c r="AH520">
        <v>50.51</v>
      </c>
      <c r="AI520">
        <v>308.69</v>
      </c>
      <c r="AJ520" t="s">
        <v>2</v>
      </c>
      <c r="AK520" t="s">
        <v>11</v>
      </c>
    </row>
    <row r="521" spans="1:37">
      <c r="A521">
        <v>257769</v>
      </c>
      <c r="B521" s="1">
        <v>45366</v>
      </c>
      <c r="C521" t="s">
        <v>1124</v>
      </c>
      <c r="D521" t="s">
        <v>1125</v>
      </c>
      <c r="E521" t="s">
        <v>855</v>
      </c>
      <c r="F521" t="s">
        <v>1126</v>
      </c>
      <c r="G521" t="s">
        <v>493</v>
      </c>
      <c r="H521">
        <v>21061</v>
      </c>
      <c r="I521" t="s">
        <v>1127</v>
      </c>
      <c r="J521" t="s">
        <v>1128</v>
      </c>
      <c r="K521" t="s">
        <v>2</v>
      </c>
      <c r="L521" t="s">
        <v>1129</v>
      </c>
      <c r="M521" t="s">
        <v>493</v>
      </c>
      <c r="N521">
        <v>20877</v>
      </c>
      <c r="O521" t="s">
        <v>1130</v>
      </c>
      <c r="P521" t="s">
        <v>1131</v>
      </c>
      <c r="Q521" t="s">
        <v>21</v>
      </c>
      <c r="R521">
        <v>415602</v>
      </c>
      <c r="S521" t="s">
        <v>84</v>
      </c>
      <c r="T521" s="2">
        <v>1</v>
      </c>
      <c r="U521">
        <v>0</v>
      </c>
      <c r="V521" t="s">
        <v>236</v>
      </c>
      <c r="W521">
        <v>1</v>
      </c>
      <c r="X521">
        <v>1</v>
      </c>
      <c r="Y521">
        <v>0</v>
      </c>
      <c r="Z521" t="s">
        <v>1132</v>
      </c>
      <c r="AA521" t="s">
        <v>1133</v>
      </c>
      <c r="AB521" t="s">
        <v>14</v>
      </c>
      <c r="AC521">
        <v>258.18029999999999</v>
      </c>
      <c r="AD521">
        <v>258.18</v>
      </c>
      <c r="AE521">
        <v>726182084016</v>
      </c>
      <c r="AF521">
        <v>258.18</v>
      </c>
      <c r="AG521">
        <v>0</v>
      </c>
      <c r="AH521">
        <v>50.51</v>
      </c>
      <c r="AI521">
        <v>308.69</v>
      </c>
      <c r="AJ521" t="s">
        <v>2</v>
      </c>
      <c r="AK521" t="s">
        <v>11</v>
      </c>
    </row>
    <row r="522" spans="1:37">
      <c r="A522">
        <v>257769</v>
      </c>
      <c r="B522" s="1">
        <v>45366</v>
      </c>
      <c r="C522" t="s">
        <v>1124</v>
      </c>
      <c r="D522" t="s">
        <v>1125</v>
      </c>
      <c r="E522" t="s">
        <v>855</v>
      </c>
      <c r="F522" t="s">
        <v>1126</v>
      </c>
      <c r="G522" t="s">
        <v>493</v>
      </c>
      <c r="H522">
        <v>21061</v>
      </c>
      <c r="I522" t="s">
        <v>1127</v>
      </c>
      <c r="J522" t="s">
        <v>1128</v>
      </c>
      <c r="K522" t="s">
        <v>2</v>
      </c>
      <c r="L522" t="s">
        <v>1129</v>
      </c>
      <c r="M522" t="s">
        <v>493</v>
      </c>
      <c r="N522">
        <v>20877</v>
      </c>
      <c r="O522" t="s">
        <v>1130</v>
      </c>
      <c r="P522" t="s">
        <v>1131</v>
      </c>
      <c r="Q522" t="s">
        <v>21</v>
      </c>
      <c r="R522">
        <v>415602</v>
      </c>
      <c r="S522" t="s">
        <v>84</v>
      </c>
      <c r="T522" s="2">
        <v>1</v>
      </c>
      <c r="U522">
        <v>0</v>
      </c>
      <c r="V522" t="s">
        <v>236</v>
      </c>
      <c r="W522">
        <v>0</v>
      </c>
      <c r="X522">
        <v>0</v>
      </c>
      <c r="Y522">
        <v>0</v>
      </c>
      <c r="Z522" t="s">
        <v>88</v>
      </c>
      <c r="AA522" t="s">
        <v>107</v>
      </c>
      <c r="AB522" t="s">
        <v>10</v>
      </c>
      <c r="AC522">
        <v>0</v>
      </c>
      <c r="AD522">
        <v>0</v>
      </c>
      <c r="AE522">
        <v>726182084016</v>
      </c>
      <c r="AF522">
        <v>258.18</v>
      </c>
      <c r="AG522">
        <v>0</v>
      </c>
      <c r="AH522">
        <v>50.51</v>
      </c>
      <c r="AI522">
        <v>308.69</v>
      </c>
      <c r="AJ522" t="s">
        <v>2</v>
      </c>
      <c r="AK522" t="s">
        <v>11</v>
      </c>
    </row>
    <row r="523" spans="1:37">
      <c r="A523">
        <v>257770</v>
      </c>
      <c r="B523" s="1">
        <v>45366</v>
      </c>
      <c r="C523" t="s">
        <v>241</v>
      </c>
      <c r="D523" t="s">
        <v>242</v>
      </c>
      <c r="E523" t="s">
        <v>2</v>
      </c>
      <c r="F523" t="s">
        <v>243</v>
      </c>
      <c r="G523" t="s">
        <v>60</v>
      </c>
      <c r="H523">
        <v>1821</v>
      </c>
      <c r="I523" t="s">
        <v>1134</v>
      </c>
      <c r="J523" t="s">
        <v>1135</v>
      </c>
      <c r="K523" t="s">
        <v>2</v>
      </c>
      <c r="L523" t="s">
        <v>1136</v>
      </c>
      <c r="M523" t="s">
        <v>60</v>
      </c>
      <c r="N523" t="s">
        <v>1137</v>
      </c>
      <c r="O523" t="s">
        <v>248</v>
      </c>
      <c r="P523">
        <v>2278205</v>
      </c>
      <c r="Q523" t="s">
        <v>38</v>
      </c>
      <c r="R523">
        <v>415466</v>
      </c>
      <c r="S523" t="s">
        <v>84</v>
      </c>
      <c r="T523" s="2">
        <v>1</v>
      </c>
      <c r="U523">
        <v>0</v>
      </c>
      <c r="V523" t="s">
        <v>153</v>
      </c>
      <c r="W523">
        <v>0</v>
      </c>
      <c r="X523">
        <v>0</v>
      </c>
      <c r="Y523">
        <v>0</v>
      </c>
      <c r="Z523" t="s">
        <v>9</v>
      </c>
      <c r="AA523" t="s">
        <v>2</v>
      </c>
      <c r="AB523" t="s">
        <v>10</v>
      </c>
      <c r="AC523">
        <v>0</v>
      </c>
      <c r="AD523">
        <v>0</v>
      </c>
      <c r="AE523">
        <v>726182083616</v>
      </c>
      <c r="AF523">
        <v>82.53</v>
      </c>
      <c r="AG523">
        <v>0</v>
      </c>
      <c r="AH523">
        <v>18.059999999999999</v>
      </c>
      <c r="AI523">
        <v>100.59</v>
      </c>
      <c r="AJ523" t="s">
        <v>2</v>
      </c>
      <c r="AK523" t="s">
        <v>11</v>
      </c>
    </row>
    <row r="524" spans="1:37">
      <c r="A524">
        <v>257770</v>
      </c>
      <c r="B524" s="1">
        <v>45366</v>
      </c>
      <c r="C524" t="s">
        <v>241</v>
      </c>
      <c r="D524" t="s">
        <v>242</v>
      </c>
      <c r="E524" t="s">
        <v>2</v>
      </c>
      <c r="F524" t="s">
        <v>243</v>
      </c>
      <c r="G524" t="s">
        <v>60</v>
      </c>
      <c r="H524">
        <v>1821</v>
      </c>
      <c r="I524" t="s">
        <v>1134</v>
      </c>
      <c r="J524" t="s">
        <v>1135</v>
      </c>
      <c r="K524" t="s">
        <v>2</v>
      </c>
      <c r="L524" t="s">
        <v>1136</v>
      </c>
      <c r="M524" t="s">
        <v>60</v>
      </c>
      <c r="N524" t="s">
        <v>1137</v>
      </c>
      <c r="O524" t="s">
        <v>248</v>
      </c>
      <c r="P524">
        <v>2278205</v>
      </c>
      <c r="Q524" t="s">
        <v>38</v>
      </c>
      <c r="R524">
        <v>415466</v>
      </c>
      <c r="S524" t="s">
        <v>84</v>
      </c>
      <c r="T524" s="2">
        <v>1</v>
      </c>
      <c r="U524">
        <v>0</v>
      </c>
      <c r="V524" t="s">
        <v>153</v>
      </c>
      <c r="W524">
        <v>1</v>
      </c>
      <c r="X524">
        <v>1</v>
      </c>
      <c r="Y524">
        <v>0</v>
      </c>
      <c r="Z524" t="s">
        <v>1138</v>
      </c>
      <c r="AA524" t="s">
        <v>1139</v>
      </c>
      <c r="AB524" t="s">
        <v>14</v>
      </c>
      <c r="AC524">
        <v>82.53</v>
      </c>
      <c r="AD524">
        <v>82.53</v>
      </c>
      <c r="AE524">
        <v>726182083616</v>
      </c>
      <c r="AF524">
        <v>82.53</v>
      </c>
      <c r="AG524">
        <v>0</v>
      </c>
      <c r="AH524">
        <v>18.059999999999999</v>
      </c>
      <c r="AI524">
        <v>100.59</v>
      </c>
      <c r="AJ524" t="s">
        <v>2</v>
      </c>
      <c r="AK524" t="s">
        <v>11</v>
      </c>
    </row>
    <row r="525" spans="1:37">
      <c r="A525">
        <v>257770</v>
      </c>
      <c r="B525" s="1">
        <v>45366</v>
      </c>
      <c r="C525" t="s">
        <v>241</v>
      </c>
      <c r="D525" t="s">
        <v>242</v>
      </c>
      <c r="E525" t="s">
        <v>2</v>
      </c>
      <c r="F525" t="s">
        <v>243</v>
      </c>
      <c r="G525" t="s">
        <v>60</v>
      </c>
      <c r="H525">
        <v>1821</v>
      </c>
      <c r="I525" t="s">
        <v>1134</v>
      </c>
      <c r="J525" t="s">
        <v>1135</v>
      </c>
      <c r="K525" t="s">
        <v>2</v>
      </c>
      <c r="L525" t="s">
        <v>1136</v>
      </c>
      <c r="M525" t="s">
        <v>60</v>
      </c>
      <c r="N525" t="s">
        <v>1137</v>
      </c>
      <c r="O525" t="s">
        <v>248</v>
      </c>
      <c r="P525">
        <v>2278205</v>
      </c>
      <c r="Q525" t="s">
        <v>38</v>
      </c>
      <c r="R525">
        <v>415466</v>
      </c>
      <c r="S525" t="s">
        <v>84</v>
      </c>
      <c r="T525" s="2">
        <v>1</v>
      </c>
      <c r="U525">
        <v>0</v>
      </c>
      <c r="V525" t="s">
        <v>153</v>
      </c>
      <c r="W525">
        <v>0</v>
      </c>
      <c r="X525">
        <v>0</v>
      </c>
      <c r="Y525">
        <v>0</v>
      </c>
      <c r="Z525" t="s">
        <v>88</v>
      </c>
      <c r="AA525" t="s">
        <v>144</v>
      </c>
      <c r="AB525" t="s">
        <v>10</v>
      </c>
      <c r="AC525">
        <v>0</v>
      </c>
      <c r="AD525">
        <v>0</v>
      </c>
      <c r="AE525">
        <v>726182083616</v>
      </c>
      <c r="AF525">
        <v>82.53</v>
      </c>
      <c r="AG525">
        <v>0</v>
      </c>
      <c r="AH525">
        <v>18.059999999999999</v>
      </c>
      <c r="AI525">
        <v>100.59</v>
      </c>
      <c r="AJ525" t="s">
        <v>2</v>
      </c>
      <c r="AK525" t="s">
        <v>11</v>
      </c>
    </row>
    <row r="526" spans="1:37">
      <c r="A526">
        <v>257771</v>
      </c>
      <c r="B526" s="1">
        <v>45366</v>
      </c>
      <c r="C526" t="s">
        <v>634</v>
      </c>
      <c r="D526" t="s">
        <v>635</v>
      </c>
      <c r="E526" t="s">
        <v>2</v>
      </c>
      <c r="F526" t="s">
        <v>636</v>
      </c>
      <c r="G526" t="s">
        <v>19</v>
      </c>
      <c r="H526">
        <v>7072</v>
      </c>
      <c r="I526" t="s">
        <v>1140</v>
      </c>
      <c r="J526" t="s">
        <v>1141</v>
      </c>
      <c r="K526" t="s">
        <v>2</v>
      </c>
      <c r="L526" t="s">
        <v>1142</v>
      </c>
      <c r="M526" t="s">
        <v>19</v>
      </c>
      <c r="N526" t="s">
        <v>1143</v>
      </c>
      <c r="O526" t="s">
        <v>641</v>
      </c>
      <c r="P526">
        <v>2278343</v>
      </c>
      <c r="Q526" t="s">
        <v>38</v>
      </c>
      <c r="R526">
        <v>415538</v>
      </c>
      <c r="S526" t="s">
        <v>84</v>
      </c>
      <c r="T526" s="2">
        <v>1</v>
      </c>
      <c r="U526">
        <v>0</v>
      </c>
      <c r="V526" t="s">
        <v>153</v>
      </c>
      <c r="W526">
        <v>0</v>
      </c>
      <c r="X526">
        <v>0</v>
      </c>
      <c r="Y526">
        <v>0</v>
      </c>
      <c r="Z526" t="s">
        <v>9</v>
      </c>
      <c r="AA526" t="s">
        <v>2</v>
      </c>
      <c r="AB526" t="s">
        <v>10</v>
      </c>
      <c r="AC526">
        <v>0</v>
      </c>
      <c r="AD526">
        <v>0</v>
      </c>
      <c r="AE526">
        <v>726182083557</v>
      </c>
      <c r="AF526">
        <v>157.57</v>
      </c>
      <c r="AG526">
        <v>0</v>
      </c>
      <c r="AH526">
        <v>16.38</v>
      </c>
      <c r="AI526">
        <v>173.95</v>
      </c>
      <c r="AJ526" t="s">
        <v>2</v>
      </c>
      <c r="AK526" t="s">
        <v>11</v>
      </c>
    </row>
    <row r="527" spans="1:37">
      <c r="A527">
        <v>257771</v>
      </c>
      <c r="B527" s="1">
        <v>45366</v>
      </c>
      <c r="C527" t="s">
        <v>634</v>
      </c>
      <c r="D527" t="s">
        <v>635</v>
      </c>
      <c r="E527" t="s">
        <v>2</v>
      </c>
      <c r="F527" t="s">
        <v>636</v>
      </c>
      <c r="G527" t="s">
        <v>19</v>
      </c>
      <c r="H527">
        <v>7072</v>
      </c>
      <c r="I527" t="s">
        <v>1140</v>
      </c>
      <c r="J527" t="s">
        <v>1141</v>
      </c>
      <c r="K527" t="s">
        <v>2</v>
      </c>
      <c r="L527" t="s">
        <v>1142</v>
      </c>
      <c r="M527" t="s">
        <v>19</v>
      </c>
      <c r="N527" t="s">
        <v>1143</v>
      </c>
      <c r="O527" t="s">
        <v>641</v>
      </c>
      <c r="P527">
        <v>2278343</v>
      </c>
      <c r="Q527" t="s">
        <v>38</v>
      </c>
      <c r="R527">
        <v>415538</v>
      </c>
      <c r="S527" t="s">
        <v>84</v>
      </c>
      <c r="T527" s="2">
        <v>1</v>
      </c>
      <c r="U527">
        <v>0</v>
      </c>
      <c r="V527" t="s">
        <v>153</v>
      </c>
      <c r="W527">
        <v>1</v>
      </c>
      <c r="X527">
        <v>1</v>
      </c>
      <c r="Y527">
        <v>0</v>
      </c>
      <c r="Z527" t="s">
        <v>1144</v>
      </c>
      <c r="AA527" t="s">
        <v>1145</v>
      </c>
      <c r="AB527" t="s">
        <v>14</v>
      </c>
      <c r="AC527">
        <v>157.57</v>
      </c>
      <c r="AD527">
        <v>157.57</v>
      </c>
      <c r="AE527">
        <v>726182083557</v>
      </c>
      <c r="AF527">
        <v>157.57</v>
      </c>
      <c r="AG527">
        <v>0</v>
      </c>
      <c r="AH527">
        <v>16.38</v>
      </c>
      <c r="AI527">
        <v>173.95</v>
      </c>
      <c r="AJ527" t="s">
        <v>2</v>
      </c>
      <c r="AK527" t="s">
        <v>11</v>
      </c>
    </row>
    <row r="528" spans="1:37">
      <c r="A528">
        <v>257771</v>
      </c>
      <c r="B528" s="1">
        <v>45366</v>
      </c>
      <c r="C528" t="s">
        <v>634</v>
      </c>
      <c r="D528" t="s">
        <v>635</v>
      </c>
      <c r="E528" t="s">
        <v>2</v>
      </c>
      <c r="F528" t="s">
        <v>636</v>
      </c>
      <c r="G528" t="s">
        <v>19</v>
      </c>
      <c r="H528">
        <v>7072</v>
      </c>
      <c r="I528" t="s">
        <v>1140</v>
      </c>
      <c r="J528" t="s">
        <v>1141</v>
      </c>
      <c r="K528" t="s">
        <v>2</v>
      </c>
      <c r="L528" t="s">
        <v>1142</v>
      </c>
      <c r="M528" t="s">
        <v>19</v>
      </c>
      <c r="N528" t="s">
        <v>1143</v>
      </c>
      <c r="O528" t="s">
        <v>641</v>
      </c>
      <c r="P528">
        <v>2278343</v>
      </c>
      <c r="Q528" t="s">
        <v>38</v>
      </c>
      <c r="R528">
        <v>415538</v>
      </c>
      <c r="S528" t="s">
        <v>84</v>
      </c>
      <c r="T528" s="2">
        <v>1</v>
      </c>
      <c r="U528">
        <v>0</v>
      </c>
      <c r="V528" t="s">
        <v>153</v>
      </c>
      <c r="W528">
        <v>0</v>
      </c>
      <c r="X528">
        <v>0</v>
      </c>
      <c r="Y528">
        <v>0</v>
      </c>
      <c r="Z528" t="s">
        <v>88</v>
      </c>
      <c r="AA528" t="s">
        <v>116</v>
      </c>
      <c r="AB528" t="s">
        <v>10</v>
      </c>
      <c r="AC528">
        <v>0</v>
      </c>
      <c r="AD528">
        <v>0</v>
      </c>
      <c r="AE528">
        <v>726182083557</v>
      </c>
      <c r="AF528">
        <v>157.57</v>
      </c>
      <c r="AG528">
        <v>0</v>
      </c>
      <c r="AH528">
        <v>16.38</v>
      </c>
      <c r="AI528">
        <v>173.95</v>
      </c>
      <c r="AJ528" t="s">
        <v>2</v>
      </c>
      <c r="AK528" t="s">
        <v>11</v>
      </c>
    </row>
    <row r="529" spans="1:37">
      <c r="A529">
        <v>257772</v>
      </c>
      <c r="B529" s="1">
        <v>45366</v>
      </c>
      <c r="C529" t="s">
        <v>815</v>
      </c>
      <c r="D529" t="s">
        <v>816</v>
      </c>
      <c r="E529" t="s">
        <v>817</v>
      </c>
      <c r="F529" t="s">
        <v>818</v>
      </c>
      <c r="G529" t="s">
        <v>587</v>
      </c>
      <c r="H529">
        <v>46268</v>
      </c>
      <c r="I529" t="s">
        <v>1146</v>
      </c>
      <c r="J529" t="s">
        <v>1147</v>
      </c>
      <c r="K529" t="s">
        <v>2</v>
      </c>
      <c r="L529" t="s">
        <v>1148</v>
      </c>
      <c r="M529" t="s">
        <v>587</v>
      </c>
      <c r="N529" t="s">
        <v>1149</v>
      </c>
      <c r="O529" t="s">
        <v>823</v>
      </c>
      <c r="P529">
        <v>2278323</v>
      </c>
      <c r="Q529" t="s">
        <v>38</v>
      </c>
      <c r="R529">
        <v>415529</v>
      </c>
      <c r="S529" t="s">
        <v>84</v>
      </c>
      <c r="T529" s="2">
        <v>1</v>
      </c>
      <c r="U529">
        <v>0</v>
      </c>
      <c r="V529" t="s">
        <v>153</v>
      </c>
      <c r="W529">
        <v>0</v>
      </c>
      <c r="X529">
        <v>0</v>
      </c>
      <c r="Y529">
        <v>0</v>
      </c>
      <c r="Z529" t="s">
        <v>9</v>
      </c>
      <c r="AA529" t="s">
        <v>2</v>
      </c>
      <c r="AB529" t="s">
        <v>10</v>
      </c>
      <c r="AC529">
        <v>0</v>
      </c>
      <c r="AD529">
        <v>0</v>
      </c>
      <c r="AE529">
        <v>726182084108</v>
      </c>
      <c r="AF529">
        <v>209.04</v>
      </c>
      <c r="AG529">
        <v>0</v>
      </c>
      <c r="AH529">
        <v>39.79</v>
      </c>
      <c r="AI529">
        <v>248.83</v>
      </c>
      <c r="AJ529" t="s">
        <v>2</v>
      </c>
      <c r="AK529" t="s">
        <v>11</v>
      </c>
    </row>
    <row r="530" spans="1:37">
      <c r="A530">
        <v>257772</v>
      </c>
      <c r="B530" s="1">
        <v>45366</v>
      </c>
      <c r="C530" t="s">
        <v>815</v>
      </c>
      <c r="D530" t="s">
        <v>816</v>
      </c>
      <c r="E530" t="s">
        <v>817</v>
      </c>
      <c r="F530" t="s">
        <v>818</v>
      </c>
      <c r="G530" t="s">
        <v>587</v>
      </c>
      <c r="H530">
        <v>46268</v>
      </c>
      <c r="I530" t="s">
        <v>1146</v>
      </c>
      <c r="J530" t="s">
        <v>1147</v>
      </c>
      <c r="K530" t="s">
        <v>2</v>
      </c>
      <c r="L530" t="s">
        <v>1148</v>
      </c>
      <c r="M530" t="s">
        <v>587</v>
      </c>
      <c r="N530" t="s">
        <v>1149</v>
      </c>
      <c r="O530" t="s">
        <v>823</v>
      </c>
      <c r="P530">
        <v>2278323</v>
      </c>
      <c r="Q530" t="s">
        <v>38</v>
      </c>
      <c r="R530">
        <v>415529</v>
      </c>
      <c r="S530" t="s">
        <v>84</v>
      </c>
      <c r="T530" s="2">
        <v>1</v>
      </c>
      <c r="U530">
        <v>0</v>
      </c>
      <c r="V530" t="s">
        <v>153</v>
      </c>
      <c r="W530">
        <v>1</v>
      </c>
      <c r="X530">
        <v>1</v>
      </c>
      <c r="Y530">
        <v>0</v>
      </c>
      <c r="Z530" t="s">
        <v>1150</v>
      </c>
      <c r="AA530" t="s">
        <v>1151</v>
      </c>
      <c r="AB530" t="s">
        <v>14</v>
      </c>
      <c r="AC530">
        <v>209.04</v>
      </c>
      <c r="AD530">
        <v>209.04</v>
      </c>
      <c r="AE530">
        <v>726182084108</v>
      </c>
      <c r="AF530">
        <v>209.04</v>
      </c>
      <c r="AG530">
        <v>0</v>
      </c>
      <c r="AH530">
        <v>39.79</v>
      </c>
      <c r="AI530">
        <v>248.83</v>
      </c>
      <c r="AJ530" t="s">
        <v>2</v>
      </c>
      <c r="AK530" t="s">
        <v>11</v>
      </c>
    </row>
    <row r="531" spans="1:37">
      <c r="A531">
        <v>257772</v>
      </c>
      <c r="B531" s="1">
        <v>45366</v>
      </c>
      <c r="C531" t="s">
        <v>815</v>
      </c>
      <c r="D531" t="s">
        <v>816</v>
      </c>
      <c r="E531" t="s">
        <v>817</v>
      </c>
      <c r="F531" t="s">
        <v>818</v>
      </c>
      <c r="G531" t="s">
        <v>587</v>
      </c>
      <c r="H531">
        <v>46268</v>
      </c>
      <c r="I531" t="s">
        <v>1146</v>
      </c>
      <c r="J531" t="s">
        <v>1147</v>
      </c>
      <c r="K531" t="s">
        <v>2</v>
      </c>
      <c r="L531" t="s">
        <v>1148</v>
      </c>
      <c r="M531" t="s">
        <v>587</v>
      </c>
      <c r="N531" t="s">
        <v>1149</v>
      </c>
      <c r="O531" t="s">
        <v>823</v>
      </c>
      <c r="P531">
        <v>2278323</v>
      </c>
      <c r="Q531" t="s">
        <v>38</v>
      </c>
      <c r="R531">
        <v>415529</v>
      </c>
      <c r="S531" t="s">
        <v>84</v>
      </c>
      <c r="T531" s="2">
        <v>1</v>
      </c>
      <c r="U531">
        <v>0</v>
      </c>
      <c r="V531" t="s">
        <v>153</v>
      </c>
      <c r="W531">
        <v>0</v>
      </c>
      <c r="X531">
        <v>0</v>
      </c>
      <c r="Y531">
        <v>0</v>
      </c>
      <c r="Z531" t="s">
        <v>88</v>
      </c>
      <c r="AA531" t="s">
        <v>251</v>
      </c>
      <c r="AB531" t="s">
        <v>10</v>
      </c>
      <c r="AC531">
        <v>0</v>
      </c>
      <c r="AD531">
        <v>0</v>
      </c>
      <c r="AE531">
        <v>726182084108</v>
      </c>
      <c r="AF531">
        <v>209.04</v>
      </c>
      <c r="AG531">
        <v>0</v>
      </c>
      <c r="AH531">
        <v>39.79</v>
      </c>
      <c r="AI531">
        <v>248.83</v>
      </c>
      <c r="AJ531" t="s">
        <v>2</v>
      </c>
      <c r="AK531" t="s">
        <v>11</v>
      </c>
    </row>
    <row r="532" spans="1:37">
      <c r="A532">
        <v>257773</v>
      </c>
      <c r="B532" s="1">
        <v>45366</v>
      </c>
      <c r="C532" t="s">
        <v>1152</v>
      </c>
      <c r="D532" t="s">
        <v>1153</v>
      </c>
      <c r="E532" t="s">
        <v>2</v>
      </c>
      <c r="F532" t="s">
        <v>1154</v>
      </c>
      <c r="G532" t="s">
        <v>579</v>
      </c>
      <c r="H532">
        <v>44125</v>
      </c>
      <c r="I532" t="s">
        <v>1155</v>
      </c>
      <c r="J532" t="s">
        <v>1156</v>
      </c>
      <c r="K532" t="s">
        <v>2</v>
      </c>
      <c r="L532" t="s">
        <v>1157</v>
      </c>
      <c r="M532" t="s">
        <v>103</v>
      </c>
      <c r="N532">
        <v>11709</v>
      </c>
      <c r="O532" t="s">
        <v>1158</v>
      </c>
      <c r="P532">
        <v>21128</v>
      </c>
      <c r="Q532" t="s">
        <v>6</v>
      </c>
      <c r="R532">
        <v>415548</v>
      </c>
      <c r="S532" t="s">
        <v>987</v>
      </c>
      <c r="T532" s="2">
        <v>3</v>
      </c>
      <c r="U532">
        <v>0</v>
      </c>
      <c r="V532" t="s">
        <v>260</v>
      </c>
      <c r="W532">
        <v>0</v>
      </c>
      <c r="X532">
        <v>0</v>
      </c>
      <c r="Y532">
        <v>0</v>
      </c>
      <c r="Z532" t="s">
        <v>9</v>
      </c>
      <c r="AA532" t="s">
        <v>2</v>
      </c>
      <c r="AB532" t="s">
        <v>10</v>
      </c>
      <c r="AC532">
        <v>0</v>
      </c>
      <c r="AD532">
        <v>0</v>
      </c>
      <c r="AE532" t="s">
        <v>1159</v>
      </c>
      <c r="AF532">
        <v>1089.73</v>
      </c>
      <c r="AG532">
        <v>0</v>
      </c>
      <c r="AH532">
        <v>61.98</v>
      </c>
      <c r="AI532">
        <v>1151.71</v>
      </c>
      <c r="AJ532" t="s">
        <v>2</v>
      </c>
      <c r="AK532" t="s">
        <v>11</v>
      </c>
    </row>
    <row r="533" spans="1:37">
      <c r="A533">
        <v>257773</v>
      </c>
      <c r="B533" s="1">
        <v>45366</v>
      </c>
      <c r="C533" t="s">
        <v>1152</v>
      </c>
      <c r="D533" t="s">
        <v>1153</v>
      </c>
      <c r="E533" t="s">
        <v>2</v>
      </c>
      <c r="F533" t="s">
        <v>1154</v>
      </c>
      <c r="G533" t="s">
        <v>579</v>
      </c>
      <c r="H533">
        <v>44125</v>
      </c>
      <c r="I533" t="s">
        <v>1155</v>
      </c>
      <c r="J533" t="s">
        <v>1156</v>
      </c>
      <c r="K533" t="s">
        <v>2</v>
      </c>
      <c r="L533" t="s">
        <v>1157</v>
      </c>
      <c r="M533" t="s">
        <v>103</v>
      </c>
      <c r="N533">
        <v>11709</v>
      </c>
      <c r="O533" t="s">
        <v>1158</v>
      </c>
      <c r="P533">
        <v>21128</v>
      </c>
      <c r="Q533" t="s">
        <v>6</v>
      </c>
      <c r="R533">
        <v>415548</v>
      </c>
      <c r="S533" t="s">
        <v>987</v>
      </c>
      <c r="T533" s="2">
        <v>3</v>
      </c>
      <c r="U533">
        <v>0</v>
      </c>
      <c r="V533" t="s">
        <v>260</v>
      </c>
      <c r="W533">
        <v>1</v>
      </c>
      <c r="X533">
        <v>1</v>
      </c>
      <c r="Y533">
        <v>0</v>
      </c>
      <c r="Z533" t="s">
        <v>1160</v>
      </c>
      <c r="AA533" t="s">
        <v>1161</v>
      </c>
      <c r="AB533" t="s">
        <v>14</v>
      </c>
      <c r="AC533">
        <v>750.82600000000002</v>
      </c>
      <c r="AD533">
        <v>750.83</v>
      </c>
      <c r="AE533" t="s">
        <v>1159</v>
      </c>
      <c r="AF533">
        <v>1089.73</v>
      </c>
      <c r="AG533">
        <v>0</v>
      </c>
      <c r="AH533">
        <v>61.98</v>
      </c>
      <c r="AI533">
        <v>1151.71</v>
      </c>
      <c r="AJ533" t="s">
        <v>2</v>
      </c>
      <c r="AK533" t="s">
        <v>11</v>
      </c>
    </row>
    <row r="534" spans="1:37">
      <c r="A534">
        <v>257773</v>
      </c>
      <c r="B534" s="1">
        <v>45366</v>
      </c>
      <c r="C534" t="s">
        <v>1152</v>
      </c>
      <c r="D534" t="s">
        <v>1153</v>
      </c>
      <c r="E534" t="s">
        <v>2</v>
      </c>
      <c r="F534" t="s">
        <v>1154</v>
      </c>
      <c r="G534" t="s">
        <v>579</v>
      </c>
      <c r="H534">
        <v>44125</v>
      </c>
      <c r="I534" t="s">
        <v>1155</v>
      </c>
      <c r="J534" t="s">
        <v>1156</v>
      </c>
      <c r="K534" t="s">
        <v>2</v>
      </c>
      <c r="L534" t="s">
        <v>1157</v>
      </c>
      <c r="M534" t="s">
        <v>103</v>
      </c>
      <c r="N534">
        <v>11709</v>
      </c>
      <c r="O534" t="s">
        <v>1158</v>
      </c>
      <c r="P534">
        <v>21128</v>
      </c>
      <c r="Q534" t="s">
        <v>6</v>
      </c>
      <c r="R534">
        <v>415548</v>
      </c>
      <c r="S534" t="s">
        <v>987</v>
      </c>
      <c r="T534" s="2">
        <v>3</v>
      </c>
      <c r="U534">
        <v>0</v>
      </c>
      <c r="V534" t="s">
        <v>260</v>
      </c>
      <c r="W534">
        <v>0</v>
      </c>
      <c r="X534">
        <v>0</v>
      </c>
      <c r="Y534">
        <v>0</v>
      </c>
      <c r="Z534" t="s">
        <v>88</v>
      </c>
      <c r="AA534" t="s">
        <v>116</v>
      </c>
      <c r="AB534" t="s">
        <v>10</v>
      </c>
      <c r="AC534">
        <v>0</v>
      </c>
      <c r="AD534">
        <v>0</v>
      </c>
      <c r="AE534" t="s">
        <v>1159</v>
      </c>
      <c r="AF534">
        <v>1089.73</v>
      </c>
      <c r="AG534">
        <v>0</v>
      </c>
      <c r="AH534">
        <v>61.98</v>
      </c>
      <c r="AI534">
        <v>1151.71</v>
      </c>
      <c r="AJ534" t="s">
        <v>2</v>
      </c>
      <c r="AK534" t="s">
        <v>11</v>
      </c>
    </row>
    <row r="535" spans="1:37">
      <c r="A535">
        <v>257773</v>
      </c>
      <c r="B535" s="1">
        <v>45366</v>
      </c>
      <c r="C535" t="s">
        <v>1152</v>
      </c>
      <c r="D535" t="s">
        <v>1153</v>
      </c>
      <c r="E535" t="s">
        <v>2</v>
      </c>
      <c r="F535" t="s">
        <v>1154</v>
      </c>
      <c r="G535" t="s">
        <v>579</v>
      </c>
      <c r="H535">
        <v>44125</v>
      </c>
      <c r="I535" t="s">
        <v>1155</v>
      </c>
      <c r="J535" t="s">
        <v>1156</v>
      </c>
      <c r="K535" t="s">
        <v>2</v>
      </c>
      <c r="L535" t="s">
        <v>1157</v>
      </c>
      <c r="M535" t="s">
        <v>103</v>
      </c>
      <c r="N535">
        <v>11709</v>
      </c>
      <c r="O535" t="s">
        <v>1158</v>
      </c>
      <c r="P535">
        <v>21128</v>
      </c>
      <c r="Q535" t="s">
        <v>6</v>
      </c>
      <c r="R535">
        <v>415548</v>
      </c>
      <c r="S535" t="s">
        <v>987</v>
      </c>
      <c r="T535" s="2">
        <v>3</v>
      </c>
      <c r="U535">
        <v>0</v>
      </c>
      <c r="V535" t="s">
        <v>260</v>
      </c>
      <c r="W535">
        <v>2</v>
      </c>
      <c r="X535">
        <v>2</v>
      </c>
      <c r="Y535">
        <v>0</v>
      </c>
      <c r="Z535" t="s">
        <v>1162</v>
      </c>
      <c r="AA535" t="s">
        <v>1163</v>
      </c>
      <c r="AB535" t="s">
        <v>14</v>
      </c>
      <c r="AC535">
        <v>169.44990000000001</v>
      </c>
      <c r="AD535">
        <v>338.9</v>
      </c>
      <c r="AE535" t="s">
        <v>1159</v>
      </c>
      <c r="AF535">
        <v>1089.73</v>
      </c>
      <c r="AG535">
        <v>0</v>
      </c>
      <c r="AH535">
        <v>61.98</v>
      </c>
      <c r="AI535">
        <v>1151.71</v>
      </c>
      <c r="AJ535" t="s">
        <v>2</v>
      </c>
      <c r="AK535" t="s">
        <v>11</v>
      </c>
    </row>
    <row r="536" spans="1:37">
      <c r="A536">
        <v>257773</v>
      </c>
      <c r="B536" s="1">
        <v>45366</v>
      </c>
      <c r="C536" t="s">
        <v>1152</v>
      </c>
      <c r="D536" t="s">
        <v>1153</v>
      </c>
      <c r="E536" t="s">
        <v>2</v>
      </c>
      <c r="F536" t="s">
        <v>1154</v>
      </c>
      <c r="G536" t="s">
        <v>579</v>
      </c>
      <c r="H536">
        <v>44125</v>
      </c>
      <c r="I536" t="s">
        <v>1155</v>
      </c>
      <c r="J536" t="s">
        <v>1156</v>
      </c>
      <c r="K536" t="s">
        <v>2</v>
      </c>
      <c r="L536" t="s">
        <v>1157</v>
      </c>
      <c r="M536" t="s">
        <v>103</v>
      </c>
      <c r="N536">
        <v>11709</v>
      </c>
      <c r="O536" t="s">
        <v>1158</v>
      </c>
      <c r="P536">
        <v>21128</v>
      </c>
      <c r="Q536" t="s">
        <v>6</v>
      </c>
      <c r="R536">
        <v>415548</v>
      </c>
      <c r="S536" t="s">
        <v>987</v>
      </c>
      <c r="T536" s="2">
        <v>3</v>
      </c>
      <c r="U536">
        <v>0</v>
      </c>
      <c r="V536" t="s">
        <v>260</v>
      </c>
      <c r="W536">
        <v>0</v>
      </c>
      <c r="X536">
        <v>0</v>
      </c>
      <c r="Y536">
        <v>0</v>
      </c>
      <c r="Z536" t="s">
        <v>88</v>
      </c>
      <c r="AA536" t="s">
        <v>116</v>
      </c>
      <c r="AB536" t="s">
        <v>10</v>
      </c>
      <c r="AC536">
        <v>0</v>
      </c>
      <c r="AD536">
        <v>0</v>
      </c>
      <c r="AE536" t="s">
        <v>1159</v>
      </c>
      <c r="AF536">
        <v>1089.73</v>
      </c>
      <c r="AG536">
        <v>0</v>
      </c>
      <c r="AH536">
        <v>61.98</v>
      </c>
      <c r="AI536">
        <v>1151.71</v>
      </c>
      <c r="AJ536" t="s">
        <v>2</v>
      </c>
      <c r="AK536" t="s">
        <v>11</v>
      </c>
    </row>
    <row r="537" spans="1:37">
      <c r="A537">
        <v>257774</v>
      </c>
      <c r="B537" s="1">
        <v>45366</v>
      </c>
      <c r="C537" t="s">
        <v>1164</v>
      </c>
      <c r="D537" t="s">
        <v>1165</v>
      </c>
      <c r="E537" t="s">
        <v>2</v>
      </c>
      <c r="F537" t="s">
        <v>1166</v>
      </c>
      <c r="G537" t="s">
        <v>731</v>
      </c>
      <c r="H537">
        <v>19465</v>
      </c>
      <c r="I537" t="s">
        <v>1167</v>
      </c>
      <c r="J537" t="s">
        <v>1168</v>
      </c>
      <c r="K537" t="s">
        <v>2</v>
      </c>
      <c r="L537" t="s">
        <v>1169</v>
      </c>
      <c r="M537" t="s">
        <v>731</v>
      </c>
      <c r="N537">
        <v>18104</v>
      </c>
      <c r="O537" t="s">
        <v>1170</v>
      </c>
      <c r="P537">
        <v>39917</v>
      </c>
      <c r="Q537" t="s">
        <v>21</v>
      </c>
      <c r="R537">
        <v>415581</v>
      </c>
      <c r="S537" t="s">
        <v>987</v>
      </c>
      <c r="T537" s="2">
        <v>1</v>
      </c>
      <c r="U537">
        <v>0</v>
      </c>
      <c r="V537" t="s">
        <v>260</v>
      </c>
      <c r="W537">
        <v>0</v>
      </c>
      <c r="X537">
        <v>0</v>
      </c>
      <c r="Y537">
        <v>0</v>
      </c>
      <c r="Z537" t="s">
        <v>9</v>
      </c>
      <c r="AA537" t="s">
        <v>2</v>
      </c>
      <c r="AB537" t="s">
        <v>10</v>
      </c>
      <c r="AC537">
        <v>0</v>
      </c>
      <c r="AD537">
        <v>0</v>
      </c>
      <c r="AE537" t="s">
        <v>1171</v>
      </c>
      <c r="AF537">
        <v>462.55</v>
      </c>
      <c r="AG537">
        <v>0</v>
      </c>
      <c r="AH537">
        <v>60.54</v>
      </c>
      <c r="AI537">
        <v>523.09</v>
      </c>
      <c r="AJ537" t="s">
        <v>2</v>
      </c>
      <c r="AK537" t="s">
        <v>11</v>
      </c>
    </row>
    <row r="538" spans="1:37">
      <c r="A538">
        <v>257774</v>
      </c>
      <c r="B538" s="1">
        <v>45366</v>
      </c>
      <c r="C538" t="s">
        <v>1164</v>
      </c>
      <c r="D538" t="s">
        <v>1165</v>
      </c>
      <c r="E538" t="s">
        <v>2</v>
      </c>
      <c r="F538" t="s">
        <v>1166</v>
      </c>
      <c r="G538" t="s">
        <v>731</v>
      </c>
      <c r="H538">
        <v>19465</v>
      </c>
      <c r="I538" t="s">
        <v>1167</v>
      </c>
      <c r="J538" t="s">
        <v>1168</v>
      </c>
      <c r="K538" t="s">
        <v>2</v>
      </c>
      <c r="L538" t="s">
        <v>1169</v>
      </c>
      <c r="M538" t="s">
        <v>731</v>
      </c>
      <c r="N538">
        <v>18104</v>
      </c>
      <c r="O538" t="s">
        <v>1170</v>
      </c>
      <c r="P538">
        <v>39917</v>
      </c>
      <c r="Q538" t="s">
        <v>21</v>
      </c>
      <c r="R538">
        <v>415581</v>
      </c>
      <c r="S538" t="s">
        <v>987</v>
      </c>
      <c r="T538" s="2">
        <v>1</v>
      </c>
      <c r="U538">
        <v>0</v>
      </c>
      <c r="V538" t="s">
        <v>260</v>
      </c>
      <c r="W538">
        <v>1</v>
      </c>
      <c r="X538">
        <v>1</v>
      </c>
      <c r="Y538">
        <v>0</v>
      </c>
      <c r="Z538" t="s">
        <v>1172</v>
      </c>
      <c r="AA538" t="s">
        <v>1173</v>
      </c>
      <c r="AB538" t="s">
        <v>14</v>
      </c>
      <c r="AC538">
        <v>462.54520000000002</v>
      </c>
      <c r="AD538">
        <v>462.55</v>
      </c>
      <c r="AE538" t="s">
        <v>1171</v>
      </c>
      <c r="AF538">
        <v>462.55</v>
      </c>
      <c r="AG538">
        <v>0</v>
      </c>
      <c r="AH538">
        <v>60.54</v>
      </c>
      <c r="AI538">
        <v>523.09</v>
      </c>
      <c r="AJ538" t="s">
        <v>2</v>
      </c>
      <c r="AK538" t="s">
        <v>11</v>
      </c>
    </row>
    <row r="539" spans="1:37">
      <c r="A539">
        <v>257774</v>
      </c>
      <c r="B539" s="1">
        <v>45366</v>
      </c>
      <c r="C539" t="s">
        <v>1164</v>
      </c>
      <c r="D539" t="s">
        <v>1165</v>
      </c>
      <c r="E539" t="s">
        <v>2</v>
      </c>
      <c r="F539" t="s">
        <v>1166</v>
      </c>
      <c r="G539" t="s">
        <v>731</v>
      </c>
      <c r="H539">
        <v>19465</v>
      </c>
      <c r="I539" t="s">
        <v>1167</v>
      </c>
      <c r="J539" t="s">
        <v>1168</v>
      </c>
      <c r="K539" t="s">
        <v>2</v>
      </c>
      <c r="L539" t="s">
        <v>1169</v>
      </c>
      <c r="M539" t="s">
        <v>731</v>
      </c>
      <c r="N539">
        <v>18104</v>
      </c>
      <c r="O539" t="s">
        <v>1170</v>
      </c>
      <c r="P539">
        <v>39917</v>
      </c>
      <c r="Q539" t="s">
        <v>21</v>
      </c>
      <c r="R539">
        <v>415581</v>
      </c>
      <c r="S539" t="s">
        <v>987</v>
      </c>
      <c r="T539" s="2">
        <v>1</v>
      </c>
      <c r="U539">
        <v>0</v>
      </c>
      <c r="V539" t="s">
        <v>260</v>
      </c>
      <c r="W539">
        <v>0</v>
      </c>
      <c r="X539">
        <v>0</v>
      </c>
      <c r="Y539">
        <v>0</v>
      </c>
      <c r="Z539" t="s">
        <v>88</v>
      </c>
      <c r="AA539" t="s">
        <v>89</v>
      </c>
      <c r="AB539" t="s">
        <v>10</v>
      </c>
      <c r="AC539">
        <v>0</v>
      </c>
      <c r="AD539">
        <v>0</v>
      </c>
      <c r="AE539" t="s">
        <v>1171</v>
      </c>
      <c r="AF539">
        <v>462.55</v>
      </c>
      <c r="AG539">
        <v>0</v>
      </c>
      <c r="AH539">
        <v>60.54</v>
      </c>
      <c r="AI539">
        <v>523.09</v>
      </c>
      <c r="AJ539" t="s">
        <v>2</v>
      </c>
      <c r="AK539" t="s">
        <v>11</v>
      </c>
    </row>
    <row r="540" spans="1:37">
      <c r="A540">
        <v>257775</v>
      </c>
      <c r="B540" s="1">
        <v>45366</v>
      </c>
      <c r="C540" t="s">
        <v>1174</v>
      </c>
      <c r="D540" t="s">
        <v>1175</v>
      </c>
      <c r="E540" t="s">
        <v>1176</v>
      </c>
      <c r="F540" t="s">
        <v>1177</v>
      </c>
      <c r="G540" t="s">
        <v>255</v>
      </c>
      <c r="H540">
        <v>60142</v>
      </c>
      <c r="I540" t="s">
        <v>1178</v>
      </c>
      <c r="J540" t="s">
        <v>1179</v>
      </c>
      <c r="K540" t="s">
        <v>1180</v>
      </c>
      <c r="L540" t="s">
        <v>1181</v>
      </c>
      <c r="M540" t="s">
        <v>255</v>
      </c>
      <c r="N540">
        <v>60098</v>
      </c>
      <c r="O540" t="s">
        <v>1182</v>
      </c>
      <c r="P540" t="s">
        <v>1183</v>
      </c>
      <c r="Q540" t="s">
        <v>6</v>
      </c>
      <c r="R540">
        <v>415541</v>
      </c>
      <c r="S540" t="s">
        <v>987</v>
      </c>
      <c r="T540" s="2">
        <v>1</v>
      </c>
      <c r="U540">
        <v>0</v>
      </c>
      <c r="V540" t="s">
        <v>260</v>
      </c>
      <c r="W540">
        <v>0</v>
      </c>
      <c r="X540">
        <v>0</v>
      </c>
      <c r="Y540">
        <v>0</v>
      </c>
      <c r="Z540" t="s">
        <v>9</v>
      </c>
      <c r="AA540" t="s">
        <v>2</v>
      </c>
      <c r="AB540" t="s">
        <v>10</v>
      </c>
      <c r="AC540">
        <v>0</v>
      </c>
      <c r="AD540">
        <v>0</v>
      </c>
      <c r="AE540" t="s">
        <v>1184</v>
      </c>
      <c r="AF540">
        <v>174.09</v>
      </c>
      <c r="AG540">
        <v>0</v>
      </c>
      <c r="AH540">
        <v>29.98</v>
      </c>
      <c r="AI540">
        <v>204.07</v>
      </c>
      <c r="AJ540" t="s">
        <v>2</v>
      </c>
      <c r="AK540" t="s">
        <v>11</v>
      </c>
    </row>
    <row r="541" spans="1:37">
      <c r="A541">
        <v>257775</v>
      </c>
      <c r="B541" s="1">
        <v>45366</v>
      </c>
      <c r="C541" t="s">
        <v>1174</v>
      </c>
      <c r="D541" t="s">
        <v>1175</v>
      </c>
      <c r="E541" t="s">
        <v>1176</v>
      </c>
      <c r="F541" t="s">
        <v>1177</v>
      </c>
      <c r="G541" t="s">
        <v>255</v>
      </c>
      <c r="H541">
        <v>60142</v>
      </c>
      <c r="I541" t="s">
        <v>1178</v>
      </c>
      <c r="J541" t="s">
        <v>1179</v>
      </c>
      <c r="K541" t="s">
        <v>1180</v>
      </c>
      <c r="L541" t="s">
        <v>1181</v>
      </c>
      <c r="M541" t="s">
        <v>255</v>
      </c>
      <c r="N541">
        <v>60098</v>
      </c>
      <c r="O541" t="s">
        <v>1182</v>
      </c>
      <c r="P541" t="s">
        <v>1183</v>
      </c>
      <c r="Q541" t="s">
        <v>6</v>
      </c>
      <c r="R541">
        <v>415541</v>
      </c>
      <c r="S541" t="s">
        <v>987</v>
      </c>
      <c r="T541" s="2">
        <v>1</v>
      </c>
      <c r="U541">
        <v>0</v>
      </c>
      <c r="V541" t="s">
        <v>260</v>
      </c>
      <c r="W541">
        <v>1</v>
      </c>
      <c r="X541">
        <v>1</v>
      </c>
      <c r="Y541">
        <v>0</v>
      </c>
      <c r="Z541" t="s">
        <v>1185</v>
      </c>
      <c r="AA541" t="s">
        <v>1186</v>
      </c>
      <c r="AB541" t="s">
        <v>14</v>
      </c>
      <c r="AC541">
        <v>174.0933</v>
      </c>
      <c r="AD541">
        <v>174.09</v>
      </c>
      <c r="AE541" t="s">
        <v>1184</v>
      </c>
      <c r="AF541">
        <v>174.09</v>
      </c>
      <c r="AG541">
        <v>0</v>
      </c>
      <c r="AH541">
        <v>29.98</v>
      </c>
      <c r="AI541">
        <v>204.07</v>
      </c>
      <c r="AJ541" t="s">
        <v>2</v>
      </c>
      <c r="AK541" t="s">
        <v>11</v>
      </c>
    </row>
    <row r="542" spans="1:37">
      <c r="A542">
        <v>257775</v>
      </c>
      <c r="B542" s="1">
        <v>45366</v>
      </c>
      <c r="C542" t="s">
        <v>1174</v>
      </c>
      <c r="D542" t="s">
        <v>1175</v>
      </c>
      <c r="E542" t="s">
        <v>1176</v>
      </c>
      <c r="F542" t="s">
        <v>1177</v>
      </c>
      <c r="G542" t="s">
        <v>255</v>
      </c>
      <c r="H542">
        <v>60142</v>
      </c>
      <c r="I542" t="s">
        <v>1178</v>
      </c>
      <c r="J542" t="s">
        <v>1179</v>
      </c>
      <c r="K542" t="s">
        <v>1180</v>
      </c>
      <c r="L542" t="s">
        <v>1181</v>
      </c>
      <c r="M542" t="s">
        <v>255</v>
      </c>
      <c r="N542">
        <v>60098</v>
      </c>
      <c r="O542" t="s">
        <v>1182</v>
      </c>
      <c r="P542" t="s">
        <v>1183</v>
      </c>
      <c r="Q542" t="s">
        <v>6</v>
      </c>
      <c r="R542">
        <v>415541</v>
      </c>
      <c r="S542" t="s">
        <v>987</v>
      </c>
      <c r="T542" s="2">
        <v>1</v>
      </c>
      <c r="U542">
        <v>0</v>
      </c>
      <c r="V542" t="s">
        <v>260</v>
      </c>
      <c r="W542">
        <v>0</v>
      </c>
      <c r="X542">
        <v>0</v>
      </c>
      <c r="Y542">
        <v>0</v>
      </c>
      <c r="Z542" t="s">
        <v>88</v>
      </c>
      <c r="AA542" t="s">
        <v>1187</v>
      </c>
      <c r="AB542" t="s">
        <v>10</v>
      </c>
      <c r="AC542">
        <v>0</v>
      </c>
      <c r="AD542">
        <v>0</v>
      </c>
      <c r="AE542" t="s">
        <v>1184</v>
      </c>
      <c r="AF542">
        <v>174.09</v>
      </c>
      <c r="AG542">
        <v>0</v>
      </c>
      <c r="AH542">
        <v>29.98</v>
      </c>
      <c r="AI542">
        <v>204.07</v>
      </c>
      <c r="AJ542" t="s">
        <v>2</v>
      </c>
      <c r="AK542" t="s">
        <v>11</v>
      </c>
    </row>
    <row r="543" spans="1:37">
      <c r="A543">
        <v>257776</v>
      </c>
      <c r="B543" s="1">
        <v>45366</v>
      </c>
      <c r="C543" t="s">
        <v>961</v>
      </c>
      <c r="D543" t="s">
        <v>962</v>
      </c>
      <c r="E543" t="s">
        <v>2</v>
      </c>
      <c r="F543" t="s">
        <v>963</v>
      </c>
      <c r="G543" t="s">
        <v>964</v>
      </c>
      <c r="H543">
        <v>58102</v>
      </c>
      <c r="I543" t="s">
        <v>1188</v>
      </c>
      <c r="J543" t="s">
        <v>1189</v>
      </c>
      <c r="K543" t="s">
        <v>2</v>
      </c>
      <c r="L543" t="s">
        <v>1190</v>
      </c>
      <c r="M543" t="s">
        <v>624</v>
      </c>
      <c r="N543" t="s">
        <v>1191</v>
      </c>
      <c r="O543" t="s">
        <v>968</v>
      </c>
      <c r="P543">
        <v>64551</v>
      </c>
      <c r="Q543" t="s">
        <v>6</v>
      </c>
      <c r="R543">
        <v>415582</v>
      </c>
      <c r="S543" t="s">
        <v>84</v>
      </c>
      <c r="T543" s="2">
        <v>1</v>
      </c>
      <c r="U543">
        <v>0</v>
      </c>
      <c r="V543" t="s">
        <v>260</v>
      </c>
      <c r="W543">
        <v>0</v>
      </c>
      <c r="X543">
        <v>0</v>
      </c>
      <c r="Y543">
        <v>0</v>
      </c>
      <c r="Z543" t="s">
        <v>9</v>
      </c>
      <c r="AA543" t="s">
        <v>2</v>
      </c>
      <c r="AB543" t="s">
        <v>10</v>
      </c>
      <c r="AC543">
        <v>0</v>
      </c>
      <c r="AD543">
        <v>0</v>
      </c>
      <c r="AE543">
        <v>726182084196</v>
      </c>
      <c r="AF543">
        <v>294.62</v>
      </c>
      <c r="AG543">
        <v>0</v>
      </c>
      <c r="AH543">
        <v>54.11</v>
      </c>
      <c r="AI543">
        <v>348.73</v>
      </c>
      <c r="AJ543" t="s">
        <v>2</v>
      </c>
      <c r="AK543" t="s">
        <v>11</v>
      </c>
    </row>
    <row r="544" spans="1:37">
      <c r="A544">
        <v>257776</v>
      </c>
      <c r="B544" s="1">
        <v>45366</v>
      </c>
      <c r="C544" t="s">
        <v>961</v>
      </c>
      <c r="D544" t="s">
        <v>962</v>
      </c>
      <c r="E544" t="s">
        <v>2</v>
      </c>
      <c r="F544" t="s">
        <v>963</v>
      </c>
      <c r="G544" t="s">
        <v>964</v>
      </c>
      <c r="H544">
        <v>58102</v>
      </c>
      <c r="I544" t="s">
        <v>1188</v>
      </c>
      <c r="J544" t="s">
        <v>1189</v>
      </c>
      <c r="K544" t="s">
        <v>2</v>
      </c>
      <c r="L544" t="s">
        <v>1190</v>
      </c>
      <c r="M544" t="s">
        <v>624</v>
      </c>
      <c r="N544" t="s">
        <v>1191</v>
      </c>
      <c r="O544" t="s">
        <v>968</v>
      </c>
      <c r="P544">
        <v>64551</v>
      </c>
      <c r="Q544" t="s">
        <v>6</v>
      </c>
      <c r="R544">
        <v>415582</v>
      </c>
      <c r="S544" t="s">
        <v>84</v>
      </c>
      <c r="T544" s="2">
        <v>1</v>
      </c>
      <c r="U544">
        <v>0</v>
      </c>
      <c r="V544" t="s">
        <v>260</v>
      </c>
      <c r="W544">
        <v>1</v>
      </c>
      <c r="X544">
        <v>1</v>
      </c>
      <c r="Y544">
        <v>0</v>
      </c>
      <c r="Z544" t="s">
        <v>1192</v>
      </c>
      <c r="AA544" t="s">
        <v>1193</v>
      </c>
      <c r="AB544" t="s">
        <v>14</v>
      </c>
      <c r="AC544">
        <v>294.61939999999998</v>
      </c>
      <c r="AD544">
        <v>294.62</v>
      </c>
      <c r="AE544">
        <v>726182084196</v>
      </c>
      <c r="AF544">
        <v>294.62</v>
      </c>
      <c r="AG544">
        <v>0</v>
      </c>
      <c r="AH544">
        <v>54.11</v>
      </c>
      <c r="AI544">
        <v>348.73</v>
      </c>
      <c r="AJ544" t="s">
        <v>2</v>
      </c>
      <c r="AK544" t="s">
        <v>11</v>
      </c>
    </row>
    <row r="545" spans="1:37">
      <c r="A545">
        <v>257776</v>
      </c>
      <c r="B545" s="1">
        <v>45366</v>
      </c>
      <c r="C545" t="s">
        <v>961</v>
      </c>
      <c r="D545" t="s">
        <v>962</v>
      </c>
      <c r="E545" t="s">
        <v>2</v>
      </c>
      <c r="F545" t="s">
        <v>963</v>
      </c>
      <c r="G545" t="s">
        <v>964</v>
      </c>
      <c r="H545">
        <v>58102</v>
      </c>
      <c r="I545" t="s">
        <v>1188</v>
      </c>
      <c r="J545" t="s">
        <v>1189</v>
      </c>
      <c r="K545" t="s">
        <v>2</v>
      </c>
      <c r="L545" t="s">
        <v>1190</v>
      </c>
      <c r="M545" t="s">
        <v>624</v>
      </c>
      <c r="N545" t="s">
        <v>1191</v>
      </c>
      <c r="O545" t="s">
        <v>968</v>
      </c>
      <c r="P545">
        <v>64551</v>
      </c>
      <c r="Q545" t="s">
        <v>6</v>
      </c>
      <c r="R545">
        <v>415582</v>
      </c>
      <c r="S545" t="s">
        <v>84</v>
      </c>
      <c r="T545" s="2">
        <v>1</v>
      </c>
      <c r="U545">
        <v>0</v>
      </c>
      <c r="V545" t="s">
        <v>260</v>
      </c>
      <c r="W545">
        <v>0</v>
      </c>
      <c r="X545">
        <v>0</v>
      </c>
      <c r="Y545">
        <v>0</v>
      </c>
      <c r="Z545" t="s">
        <v>88</v>
      </c>
      <c r="AA545" t="s">
        <v>1187</v>
      </c>
      <c r="AB545" t="s">
        <v>10</v>
      </c>
      <c r="AC545">
        <v>0</v>
      </c>
      <c r="AD545">
        <v>0</v>
      </c>
      <c r="AE545">
        <v>726182084196</v>
      </c>
      <c r="AF545">
        <v>294.62</v>
      </c>
      <c r="AG545">
        <v>0</v>
      </c>
      <c r="AH545">
        <v>54.11</v>
      </c>
      <c r="AI545">
        <v>348.73</v>
      </c>
      <c r="AJ545" t="s">
        <v>2</v>
      </c>
      <c r="AK545" t="s">
        <v>11</v>
      </c>
    </row>
    <row r="546" spans="1:37">
      <c r="A546">
        <v>257777</v>
      </c>
      <c r="B546" s="1">
        <v>45366</v>
      </c>
      <c r="C546" t="s">
        <v>1194</v>
      </c>
      <c r="D546" t="s">
        <v>1195</v>
      </c>
      <c r="E546" t="s">
        <v>1196</v>
      </c>
      <c r="F546" t="s">
        <v>1197</v>
      </c>
      <c r="G546" t="s">
        <v>539</v>
      </c>
      <c r="H546">
        <v>27410</v>
      </c>
      <c r="I546" t="s">
        <v>1198</v>
      </c>
      <c r="J546" t="s">
        <v>1199</v>
      </c>
      <c r="K546" t="s">
        <v>2</v>
      </c>
      <c r="L546" t="s">
        <v>1200</v>
      </c>
      <c r="M546" t="s">
        <v>497</v>
      </c>
      <c r="N546" t="s">
        <v>1201</v>
      </c>
      <c r="O546" t="s">
        <v>1202</v>
      </c>
      <c r="P546">
        <v>2278316</v>
      </c>
      <c r="Q546" t="s">
        <v>38</v>
      </c>
      <c r="R546">
        <v>415526</v>
      </c>
      <c r="S546" t="s">
        <v>84</v>
      </c>
      <c r="T546" s="2">
        <v>2</v>
      </c>
      <c r="U546">
        <v>0</v>
      </c>
      <c r="V546" t="s">
        <v>153</v>
      </c>
      <c r="W546">
        <v>0</v>
      </c>
      <c r="X546">
        <v>0</v>
      </c>
      <c r="Y546">
        <v>0</v>
      </c>
      <c r="Z546" t="s">
        <v>9</v>
      </c>
      <c r="AA546" t="s">
        <v>2</v>
      </c>
      <c r="AB546" t="s">
        <v>10</v>
      </c>
      <c r="AC546">
        <v>0</v>
      </c>
      <c r="AD546">
        <v>0</v>
      </c>
      <c r="AE546">
        <v>726182084895</v>
      </c>
      <c r="AF546">
        <v>542.17999999999995</v>
      </c>
      <c r="AG546">
        <v>0</v>
      </c>
      <c r="AH546">
        <v>58.5</v>
      </c>
      <c r="AI546">
        <v>600.67999999999995</v>
      </c>
      <c r="AJ546" t="s">
        <v>2</v>
      </c>
      <c r="AK546" t="s">
        <v>11</v>
      </c>
    </row>
    <row r="547" spans="1:37">
      <c r="A547">
        <v>257777</v>
      </c>
      <c r="B547" s="1">
        <v>45366</v>
      </c>
      <c r="C547" t="s">
        <v>1194</v>
      </c>
      <c r="D547" t="s">
        <v>1195</v>
      </c>
      <c r="E547" t="s">
        <v>1196</v>
      </c>
      <c r="F547" t="s">
        <v>1197</v>
      </c>
      <c r="G547" t="s">
        <v>539</v>
      </c>
      <c r="H547">
        <v>27410</v>
      </c>
      <c r="I547" t="s">
        <v>1198</v>
      </c>
      <c r="J547" t="s">
        <v>1199</v>
      </c>
      <c r="K547" t="s">
        <v>2</v>
      </c>
      <c r="L547" t="s">
        <v>1200</v>
      </c>
      <c r="M547" t="s">
        <v>497</v>
      </c>
      <c r="N547" t="s">
        <v>1201</v>
      </c>
      <c r="O547" t="s">
        <v>1202</v>
      </c>
      <c r="P547">
        <v>2278316</v>
      </c>
      <c r="Q547" t="s">
        <v>38</v>
      </c>
      <c r="R547">
        <v>415526</v>
      </c>
      <c r="S547" t="s">
        <v>84</v>
      </c>
      <c r="T547" s="2">
        <v>2</v>
      </c>
      <c r="U547">
        <v>0</v>
      </c>
      <c r="V547" t="s">
        <v>153</v>
      </c>
      <c r="W547">
        <v>1</v>
      </c>
      <c r="X547">
        <v>1</v>
      </c>
      <c r="Y547">
        <v>0</v>
      </c>
      <c r="Z547" t="s">
        <v>296</v>
      </c>
      <c r="AA547" t="s">
        <v>297</v>
      </c>
      <c r="AB547" t="s">
        <v>14</v>
      </c>
      <c r="AC547">
        <v>271.08999999999997</v>
      </c>
      <c r="AD547">
        <v>271.08999999999997</v>
      </c>
      <c r="AE547">
        <v>726182084895</v>
      </c>
      <c r="AF547">
        <v>542.17999999999995</v>
      </c>
      <c r="AG547">
        <v>0</v>
      </c>
      <c r="AH547">
        <v>58.5</v>
      </c>
      <c r="AI547">
        <v>600.67999999999995</v>
      </c>
      <c r="AJ547" t="s">
        <v>2</v>
      </c>
      <c r="AK547" t="s">
        <v>11</v>
      </c>
    </row>
    <row r="548" spans="1:37">
      <c r="A548">
        <v>257777</v>
      </c>
      <c r="B548" s="1">
        <v>45366</v>
      </c>
      <c r="C548" t="s">
        <v>1194</v>
      </c>
      <c r="D548" t="s">
        <v>1195</v>
      </c>
      <c r="E548" t="s">
        <v>1196</v>
      </c>
      <c r="F548" t="s">
        <v>1197</v>
      </c>
      <c r="G548" t="s">
        <v>539</v>
      </c>
      <c r="H548">
        <v>27410</v>
      </c>
      <c r="I548" t="s">
        <v>1198</v>
      </c>
      <c r="J548" t="s">
        <v>1199</v>
      </c>
      <c r="K548" t="s">
        <v>2</v>
      </c>
      <c r="L548" t="s">
        <v>1200</v>
      </c>
      <c r="M548" t="s">
        <v>497</v>
      </c>
      <c r="N548" t="s">
        <v>1201</v>
      </c>
      <c r="O548" t="s">
        <v>1202</v>
      </c>
      <c r="P548">
        <v>2278316</v>
      </c>
      <c r="Q548" t="s">
        <v>38</v>
      </c>
      <c r="R548">
        <v>415526</v>
      </c>
      <c r="S548" t="s">
        <v>84</v>
      </c>
      <c r="T548" s="2">
        <v>2</v>
      </c>
      <c r="U548">
        <v>0</v>
      </c>
      <c r="V548" t="s">
        <v>153</v>
      </c>
      <c r="W548">
        <v>0</v>
      </c>
      <c r="X548">
        <v>0</v>
      </c>
      <c r="Y548">
        <v>0</v>
      </c>
      <c r="Z548" t="s">
        <v>88</v>
      </c>
      <c r="AA548" t="s">
        <v>298</v>
      </c>
      <c r="AB548" t="s">
        <v>10</v>
      </c>
      <c r="AC548">
        <v>0</v>
      </c>
      <c r="AD548">
        <v>0</v>
      </c>
      <c r="AE548">
        <v>726182084895</v>
      </c>
      <c r="AF548">
        <v>542.17999999999995</v>
      </c>
      <c r="AG548">
        <v>0</v>
      </c>
      <c r="AH548">
        <v>58.5</v>
      </c>
      <c r="AI548">
        <v>600.67999999999995</v>
      </c>
      <c r="AJ548" t="s">
        <v>2</v>
      </c>
      <c r="AK548" t="s">
        <v>11</v>
      </c>
    </row>
    <row r="549" spans="1:37">
      <c r="A549">
        <v>257777</v>
      </c>
      <c r="B549" s="1">
        <v>45366</v>
      </c>
      <c r="C549" t="s">
        <v>1194</v>
      </c>
      <c r="D549" t="s">
        <v>1195</v>
      </c>
      <c r="E549" t="s">
        <v>1196</v>
      </c>
      <c r="F549" t="s">
        <v>1197</v>
      </c>
      <c r="G549" t="s">
        <v>539</v>
      </c>
      <c r="H549">
        <v>27410</v>
      </c>
      <c r="I549" t="s">
        <v>1198</v>
      </c>
      <c r="J549" t="s">
        <v>1199</v>
      </c>
      <c r="K549" t="s">
        <v>2</v>
      </c>
      <c r="L549" t="s">
        <v>1200</v>
      </c>
      <c r="M549" t="s">
        <v>497</v>
      </c>
      <c r="N549" t="s">
        <v>1201</v>
      </c>
      <c r="O549" t="s">
        <v>1202</v>
      </c>
      <c r="P549">
        <v>2278316</v>
      </c>
      <c r="Q549" t="s">
        <v>38</v>
      </c>
      <c r="R549">
        <v>415526</v>
      </c>
      <c r="S549" t="s">
        <v>84</v>
      </c>
      <c r="T549" s="2">
        <v>2</v>
      </c>
      <c r="U549">
        <v>0</v>
      </c>
      <c r="V549" t="s">
        <v>153</v>
      </c>
      <c r="W549">
        <v>1</v>
      </c>
      <c r="X549">
        <v>1</v>
      </c>
      <c r="Y549">
        <v>0</v>
      </c>
      <c r="Z549" t="s">
        <v>1203</v>
      </c>
      <c r="AA549" t="s">
        <v>1204</v>
      </c>
      <c r="AB549" t="s">
        <v>14</v>
      </c>
      <c r="AC549">
        <v>271.08999999999997</v>
      </c>
      <c r="AD549">
        <v>271.08999999999997</v>
      </c>
      <c r="AE549">
        <v>726182084895</v>
      </c>
      <c r="AF549">
        <v>542.17999999999995</v>
      </c>
      <c r="AG549">
        <v>0</v>
      </c>
      <c r="AH549">
        <v>58.5</v>
      </c>
      <c r="AI549">
        <v>600.67999999999995</v>
      </c>
      <c r="AJ549" t="s">
        <v>2</v>
      </c>
      <c r="AK549" t="s">
        <v>11</v>
      </c>
    </row>
    <row r="550" spans="1:37">
      <c r="A550">
        <v>257777</v>
      </c>
      <c r="B550" s="1">
        <v>45366</v>
      </c>
      <c r="C550" t="s">
        <v>1194</v>
      </c>
      <c r="D550" t="s">
        <v>1195</v>
      </c>
      <c r="E550" t="s">
        <v>1196</v>
      </c>
      <c r="F550" t="s">
        <v>1197</v>
      </c>
      <c r="G550" t="s">
        <v>539</v>
      </c>
      <c r="H550">
        <v>27410</v>
      </c>
      <c r="I550" t="s">
        <v>1198</v>
      </c>
      <c r="J550" t="s">
        <v>1199</v>
      </c>
      <c r="K550" t="s">
        <v>2</v>
      </c>
      <c r="L550" t="s">
        <v>1200</v>
      </c>
      <c r="M550" t="s">
        <v>497</v>
      </c>
      <c r="N550" t="s">
        <v>1201</v>
      </c>
      <c r="O550" t="s">
        <v>1202</v>
      </c>
      <c r="P550">
        <v>2278316</v>
      </c>
      <c r="Q550" t="s">
        <v>38</v>
      </c>
      <c r="R550">
        <v>415526</v>
      </c>
      <c r="S550" t="s">
        <v>84</v>
      </c>
      <c r="T550" s="2">
        <v>2</v>
      </c>
      <c r="U550">
        <v>0</v>
      </c>
      <c r="V550" t="s">
        <v>153</v>
      </c>
      <c r="W550">
        <v>0</v>
      </c>
      <c r="X550">
        <v>0</v>
      </c>
      <c r="Y550">
        <v>0</v>
      </c>
      <c r="Z550" t="s">
        <v>88</v>
      </c>
      <c r="AA550" t="s">
        <v>298</v>
      </c>
      <c r="AB550" t="s">
        <v>10</v>
      </c>
      <c r="AC550">
        <v>0</v>
      </c>
      <c r="AD550">
        <v>0</v>
      </c>
      <c r="AE550">
        <v>726182084895</v>
      </c>
      <c r="AF550">
        <v>542.17999999999995</v>
      </c>
      <c r="AG550">
        <v>0</v>
      </c>
      <c r="AH550">
        <v>58.5</v>
      </c>
      <c r="AI550">
        <v>600.67999999999995</v>
      </c>
      <c r="AJ550" t="s">
        <v>2</v>
      </c>
      <c r="AK550" t="s">
        <v>11</v>
      </c>
    </row>
    <row r="551" spans="1:37">
      <c r="A551">
        <v>257778</v>
      </c>
      <c r="B551" s="1">
        <v>45366</v>
      </c>
      <c r="C551" t="s">
        <v>450</v>
      </c>
      <c r="D551" t="s">
        <v>451</v>
      </c>
      <c r="E551" t="s">
        <v>452</v>
      </c>
      <c r="F551" t="s">
        <v>453</v>
      </c>
      <c r="G551" t="s">
        <v>255</v>
      </c>
      <c r="H551">
        <v>60517</v>
      </c>
      <c r="I551" t="s">
        <v>1205</v>
      </c>
      <c r="J551" t="s">
        <v>1206</v>
      </c>
      <c r="K551" t="s">
        <v>2</v>
      </c>
      <c r="L551" t="s">
        <v>1207</v>
      </c>
      <c r="M551" t="s">
        <v>255</v>
      </c>
      <c r="N551">
        <v>60563</v>
      </c>
      <c r="O551" t="s">
        <v>458</v>
      </c>
      <c r="P551">
        <v>2278385</v>
      </c>
      <c r="Q551" t="s">
        <v>38</v>
      </c>
      <c r="R551">
        <v>415552</v>
      </c>
      <c r="S551" t="s">
        <v>84</v>
      </c>
      <c r="T551" s="2">
        <v>1</v>
      </c>
      <c r="U551">
        <v>0</v>
      </c>
      <c r="V551" t="s">
        <v>153</v>
      </c>
      <c r="W551">
        <v>0</v>
      </c>
      <c r="X551">
        <v>0</v>
      </c>
      <c r="Y551">
        <v>0</v>
      </c>
      <c r="Z551" t="s">
        <v>9</v>
      </c>
      <c r="AA551" t="s">
        <v>2</v>
      </c>
      <c r="AB551" t="s">
        <v>10</v>
      </c>
      <c r="AC551">
        <v>0</v>
      </c>
      <c r="AD551">
        <v>0</v>
      </c>
      <c r="AE551">
        <v>726182084667</v>
      </c>
      <c r="AF551">
        <v>89.88</v>
      </c>
      <c r="AG551">
        <v>0</v>
      </c>
      <c r="AH551">
        <v>15.18</v>
      </c>
      <c r="AI551">
        <v>105.06</v>
      </c>
      <c r="AJ551" t="s">
        <v>2</v>
      </c>
      <c r="AK551" t="s">
        <v>11</v>
      </c>
    </row>
    <row r="552" spans="1:37">
      <c r="A552">
        <v>257778</v>
      </c>
      <c r="B552" s="1">
        <v>45366</v>
      </c>
      <c r="C552" t="s">
        <v>450</v>
      </c>
      <c r="D552" t="s">
        <v>451</v>
      </c>
      <c r="E552" t="s">
        <v>452</v>
      </c>
      <c r="F552" t="s">
        <v>453</v>
      </c>
      <c r="G552" t="s">
        <v>255</v>
      </c>
      <c r="H552">
        <v>60517</v>
      </c>
      <c r="I552" t="s">
        <v>1205</v>
      </c>
      <c r="J552" t="s">
        <v>1206</v>
      </c>
      <c r="K552" t="s">
        <v>2</v>
      </c>
      <c r="L552" t="s">
        <v>1207</v>
      </c>
      <c r="M552" t="s">
        <v>255</v>
      </c>
      <c r="N552">
        <v>60563</v>
      </c>
      <c r="O552" t="s">
        <v>458</v>
      </c>
      <c r="P552">
        <v>2278385</v>
      </c>
      <c r="Q552" t="s">
        <v>38</v>
      </c>
      <c r="R552">
        <v>415552</v>
      </c>
      <c r="S552" t="s">
        <v>84</v>
      </c>
      <c r="T552" s="2">
        <v>1</v>
      </c>
      <c r="U552">
        <v>0</v>
      </c>
      <c r="V552" t="s">
        <v>153</v>
      </c>
      <c r="W552">
        <v>1</v>
      </c>
      <c r="X552">
        <v>1</v>
      </c>
      <c r="Y552">
        <v>0</v>
      </c>
      <c r="Z552" t="s">
        <v>1208</v>
      </c>
      <c r="AA552" t="s">
        <v>1209</v>
      </c>
      <c r="AB552" t="s">
        <v>14</v>
      </c>
      <c r="AC552">
        <v>89.88</v>
      </c>
      <c r="AD552">
        <v>89.88</v>
      </c>
      <c r="AE552">
        <v>726182084667</v>
      </c>
      <c r="AF552">
        <v>89.88</v>
      </c>
      <c r="AG552">
        <v>0</v>
      </c>
      <c r="AH552">
        <v>15.18</v>
      </c>
      <c r="AI552">
        <v>105.06</v>
      </c>
      <c r="AJ552" t="s">
        <v>2</v>
      </c>
      <c r="AK552" t="s">
        <v>11</v>
      </c>
    </row>
    <row r="553" spans="1:37">
      <c r="A553">
        <v>257778</v>
      </c>
      <c r="B553" s="1">
        <v>45366</v>
      </c>
      <c r="C553" t="s">
        <v>450</v>
      </c>
      <c r="D553" t="s">
        <v>451</v>
      </c>
      <c r="E553" t="s">
        <v>452</v>
      </c>
      <c r="F553" t="s">
        <v>453</v>
      </c>
      <c r="G553" t="s">
        <v>255</v>
      </c>
      <c r="H553">
        <v>60517</v>
      </c>
      <c r="I553" t="s">
        <v>1205</v>
      </c>
      <c r="J553" t="s">
        <v>1206</v>
      </c>
      <c r="K553" t="s">
        <v>2</v>
      </c>
      <c r="L553" t="s">
        <v>1207</v>
      </c>
      <c r="M553" t="s">
        <v>255</v>
      </c>
      <c r="N553">
        <v>60563</v>
      </c>
      <c r="O553" t="s">
        <v>458</v>
      </c>
      <c r="P553">
        <v>2278385</v>
      </c>
      <c r="Q553" t="s">
        <v>38</v>
      </c>
      <c r="R553">
        <v>415552</v>
      </c>
      <c r="S553" t="s">
        <v>84</v>
      </c>
      <c r="T553" s="2">
        <v>1</v>
      </c>
      <c r="U553">
        <v>0</v>
      </c>
      <c r="V553" t="s">
        <v>153</v>
      </c>
      <c r="W553">
        <v>0</v>
      </c>
      <c r="X553">
        <v>0</v>
      </c>
      <c r="Y553">
        <v>0</v>
      </c>
      <c r="Z553" t="s">
        <v>88</v>
      </c>
      <c r="AA553" t="s">
        <v>240</v>
      </c>
      <c r="AB553" t="s">
        <v>10</v>
      </c>
      <c r="AC553">
        <v>0</v>
      </c>
      <c r="AD553">
        <v>0</v>
      </c>
      <c r="AE553">
        <v>726182084667</v>
      </c>
      <c r="AF553">
        <v>89.88</v>
      </c>
      <c r="AG553">
        <v>0</v>
      </c>
      <c r="AH553">
        <v>15.18</v>
      </c>
      <c r="AI553">
        <v>105.06</v>
      </c>
      <c r="AJ553" t="s">
        <v>2</v>
      </c>
      <c r="AK553" t="s">
        <v>11</v>
      </c>
    </row>
    <row r="554" spans="1:37">
      <c r="A554">
        <v>257779</v>
      </c>
      <c r="B554" s="1">
        <v>45366</v>
      </c>
      <c r="C554" t="s">
        <v>1210</v>
      </c>
      <c r="D554" t="s">
        <v>1211</v>
      </c>
      <c r="E554" t="s">
        <v>2</v>
      </c>
      <c r="F554" t="s">
        <v>1212</v>
      </c>
      <c r="G554" t="s">
        <v>760</v>
      </c>
      <c r="H554">
        <v>53223</v>
      </c>
      <c r="I554" t="s">
        <v>1213</v>
      </c>
      <c r="J554" t="s">
        <v>1214</v>
      </c>
      <c r="K554" t="s">
        <v>2</v>
      </c>
      <c r="L554" t="s">
        <v>1215</v>
      </c>
      <c r="M554" t="s">
        <v>760</v>
      </c>
      <c r="N554">
        <v>53081</v>
      </c>
      <c r="O554" t="s">
        <v>1216</v>
      </c>
      <c r="P554" t="s">
        <v>1217</v>
      </c>
      <c r="Q554" t="s">
        <v>21</v>
      </c>
      <c r="R554">
        <v>415553</v>
      </c>
      <c r="S554" t="s">
        <v>84</v>
      </c>
      <c r="T554" s="2">
        <v>2</v>
      </c>
      <c r="U554">
        <v>0</v>
      </c>
      <c r="V554" t="s">
        <v>236</v>
      </c>
      <c r="W554">
        <v>0</v>
      </c>
      <c r="X554">
        <v>0</v>
      </c>
      <c r="Y554">
        <v>0</v>
      </c>
      <c r="Z554" t="s">
        <v>9</v>
      </c>
      <c r="AA554" t="s">
        <v>2</v>
      </c>
      <c r="AB554" t="s">
        <v>10</v>
      </c>
      <c r="AC554">
        <v>0</v>
      </c>
      <c r="AD554">
        <v>0</v>
      </c>
      <c r="AE554">
        <v>726182084840</v>
      </c>
      <c r="AF554">
        <v>387.5</v>
      </c>
      <c r="AG554">
        <v>0</v>
      </c>
      <c r="AH554">
        <v>38.31</v>
      </c>
      <c r="AI554">
        <v>425.81</v>
      </c>
      <c r="AJ554" t="s">
        <v>2</v>
      </c>
      <c r="AK554" t="s">
        <v>11</v>
      </c>
    </row>
    <row r="555" spans="1:37">
      <c r="A555">
        <v>257779</v>
      </c>
      <c r="B555" s="1">
        <v>45366</v>
      </c>
      <c r="C555" t="s">
        <v>1210</v>
      </c>
      <c r="D555" t="s">
        <v>1211</v>
      </c>
      <c r="E555" t="s">
        <v>2</v>
      </c>
      <c r="F555" t="s">
        <v>1212</v>
      </c>
      <c r="G555" t="s">
        <v>760</v>
      </c>
      <c r="H555">
        <v>53223</v>
      </c>
      <c r="I555" t="s">
        <v>1213</v>
      </c>
      <c r="J555" t="s">
        <v>1214</v>
      </c>
      <c r="K555" t="s">
        <v>2</v>
      </c>
      <c r="L555" t="s">
        <v>1215</v>
      </c>
      <c r="M555" t="s">
        <v>760</v>
      </c>
      <c r="N555">
        <v>53081</v>
      </c>
      <c r="O555" t="s">
        <v>1216</v>
      </c>
      <c r="P555" t="s">
        <v>1217</v>
      </c>
      <c r="Q555" t="s">
        <v>21</v>
      </c>
      <c r="R555">
        <v>415553</v>
      </c>
      <c r="S555" t="s">
        <v>84</v>
      </c>
      <c r="T555" s="2">
        <v>2</v>
      </c>
      <c r="U555">
        <v>0</v>
      </c>
      <c r="V555" t="s">
        <v>236</v>
      </c>
      <c r="W555">
        <v>2</v>
      </c>
      <c r="X555">
        <v>2</v>
      </c>
      <c r="Y555">
        <v>0</v>
      </c>
      <c r="Z555" t="s">
        <v>1218</v>
      </c>
      <c r="AA555" t="s">
        <v>1219</v>
      </c>
      <c r="AB555" t="s">
        <v>14</v>
      </c>
      <c r="AC555">
        <v>193.7492</v>
      </c>
      <c r="AD555">
        <v>387.5</v>
      </c>
      <c r="AE555">
        <v>726182084840</v>
      </c>
      <c r="AF555">
        <v>387.5</v>
      </c>
      <c r="AG555">
        <v>0</v>
      </c>
      <c r="AH555">
        <v>38.31</v>
      </c>
      <c r="AI555">
        <v>425.81</v>
      </c>
      <c r="AJ555" t="s">
        <v>2</v>
      </c>
      <c r="AK555" t="s">
        <v>11</v>
      </c>
    </row>
    <row r="556" spans="1:37">
      <c r="A556">
        <v>257779</v>
      </c>
      <c r="B556" s="1">
        <v>45366</v>
      </c>
      <c r="C556" t="s">
        <v>1210</v>
      </c>
      <c r="D556" t="s">
        <v>1211</v>
      </c>
      <c r="E556" t="s">
        <v>2</v>
      </c>
      <c r="F556" t="s">
        <v>1212</v>
      </c>
      <c r="G556" t="s">
        <v>760</v>
      </c>
      <c r="H556">
        <v>53223</v>
      </c>
      <c r="I556" t="s">
        <v>1213</v>
      </c>
      <c r="J556" t="s">
        <v>1214</v>
      </c>
      <c r="K556" t="s">
        <v>2</v>
      </c>
      <c r="L556" t="s">
        <v>1215</v>
      </c>
      <c r="M556" t="s">
        <v>760</v>
      </c>
      <c r="N556">
        <v>53081</v>
      </c>
      <c r="O556" t="s">
        <v>1216</v>
      </c>
      <c r="P556" t="s">
        <v>1217</v>
      </c>
      <c r="Q556" t="s">
        <v>21</v>
      </c>
      <c r="R556">
        <v>415553</v>
      </c>
      <c r="S556" t="s">
        <v>84</v>
      </c>
      <c r="T556" s="2">
        <v>2</v>
      </c>
      <c r="U556">
        <v>0</v>
      </c>
      <c r="V556" t="s">
        <v>236</v>
      </c>
      <c r="W556">
        <v>0</v>
      </c>
      <c r="X556">
        <v>0</v>
      </c>
      <c r="Y556">
        <v>0</v>
      </c>
      <c r="Z556" t="s">
        <v>88</v>
      </c>
      <c r="AA556" t="s">
        <v>488</v>
      </c>
      <c r="AB556" t="s">
        <v>10</v>
      </c>
      <c r="AC556">
        <v>0</v>
      </c>
      <c r="AD556">
        <v>0</v>
      </c>
      <c r="AE556">
        <v>726182084840</v>
      </c>
      <c r="AF556">
        <v>387.5</v>
      </c>
      <c r="AG556">
        <v>0</v>
      </c>
      <c r="AH556">
        <v>38.31</v>
      </c>
      <c r="AI556">
        <v>425.81</v>
      </c>
      <c r="AJ556" t="s">
        <v>2</v>
      </c>
      <c r="AK556" t="s">
        <v>11</v>
      </c>
    </row>
    <row r="557" spans="1:37">
      <c r="A557">
        <v>257780</v>
      </c>
      <c r="B557" s="1">
        <v>45366</v>
      </c>
      <c r="C557" t="s">
        <v>252</v>
      </c>
      <c r="D557" t="s">
        <v>253</v>
      </c>
      <c r="E557" t="s">
        <v>2</v>
      </c>
      <c r="F557" t="s">
        <v>254</v>
      </c>
      <c r="G557" t="s">
        <v>255</v>
      </c>
      <c r="H557">
        <v>60191</v>
      </c>
      <c r="I557" t="s">
        <v>1220</v>
      </c>
      <c r="J557" t="s">
        <v>1221</v>
      </c>
      <c r="K557" t="s">
        <v>2</v>
      </c>
      <c r="L557" t="s">
        <v>1222</v>
      </c>
      <c r="M557" t="s">
        <v>1223</v>
      </c>
      <c r="N557">
        <v>72210</v>
      </c>
      <c r="O557" t="s">
        <v>259</v>
      </c>
      <c r="P557">
        <v>37445</v>
      </c>
      <c r="Q557" t="s">
        <v>6</v>
      </c>
      <c r="R557">
        <v>415556</v>
      </c>
      <c r="S557" t="s">
        <v>84</v>
      </c>
      <c r="T557" s="2">
        <v>1</v>
      </c>
      <c r="U557">
        <v>0</v>
      </c>
      <c r="V557" t="s">
        <v>260</v>
      </c>
      <c r="W557">
        <v>0</v>
      </c>
      <c r="X557">
        <v>0</v>
      </c>
      <c r="Y557">
        <v>0</v>
      </c>
      <c r="Z557" t="s">
        <v>9</v>
      </c>
      <c r="AA557" t="s">
        <v>2</v>
      </c>
      <c r="AB557" t="s">
        <v>10</v>
      </c>
      <c r="AC557">
        <v>0</v>
      </c>
      <c r="AD557">
        <v>0</v>
      </c>
      <c r="AE557">
        <v>726182084494</v>
      </c>
      <c r="AF557">
        <v>215.9</v>
      </c>
      <c r="AG557">
        <v>0</v>
      </c>
      <c r="AH557">
        <v>23.28</v>
      </c>
      <c r="AI557">
        <v>239.18</v>
      </c>
      <c r="AJ557" t="s">
        <v>2</v>
      </c>
      <c r="AK557" t="s">
        <v>11</v>
      </c>
    </row>
    <row r="558" spans="1:37">
      <c r="A558">
        <v>257780</v>
      </c>
      <c r="B558" s="1">
        <v>45366</v>
      </c>
      <c r="C558" t="s">
        <v>252</v>
      </c>
      <c r="D558" t="s">
        <v>253</v>
      </c>
      <c r="E558" t="s">
        <v>2</v>
      </c>
      <c r="F558" t="s">
        <v>254</v>
      </c>
      <c r="G558" t="s">
        <v>255</v>
      </c>
      <c r="H558">
        <v>60191</v>
      </c>
      <c r="I558" t="s">
        <v>1220</v>
      </c>
      <c r="J558" t="s">
        <v>1221</v>
      </c>
      <c r="K558" t="s">
        <v>2</v>
      </c>
      <c r="L558" t="s">
        <v>1222</v>
      </c>
      <c r="M558" t="s">
        <v>1223</v>
      </c>
      <c r="N558">
        <v>72210</v>
      </c>
      <c r="O558" t="s">
        <v>259</v>
      </c>
      <c r="P558">
        <v>37445</v>
      </c>
      <c r="Q558" t="s">
        <v>6</v>
      </c>
      <c r="R558">
        <v>415556</v>
      </c>
      <c r="S558" t="s">
        <v>84</v>
      </c>
      <c r="T558" s="2">
        <v>1</v>
      </c>
      <c r="U558">
        <v>0</v>
      </c>
      <c r="V558" t="s">
        <v>260</v>
      </c>
      <c r="W558">
        <v>1</v>
      </c>
      <c r="X558">
        <v>1</v>
      </c>
      <c r="Y558">
        <v>0</v>
      </c>
      <c r="Z558" t="s">
        <v>1224</v>
      </c>
      <c r="AA558" t="s">
        <v>1225</v>
      </c>
      <c r="AB558" t="s">
        <v>14</v>
      </c>
      <c r="AC558">
        <v>215.8974</v>
      </c>
      <c r="AD558">
        <v>215.9</v>
      </c>
      <c r="AE558">
        <v>726182084494</v>
      </c>
      <c r="AF558">
        <v>215.9</v>
      </c>
      <c r="AG558">
        <v>0</v>
      </c>
      <c r="AH558">
        <v>23.28</v>
      </c>
      <c r="AI558">
        <v>239.18</v>
      </c>
      <c r="AJ558" t="s">
        <v>2</v>
      </c>
      <c r="AK558" t="s">
        <v>11</v>
      </c>
    </row>
    <row r="559" spans="1:37">
      <c r="A559">
        <v>257780</v>
      </c>
      <c r="B559" s="1">
        <v>45366</v>
      </c>
      <c r="C559" t="s">
        <v>252</v>
      </c>
      <c r="D559" t="s">
        <v>253</v>
      </c>
      <c r="E559" t="s">
        <v>2</v>
      </c>
      <c r="F559" t="s">
        <v>254</v>
      </c>
      <c r="G559" t="s">
        <v>255</v>
      </c>
      <c r="H559">
        <v>60191</v>
      </c>
      <c r="I559" t="s">
        <v>1220</v>
      </c>
      <c r="J559" t="s">
        <v>1221</v>
      </c>
      <c r="K559" t="s">
        <v>2</v>
      </c>
      <c r="L559" t="s">
        <v>1222</v>
      </c>
      <c r="M559" t="s">
        <v>1223</v>
      </c>
      <c r="N559">
        <v>72210</v>
      </c>
      <c r="O559" t="s">
        <v>259</v>
      </c>
      <c r="P559">
        <v>37445</v>
      </c>
      <c r="Q559" t="s">
        <v>6</v>
      </c>
      <c r="R559">
        <v>415556</v>
      </c>
      <c r="S559" t="s">
        <v>84</v>
      </c>
      <c r="T559" s="2">
        <v>1</v>
      </c>
      <c r="U559">
        <v>0</v>
      </c>
      <c r="V559" t="s">
        <v>260</v>
      </c>
      <c r="W559">
        <v>0</v>
      </c>
      <c r="X559">
        <v>0</v>
      </c>
      <c r="Y559">
        <v>0</v>
      </c>
      <c r="Z559" t="s">
        <v>88</v>
      </c>
      <c r="AA559" t="s">
        <v>144</v>
      </c>
      <c r="AB559" t="s">
        <v>10</v>
      </c>
      <c r="AC559">
        <v>0</v>
      </c>
      <c r="AD559">
        <v>0</v>
      </c>
      <c r="AE559">
        <v>726182084494</v>
      </c>
      <c r="AF559">
        <v>215.9</v>
      </c>
      <c r="AG559">
        <v>0</v>
      </c>
      <c r="AH559">
        <v>23.28</v>
      </c>
      <c r="AI559">
        <v>239.18</v>
      </c>
      <c r="AJ559" t="s">
        <v>2</v>
      </c>
      <c r="AK559" t="s">
        <v>11</v>
      </c>
    </row>
    <row r="560" spans="1:37">
      <c r="A560">
        <v>257780</v>
      </c>
      <c r="B560" s="1">
        <v>45366</v>
      </c>
      <c r="C560" t="s">
        <v>252</v>
      </c>
      <c r="D560" t="s">
        <v>253</v>
      </c>
      <c r="E560" t="s">
        <v>2</v>
      </c>
      <c r="F560" t="s">
        <v>254</v>
      </c>
      <c r="G560" t="s">
        <v>255</v>
      </c>
      <c r="H560">
        <v>60191</v>
      </c>
      <c r="I560" t="s">
        <v>1220</v>
      </c>
      <c r="J560" t="s">
        <v>1221</v>
      </c>
      <c r="K560" t="s">
        <v>2</v>
      </c>
      <c r="L560" t="s">
        <v>1222</v>
      </c>
      <c r="M560" t="s">
        <v>1223</v>
      </c>
      <c r="N560">
        <v>72210</v>
      </c>
      <c r="O560" t="s">
        <v>259</v>
      </c>
      <c r="P560">
        <v>37445</v>
      </c>
      <c r="Q560" t="s">
        <v>6</v>
      </c>
      <c r="R560">
        <v>415556</v>
      </c>
      <c r="S560" t="s">
        <v>84</v>
      </c>
      <c r="T560" s="2">
        <v>1</v>
      </c>
      <c r="U560">
        <v>0</v>
      </c>
      <c r="V560" t="s">
        <v>260</v>
      </c>
      <c r="W560">
        <v>0</v>
      </c>
      <c r="X560">
        <v>0</v>
      </c>
      <c r="Y560">
        <v>0</v>
      </c>
      <c r="Z560" t="s">
        <v>88</v>
      </c>
      <c r="AA560" t="s">
        <v>1226</v>
      </c>
      <c r="AB560" t="s">
        <v>10</v>
      </c>
      <c r="AC560">
        <v>0</v>
      </c>
      <c r="AD560">
        <v>0</v>
      </c>
      <c r="AE560">
        <v>726182084494</v>
      </c>
      <c r="AF560">
        <v>215.9</v>
      </c>
      <c r="AG560">
        <v>0</v>
      </c>
      <c r="AH560">
        <v>23.28</v>
      </c>
      <c r="AI560">
        <v>239.18</v>
      </c>
      <c r="AJ560" t="s">
        <v>2</v>
      </c>
      <c r="AK560" t="s">
        <v>11</v>
      </c>
    </row>
    <row r="561" spans="1:37">
      <c r="A561">
        <v>257781</v>
      </c>
      <c r="B561" s="1">
        <v>45366</v>
      </c>
      <c r="C561" t="s">
        <v>1025</v>
      </c>
      <c r="D561" t="s">
        <v>2</v>
      </c>
      <c r="E561" t="s">
        <v>1026</v>
      </c>
      <c r="F561" t="s">
        <v>172</v>
      </c>
      <c r="G561" t="s">
        <v>579</v>
      </c>
      <c r="H561" t="s">
        <v>1027</v>
      </c>
      <c r="I561" t="s">
        <v>1227</v>
      </c>
      <c r="J561" t="s">
        <v>1228</v>
      </c>
      <c r="K561" t="s">
        <v>2</v>
      </c>
      <c r="L561" t="s">
        <v>1229</v>
      </c>
      <c r="M561" t="s">
        <v>575</v>
      </c>
      <c r="N561">
        <v>48160</v>
      </c>
      <c r="O561" t="s">
        <v>1032</v>
      </c>
      <c r="P561">
        <v>245810</v>
      </c>
      <c r="Q561" t="s">
        <v>6</v>
      </c>
      <c r="R561">
        <v>415573</v>
      </c>
      <c r="S561" t="s">
        <v>84</v>
      </c>
      <c r="T561" s="2">
        <v>1</v>
      </c>
      <c r="U561">
        <v>0</v>
      </c>
      <c r="V561" t="s">
        <v>1034</v>
      </c>
      <c r="W561">
        <v>0</v>
      </c>
      <c r="X561">
        <v>0</v>
      </c>
      <c r="Y561">
        <v>0</v>
      </c>
      <c r="Z561" t="s">
        <v>9</v>
      </c>
      <c r="AA561" t="s">
        <v>2</v>
      </c>
      <c r="AB561" t="s">
        <v>10</v>
      </c>
      <c r="AC561">
        <v>0</v>
      </c>
      <c r="AD561">
        <v>0</v>
      </c>
      <c r="AE561">
        <v>726182084781</v>
      </c>
      <c r="AF561">
        <v>41.12</v>
      </c>
      <c r="AG561">
        <v>0</v>
      </c>
      <c r="AH561">
        <v>0</v>
      </c>
      <c r="AI561">
        <v>41.12</v>
      </c>
      <c r="AJ561" t="s">
        <v>2</v>
      </c>
      <c r="AK561" t="s">
        <v>11</v>
      </c>
    </row>
    <row r="562" spans="1:37">
      <c r="A562">
        <v>257781</v>
      </c>
      <c r="B562" s="1">
        <v>45366</v>
      </c>
      <c r="C562" t="s">
        <v>1025</v>
      </c>
      <c r="D562" t="s">
        <v>2</v>
      </c>
      <c r="E562" t="s">
        <v>1026</v>
      </c>
      <c r="F562" t="s">
        <v>172</v>
      </c>
      <c r="G562" t="s">
        <v>579</v>
      </c>
      <c r="H562" t="s">
        <v>1027</v>
      </c>
      <c r="I562" t="s">
        <v>1227</v>
      </c>
      <c r="J562" t="s">
        <v>1228</v>
      </c>
      <c r="K562" t="s">
        <v>2</v>
      </c>
      <c r="L562" t="s">
        <v>1229</v>
      </c>
      <c r="M562" t="s">
        <v>575</v>
      </c>
      <c r="N562">
        <v>48160</v>
      </c>
      <c r="O562" t="s">
        <v>1032</v>
      </c>
      <c r="P562">
        <v>245810</v>
      </c>
      <c r="Q562" t="s">
        <v>6</v>
      </c>
      <c r="R562">
        <v>415573</v>
      </c>
      <c r="S562" t="s">
        <v>84</v>
      </c>
      <c r="T562" s="2">
        <v>1</v>
      </c>
      <c r="U562">
        <v>0</v>
      </c>
      <c r="V562" t="s">
        <v>1034</v>
      </c>
      <c r="W562">
        <v>1</v>
      </c>
      <c r="X562">
        <v>1</v>
      </c>
      <c r="Y562">
        <v>0</v>
      </c>
      <c r="Z562" t="s">
        <v>940</v>
      </c>
      <c r="AA562" t="s">
        <v>941</v>
      </c>
      <c r="AB562" t="s">
        <v>14</v>
      </c>
      <c r="AC562">
        <v>41.1233</v>
      </c>
      <c r="AD562">
        <v>41.12</v>
      </c>
      <c r="AE562">
        <v>726182084781</v>
      </c>
      <c r="AF562">
        <v>41.12</v>
      </c>
      <c r="AG562">
        <v>0</v>
      </c>
      <c r="AH562">
        <v>0</v>
      </c>
      <c r="AI562">
        <v>41.12</v>
      </c>
      <c r="AJ562" t="s">
        <v>2</v>
      </c>
      <c r="AK562" t="s">
        <v>11</v>
      </c>
    </row>
    <row r="563" spans="1:37">
      <c r="A563">
        <v>257781</v>
      </c>
      <c r="B563" s="1">
        <v>45366</v>
      </c>
      <c r="C563" t="s">
        <v>1025</v>
      </c>
      <c r="D563" t="s">
        <v>2</v>
      </c>
      <c r="E563" t="s">
        <v>1026</v>
      </c>
      <c r="F563" t="s">
        <v>172</v>
      </c>
      <c r="G563" t="s">
        <v>579</v>
      </c>
      <c r="H563" t="s">
        <v>1027</v>
      </c>
      <c r="I563" t="s">
        <v>1227</v>
      </c>
      <c r="J563" t="s">
        <v>1228</v>
      </c>
      <c r="K563" t="s">
        <v>2</v>
      </c>
      <c r="L563" t="s">
        <v>1229</v>
      </c>
      <c r="M563" t="s">
        <v>575</v>
      </c>
      <c r="N563">
        <v>48160</v>
      </c>
      <c r="O563" t="s">
        <v>1032</v>
      </c>
      <c r="P563">
        <v>245810</v>
      </c>
      <c r="Q563" t="s">
        <v>6</v>
      </c>
      <c r="R563">
        <v>415573</v>
      </c>
      <c r="S563" t="s">
        <v>84</v>
      </c>
      <c r="T563" s="2">
        <v>1</v>
      </c>
      <c r="U563">
        <v>0</v>
      </c>
      <c r="V563" t="s">
        <v>1034</v>
      </c>
      <c r="W563">
        <v>0</v>
      </c>
      <c r="X563">
        <v>0</v>
      </c>
      <c r="Y563">
        <v>0</v>
      </c>
      <c r="Z563" t="s">
        <v>88</v>
      </c>
      <c r="AA563" t="s">
        <v>144</v>
      </c>
      <c r="AB563" t="s">
        <v>10</v>
      </c>
      <c r="AC563">
        <v>0</v>
      </c>
      <c r="AD563">
        <v>0</v>
      </c>
      <c r="AE563">
        <v>726182084781</v>
      </c>
      <c r="AF563">
        <v>41.12</v>
      </c>
      <c r="AG563">
        <v>0</v>
      </c>
      <c r="AH563">
        <v>0</v>
      </c>
      <c r="AI563">
        <v>41.12</v>
      </c>
      <c r="AJ563" t="s">
        <v>2</v>
      </c>
      <c r="AK563" t="s">
        <v>11</v>
      </c>
    </row>
    <row r="564" spans="1:37">
      <c r="A564">
        <v>257781</v>
      </c>
      <c r="B564" s="1">
        <v>45366</v>
      </c>
      <c r="C564" t="s">
        <v>1025</v>
      </c>
      <c r="D564" t="s">
        <v>2</v>
      </c>
      <c r="E564" t="s">
        <v>1026</v>
      </c>
      <c r="F564" t="s">
        <v>172</v>
      </c>
      <c r="G564" t="s">
        <v>579</v>
      </c>
      <c r="H564" t="s">
        <v>1027</v>
      </c>
      <c r="I564" t="s">
        <v>1227</v>
      </c>
      <c r="J564" t="s">
        <v>1228</v>
      </c>
      <c r="K564" t="s">
        <v>2</v>
      </c>
      <c r="L564" t="s">
        <v>1229</v>
      </c>
      <c r="M564" t="s">
        <v>575</v>
      </c>
      <c r="N564">
        <v>48160</v>
      </c>
      <c r="O564" t="s">
        <v>1032</v>
      </c>
      <c r="P564">
        <v>245810</v>
      </c>
      <c r="Q564" t="s">
        <v>6</v>
      </c>
      <c r="R564">
        <v>415573</v>
      </c>
      <c r="S564" t="s">
        <v>84</v>
      </c>
      <c r="T564" s="2">
        <v>1</v>
      </c>
      <c r="U564">
        <v>0</v>
      </c>
      <c r="V564" t="s">
        <v>1034</v>
      </c>
      <c r="W564">
        <v>0</v>
      </c>
      <c r="X564">
        <v>0</v>
      </c>
      <c r="Y564">
        <v>0</v>
      </c>
      <c r="Z564" t="s">
        <v>88</v>
      </c>
      <c r="AA564" t="s">
        <v>2</v>
      </c>
      <c r="AB564" t="s">
        <v>10</v>
      </c>
      <c r="AC564">
        <v>0</v>
      </c>
      <c r="AD564">
        <v>0</v>
      </c>
      <c r="AE564">
        <v>726182084781</v>
      </c>
      <c r="AF564">
        <v>41.12</v>
      </c>
      <c r="AG564">
        <v>0</v>
      </c>
      <c r="AH564">
        <v>0</v>
      </c>
      <c r="AI564">
        <v>41.12</v>
      </c>
      <c r="AJ564" t="s">
        <v>2</v>
      </c>
      <c r="AK564" t="s">
        <v>11</v>
      </c>
    </row>
    <row r="565" spans="1:37">
      <c r="A565">
        <v>257781</v>
      </c>
      <c r="B565" s="1">
        <v>45366</v>
      </c>
      <c r="C565" t="s">
        <v>1025</v>
      </c>
      <c r="D565" t="s">
        <v>2</v>
      </c>
      <c r="E565" t="s">
        <v>1026</v>
      </c>
      <c r="F565" t="s">
        <v>172</v>
      </c>
      <c r="G565" t="s">
        <v>579</v>
      </c>
      <c r="H565" t="s">
        <v>1027</v>
      </c>
      <c r="I565" t="s">
        <v>1227</v>
      </c>
      <c r="J565" t="s">
        <v>1228</v>
      </c>
      <c r="K565" t="s">
        <v>2</v>
      </c>
      <c r="L565" t="s">
        <v>1229</v>
      </c>
      <c r="M565" t="s">
        <v>575</v>
      </c>
      <c r="N565">
        <v>48160</v>
      </c>
      <c r="O565" t="s">
        <v>1032</v>
      </c>
      <c r="P565">
        <v>245810</v>
      </c>
      <c r="Q565" t="s">
        <v>6</v>
      </c>
      <c r="R565">
        <v>415573</v>
      </c>
      <c r="S565" t="s">
        <v>84</v>
      </c>
      <c r="T565" s="2">
        <v>1</v>
      </c>
      <c r="U565">
        <v>0</v>
      </c>
      <c r="V565" t="s">
        <v>1034</v>
      </c>
      <c r="W565">
        <v>0</v>
      </c>
      <c r="X565">
        <v>0</v>
      </c>
      <c r="Y565">
        <v>0</v>
      </c>
      <c r="Z565" t="s">
        <v>88</v>
      </c>
      <c r="AA565" t="s">
        <v>266</v>
      </c>
      <c r="AB565" t="s">
        <v>10</v>
      </c>
      <c r="AC565">
        <v>0</v>
      </c>
      <c r="AD565">
        <v>0</v>
      </c>
      <c r="AE565">
        <v>726182084781</v>
      </c>
      <c r="AF565">
        <v>41.12</v>
      </c>
      <c r="AG565">
        <v>0</v>
      </c>
      <c r="AH565">
        <v>0</v>
      </c>
      <c r="AI565">
        <v>41.12</v>
      </c>
      <c r="AJ565" t="s">
        <v>2</v>
      </c>
      <c r="AK565" t="s">
        <v>11</v>
      </c>
    </row>
    <row r="566" spans="1:37">
      <c r="A566">
        <v>257782</v>
      </c>
      <c r="B566" s="1">
        <v>45366</v>
      </c>
      <c r="C566" t="s">
        <v>57</v>
      </c>
      <c r="D566" t="s">
        <v>58</v>
      </c>
      <c r="E566" t="s">
        <v>2</v>
      </c>
      <c r="F566" t="s">
        <v>59</v>
      </c>
      <c r="G566" t="s">
        <v>60</v>
      </c>
      <c r="H566">
        <v>1880</v>
      </c>
      <c r="I566" t="s">
        <v>1230</v>
      </c>
      <c r="J566" t="s">
        <v>1231</v>
      </c>
      <c r="K566" t="s">
        <v>2</v>
      </c>
      <c r="L566" t="s">
        <v>1232</v>
      </c>
      <c r="M566" t="s">
        <v>60</v>
      </c>
      <c r="N566">
        <v>2152</v>
      </c>
      <c r="O566" t="s">
        <v>61</v>
      </c>
      <c r="P566">
        <v>35810</v>
      </c>
      <c r="Q566" t="s">
        <v>21</v>
      </c>
      <c r="R566">
        <v>415603</v>
      </c>
      <c r="S566" t="s">
        <v>84</v>
      </c>
      <c r="T566" s="2">
        <v>1</v>
      </c>
      <c r="U566">
        <v>0</v>
      </c>
      <c r="V566" t="s">
        <v>260</v>
      </c>
      <c r="W566">
        <v>0</v>
      </c>
      <c r="X566">
        <v>0</v>
      </c>
      <c r="Y566">
        <v>0</v>
      </c>
      <c r="Z566" t="s">
        <v>9</v>
      </c>
      <c r="AA566" t="s">
        <v>2</v>
      </c>
      <c r="AB566" t="s">
        <v>10</v>
      </c>
      <c r="AC566">
        <v>0</v>
      </c>
      <c r="AD566">
        <v>0</v>
      </c>
      <c r="AE566">
        <v>726182084461</v>
      </c>
      <c r="AF566">
        <v>398.28</v>
      </c>
      <c r="AG566">
        <v>0</v>
      </c>
      <c r="AH566">
        <v>38.65</v>
      </c>
      <c r="AI566">
        <v>436.93</v>
      </c>
      <c r="AJ566" t="s">
        <v>2</v>
      </c>
      <c r="AK566" t="s">
        <v>11</v>
      </c>
    </row>
    <row r="567" spans="1:37">
      <c r="A567">
        <v>257782</v>
      </c>
      <c r="B567" s="1">
        <v>45366</v>
      </c>
      <c r="C567" t="s">
        <v>57</v>
      </c>
      <c r="D567" t="s">
        <v>58</v>
      </c>
      <c r="E567" t="s">
        <v>2</v>
      </c>
      <c r="F567" t="s">
        <v>59</v>
      </c>
      <c r="G567" t="s">
        <v>60</v>
      </c>
      <c r="H567">
        <v>1880</v>
      </c>
      <c r="I567" t="s">
        <v>1230</v>
      </c>
      <c r="J567" t="s">
        <v>1231</v>
      </c>
      <c r="K567" t="s">
        <v>2</v>
      </c>
      <c r="L567" t="s">
        <v>1232</v>
      </c>
      <c r="M567" t="s">
        <v>60</v>
      </c>
      <c r="N567">
        <v>2152</v>
      </c>
      <c r="O567" t="s">
        <v>61</v>
      </c>
      <c r="P567">
        <v>35810</v>
      </c>
      <c r="Q567" t="s">
        <v>21</v>
      </c>
      <c r="R567">
        <v>415603</v>
      </c>
      <c r="S567" t="s">
        <v>84</v>
      </c>
      <c r="T567" s="2">
        <v>1</v>
      </c>
      <c r="U567">
        <v>0</v>
      </c>
      <c r="V567" t="s">
        <v>260</v>
      </c>
      <c r="W567">
        <v>1</v>
      </c>
      <c r="X567">
        <v>1</v>
      </c>
      <c r="Y567">
        <v>0</v>
      </c>
      <c r="Z567" t="s">
        <v>1233</v>
      </c>
      <c r="AA567" t="s">
        <v>1234</v>
      </c>
      <c r="AB567" t="s">
        <v>14</v>
      </c>
      <c r="AC567">
        <v>398.28089999999997</v>
      </c>
      <c r="AD567">
        <v>398.28</v>
      </c>
      <c r="AE567">
        <v>726182084461</v>
      </c>
      <c r="AF567">
        <v>398.28</v>
      </c>
      <c r="AG567">
        <v>0</v>
      </c>
      <c r="AH567">
        <v>38.65</v>
      </c>
      <c r="AI567">
        <v>436.93</v>
      </c>
      <c r="AJ567" t="s">
        <v>2</v>
      </c>
      <c r="AK567" t="s">
        <v>11</v>
      </c>
    </row>
    <row r="568" spans="1:37">
      <c r="A568">
        <v>257782</v>
      </c>
      <c r="B568" s="1">
        <v>45366</v>
      </c>
      <c r="C568" t="s">
        <v>57</v>
      </c>
      <c r="D568" t="s">
        <v>58</v>
      </c>
      <c r="E568" t="s">
        <v>2</v>
      </c>
      <c r="F568" t="s">
        <v>59</v>
      </c>
      <c r="G568" t="s">
        <v>60</v>
      </c>
      <c r="H568">
        <v>1880</v>
      </c>
      <c r="I568" t="s">
        <v>1230</v>
      </c>
      <c r="J568" t="s">
        <v>1231</v>
      </c>
      <c r="K568" t="s">
        <v>2</v>
      </c>
      <c r="L568" t="s">
        <v>1232</v>
      </c>
      <c r="M568" t="s">
        <v>60</v>
      </c>
      <c r="N568">
        <v>2152</v>
      </c>
      <c r="O568" t="s">
        <v>61</v>
      </c>
      <c r="P568">
        <v>35810</v>
      </c>
      <c r="Q568" t="s">
        <v>21</v>
      </c>
      <c r="R568">
        <v>415603</v>
      </c>
      <c r="S568" t="s">
        <v>84</v>
      </c>
      <c r="T568" s="2">
        <v>1</v>
      </c>
      <c r="U568">
        <v>0</v>
      </c>
      <c r="V568" t="s">
        <v>260</v>
      </c>
      <c r="W568">
        <v>0</v>
      </c>
      <c r="X568">
        <v>0</v>
      </c>
      <c r="Y568">
        <v>0</v>
      </c>
      <c r="Z568" t="s">
        <v>88</v>
      </c>
      <c r="AA568" t="s">
        <v>144</v>
      </c>
      <c r="AB568" t="s">
        <v>10</v>
      </c>
      <c r="AC568">
        <v>0</v>
      </c>
      <c r="AD568">
        <v>0</v>
      </c>
      <c r="AE568">
        <v>726182084461</v>
      </c>
      <c r="AF568">
        <v>398.28</v>
      </c>
      <c r="AG568">
        <v>0</v>
      </c>
      <c r="AH568">
        <v>38.65</v>
      </c>
      <c r="AI568">
        <v>436.93</v>
      </c>
      <c r="AJ568" t="s">
        <v>2</v>
      </c>
      <c r="AK568" t="s">
        <v>11</v>
      </c>
    </row>
    <row r="569" spans="1:37">
      <c r="A569">
        <v>257783</v>
      </c>
      <c r="B569" s="1">
        <v>45366</v>
      </c>
      <c r="C569" t="s">
        <v>792</v>
      </c>
      <c r="D569" t="s">
        <v>793</v>
      </c>
      <c r="E569" t="s">
        <v>794</v>
      </c>
      <c r="F569" t="s">
        <v>795</v>
      </c>
      <c r="G569" t="s">
        <v>67</v>
      </c>
      <c r="H569">
        <v>75019</v>
      </c>
      <c r="I569" t="s">
        <v>1056</v>
      </c>
      <c r="J569" t="s">
        <v>1057</v>
      </c>
      <c r="K569" t="s">
        <v>2</v>
      </c>
      <c r="L569" t="s">
        <v>1058</v>
      </c>
      <c r="M569" t="s">
        <v>67</v>
      </c>
      <c r="N569" t="s">
        <v>1059</v>
      </c>
      <c r="O569" t="s">
        <v>799</v>
      </c>
      <c r="P569">
        <v>2278583</v>
      </c>
      <c r="Q569" t="s">
        <v>38</v>
      </c>
      <c r="R569">
        <v>415612</v>
      </c>
      <c r="S569" t="s">
        <v>84</v>
      </c>
      <c r="T569" s="2">
        <v>2</v>
      </c>
      <c r="U569">
        <v>0</v>
      </c>
      <c r="V569" t="s">
        <v>153</v>
      </c>
      <c r="W569">
        <v>0</v>
      </c>
      <c r="X569">
        <v>0</v>
      </c>
      <c r="Y569">
        <v>0</v>
      </c>
      <c r="Z569" t="s">
        <v>9</v>
      </c>
      <c r="AA569" t="s">
        <v>2</v>
      </c>
      <c r="AB569" t="s">
        <v>10</v>
      </c>
      <c r="AC569">
        <v>0</v>
      </c>
      <c r="AD569">
        <v>0</v>
      </c>
      <c r="AE569">
        <v>726182084634</v>
      </c>
      <c r="AF569">
        <v>418.08</v>
      </c>
      <c r="AG569">
        <v>0</v>
      </c>
      <c r="AH569">
        <v>60.98</v>
      </c>
      <c r="AI569">
        <v>479.06</v>
      </c>
      <c r="AJ569" t="s">
        <v>2</v>
      </c>
      <c r="AK569" t="s">
        <v>11</v>
      </c>
    </row>
    <row r="570" spans="1:37">
      <c r="A570">
        <v>257783</v>
      </c>
      <c r="B570" s="1">
        <v>45366</v>
      </c>
      <c r="C570" t="s">
        <v>792</v>
      </c>
      <c r="D570" t="s">
        <v>793</v>
      </c>
      <c r="E570" t="s">
        <v>794</v>
      </c>
      <c r="F570" t="s">
        <v>795</v>
      </c>
      <c r="G570" t="s">
        <v>67</v>
      </c>
      <c r="H570">
        <v>75019</v>
      </c>
      <c r="I570" t="s">
        <v>1056</v>
      </c>
      <c r="J570" t="s">
        <v>1057</v>
      </c>
      <c r="K570" t="s">
        <v>2</v>
      </c>
      <c r="L570" t="s">
        <v>1058</v>
      </c>
      <c r="M570" t="s">
        <v>67</v>
      </c>
      <c r="N570" t="s">
        <v>1059</v>
      </c>
      <c r="O570" t="s">
        <v>799</v>
      </c>
      <c r="P570">
        <v>2278583</v>
      </c>
      <c r="Q570" t="s">
        <v>38</v>
      </c>
      <c r="R570">
        <v>415612</v>
      </c>
      <c r="S570" t="s">
        <v>84</v>
      </c>
      <c r="T570" s="2">
        <v>2</v>
      </c>
      <c r="U570">
        <v>0</v>
      </c>
      <c r="V570" t="s">
        <v>153</v>
      </c>
      <c r="W570">
        <v>2</v>
      </c>
      <c r="X570">
        <v>2</v>
      </c>
      <c r="Y570">
        <v>0</v>
      </c>
      <c r="Z570" t="s">
        <v>1235</v>
      </c>
      <c r="AA570" t="s">
        <v>1236</v>
      </c>
      <c r="AB570" t="s">
        <v>14</v>
      </c>
      <c r="AC570">
        <v>209.04</v>
      </c>
      <c r="AD570">
        <v>418.08</v>
      </c>
      <c r="AE570">
        <v>726182084634</v>
      </c>
      <c r="AF570">
        <v>418.08</v>
      </c>
      <c r="AG570">
        <v>0</v>
      </c>
      <c r="AH570">
        <v>60.98</v>
      </c>
      <c r="AI570">
        <v>479.06</v>
      </c>
      <c r="AJ570" t="s">
        <v>2</v>
      </c>
      <c r="AK570" t="s">
        <v>11</v>
      </c>
    </row>
    <row r="571" spans="1:37">
      <c r="A571">
        <v>257783</v>
      </c>
      <c r="B571" s="1">
        <v>45366</v>
      </c>
      <c r="C571" t="s">
        <v>792</v>
      </c>
      <c r="D571" t="s">
        <v>793</v>
      </c>
      <c r="E571" t="s">
        <v>794</v>
      </c>
      <c r="F571" t="s">
        <v>795</v>
      </c>
      <c r="G571" t="s">
        <v>67</v>
      </c>
      <c r="H571">
        <v>75019</v>
      </c>
      <c r="I571" t="s">
        <v>1056</v>
      </c>
      <c r="J571" t="s">
        <v>1057</v>
      </c>
      <c r="K571" t="s">
        <v>2</v>
      </c>
      <c r="L571" t="s">
        <v>1058</v>
      </c>
      <c r="M571" t="s">
        <v>67</v>
      </c>
      <c r="N571" t="s">
        <v>1059</v>
      </c>
      <c r="O571" t="s">
        <v>799</v>
      </c>
      <c r="P571">
        <v>2278583</v>
      </c>
      <c r="Q571" t="s">
        <v>38</v>
      </c>
      <c r="R571">
        <v>415612</v>
      </c>
      <c r="S571" t="s">
        <v>84</v>
      </c>
      <c r="T571" s="2">
        <v>2</v>
      </c>
      <c r="U571">
        <v>0</v>
      </c>
      <c r="V571" t="s">
        <v>153</v>
      </c>
      <c r="W571">
        <v>0</v>
      </c>
      <c r="X571">
        <v>0</v>
      </c>
      <c r="Y571">
        <v>0</v>
      </c>
      <c r="Z571" t="s">
        <v>88</v>
      </c>
      <c r="AA571" t="s">
        <v>251</v>
      </c>
      <c r="AB571" t="s">
        <v>10</v>
      </c>
      <c r="AC571">
        <v>0</v>
      </c>
      <c r="AD571">
        <v>0</v>
      </c>
      <c r="AE571">
        <v>726182084634</v>
      </c>
      <c r="AF571">
        <v>418.08</v>
      </c>
      <c r="AG571">
        <v>0</v>
      </c>
      <c r="AH571">
        <v>60.98</v>
      </c>
      <c r="AI571">
        <v>479.06</v>
      </c>
      <c r="AJ571" t="s">
        <v>2</v>
      </c>
      <c r="AK571" t="s">
        <v>11</v>
      </c>
    </row>
    <row r="572" spans="1:37">
      <c r="A572">
        <v>257784</v>
      </c>
      <c r="B572" s="1">
        <v>45366</v>
      </c>
      <c r="C572" t="s">
        <v>1237</v>
      </c>
      <c r="D572" t="s">
        <v>1238</v>
      </c>
      <c r="E572" t="s">
        <v>2</v>
      </c>
      <c r="F572" t="s">
        <v>1239</v>
      </c>
      <c r="G572" t="s">
        <v>760</v>
      </c>
      <c r="H572">
        <v>54956</v>
      </c>
      <c r="I572" t="s">
        <v>1240</v>
      </c>
      <c r="J572" t="s">
        <v>1241</v>
      </c>
      <c r="K572" t="s">
        <v>2</v>
      </c>
      <c r="L572" t="s">
        <v>1242</v>
      </c>
      <c r="M572" t="s">
        <v>760</v>
      </c>
      <c r="N572">
        <v>54235</v>
      </c>
      <c r="O572" t="s">
        <v>1243</v>
      </c>
      <c r="P572">
        <v>1641</v>
      </c>
      <c r="Q572" t="s">
        <v>6</v>
      </c>
      <c r="R572">
        <v>415616</v>
      </c>
      <c r="S572" t="s">
        <v>84</v>
      </c>
      <c r="T572" s="2">
        <v>4</v>
      </c>
      <c r="U572">
        <v>0</v>
      </c>
      <c r="V572" t="s">
        <v>260</v>
      </c>
      <c r="W572">
        <v>0</v>
      </c>
      <c r="X572">
        <v>0</v>
      </c>
      <c r="Y572">
        <v>0</v>
      </c>
      <c r="Z572" t="s">
        <v>9</v>
      </c>
      <c r="AA572" t="s">
        <v>2</v>
      </c>
      <c r="AB572" t="s">
        <v>10</v>
      </c>
      <c r="AC572">
        <v>0</v>
      </c>
      <c r="AD572">
        <v>0</v>
      </c>
      <c r="AE572">
        <v>726182084406</v>
      </c>
      <c r="AF572">
        <v>218.54</v>
      </c>
      <c r="AG572">
        <v>0</v>
      </c>
      <c r="AH572">
        <v>44.04</v>
      </c>
      <c r="AI572">
        <v>262.58</v>
      </c>
      <c r="AJ572" t="s">
        <v>2</v>
      </c>
      <c r="AK572" t="s">
        <v>11</v>
      </c>
    </row>
    <row r="573" spans="1:37">
      <c r="A573">
        <v>257784</v>
      </c>
      <c r="B573" s="1">
        <v>45366</v>
      </c>
      <c r="C573" t="s">
        <v>1237</v>
      </c>
      <c r="D573" t="s">
        <v>1238</v>
      </c>
      <c r="E573" t="s">
        <v>2</v>
      </c>
      <c r="F573" t="s">
        <v>1239</v>
      </c>
      <c r="G573" t="s">
        <v>760</v>
      </c>
      <c r="H573">
        <v>54956</v>
      </c>
      <c r="I573" t="s">
        <v>1240</v>
      </c>
      <c r="J573" t="s">
        <v>1241</v>
      </c>
      <c r="K573" t="s">
        <v>2</v>
      </c>
      <c r="L573" t="s">
        <v>1242</v>
      </c>
      <c r="M573" t="s">
        <v>760</v>
      </c>
      <c r="N573">
        <v>54235</v>
      </c>
      <c r="O573" t="s">
        <v>1243</v>
      </c>
      <c r="P573">
        <v>1641</v>
      </c>
      <c r="Q573" t="s">
        <v>6</v>
      </c>
      <c r="R573">
        <v>415616</v>
      </c>
      <c r="S573" t="s">
        <v>84</v>
      </c>
      <c r="T573" s="2">
        <v>4</v>
      </c>
      <c r="U573">
        <v>0</v>
      </c>
      <c r="V573" t="s">
        <v>260</v>
      </c>
      <c r="W573">
        <v>4</v>
      </c>
      <c r="X573">
        <v>4</v>
      </c>
      <c r="Y573">
        <v>0</v>
      </c>
      <c r="Z573" t="s">
        <v>1244</v>
      </c>
      <c r="AA573" t="s">
        <v>1245</v>
      </c>
      <c r="AB573" t="s">
        <v>14</v>
      </c>
      <c r="AC573">
        <v>54.634500000000003</v>
      </c>
      <c r="AD573">
        <v>218.54</v>
      </c>
      <c r="AE573">
        <v>726182084406</v>
      </c>
      <c r="AF573">
        <v>218.54</v>
      </c>
      <c r="AG573">
        <v>0</v>
      </c>
      <c r="AH573">
        <v>44.04</v>
      </c>
      <c r="AI573">
        <v>262.58</v>
      </c>
      <c r="AJ573" t="s">
        <v>2</v>
      </c>
      <c r="AK573" t="s">
        <v>11</v>
      </c>
    </row>
    <row r="574" spans="1:37">
      <c r="A574">
        <v>257784</v>
      </c>
      <c r="B574" s="1">
        <v>45366</v>
      </c>
      <c r="C574" t="s">
        <v>1237</v>
      </c>
      <c r="D574" t="s">
        <v>1238</v>
      </c>
      <c r="E574" t="s">
        <v>2</v>
      </c>
      <c r="F574" t="s">
        <v>1239</v>
      </c>
      <c r="G574" t="s">
        <v>760</v>
      </c>
      <c r="H574">
        <v>54956</v>
      </c>
      <c r="I574" t="s">
        <v>1240</v>
      </c>
      <c r="J574" t="s">
        <v>1241</v>
      </c>
      <c r="K574" t="s">
        <v>2</v>
      </c>
      <c r="L574" t="s">
        <v>1242</v>
      </c>
      <c r="M574" t="s">
        <v>760</v>
      </c>
      <c r="N574">
        <v>54235</v>
      </c>
      <c r="O574" t="s">
        <v>1243</v>
      </c>
      <c r="P574">
        <v>1641</v>
      </c>
      <c r="Q574" t="s">
        <v>6</v>
      </c>
      <c r="R574">
        <v>415616</v>
      </c>
      <c r="S574" t="s">
        <v>84</v>
      </c>
      <c r="T574" s="2">
        <v>4</v>
      </c>
      <c r="U574">
        <v>0</v>
      </c>
      <c r="V574" t="s">
        <v>260</v>
      </c>
      <c r="W574">
        <v>0</v>
      </c>
      <c r="X574">
        <v>0</v>
      </c>
      <c r="Y574">
        <v>0</v>
      </c>
      <c r="Z574" t="s">
        <v>88</v>
      </c>
      <c r="AA574" t="s">
        <v>1246</v>
      </c>
      <c r="AB574" t="s">
        <v>10</v>
      </c>
      <c r="AC574">
        <v>0</v>
      </c>
      <c r="AD574">
        <v>0</v>
      </c>
      <c r="AE574">
        <v>726182084406</v>
      </c>
      <c r="AF574">
        <v>218.54</v>
      </c>
      <c r="AG574">
        <v>0</v>
      </c>
      <c r="AH574">
        <v>44.04</v>
      </c>
      <c r="AI574">
        <v>262.58</v>
      </c>
      <c r="AJ574" t="s">
        <v>2</v>
      </c>
      <c r="AK574" t="s">
        <v>11</v>
      </c>
    </row>
    <row r="575" spans="1:37">
      <c r="A575">
        <v>257785</v>
      </c>
      <c r="B575" s="1">
        <v>45366</v>
      </c>
      <c r="C575" t="s">
        <v>853</v>
      </c>
      <c r="D575" t="s">
        <v>854</v>
      </c>
      <c r="E575" t="s">
        <v>855</v>
      </c>
      <c r="F575" t="s">
        <v>856</v>
      </c>
      <c r="G575" t="s">
        <v>539</v>
      </c>
      <c r="H575">
        <v>28269</v>
      </c>
      <c r="I575" t="s">
        <v>1247</v>
      </c>
      <c r="J575" t="s">
        <v>1248</v>
      </c>
      <c r="K575" t="s">
        <v>2</v>
      </c>
      <c r="L575" t="s">
        <v>1249</v>
      </c>
      <c r="M575" t="s">
        <v>60</v>
      </c>
      <c r="N575">
        <v>2053</v>
      </c>
      <c r="O575" t="s">
        <v>860</v>
      </c>
      <c r="P575" t="s">
        <v>1250</v>
      </c>
      <c r="Q575" t="s">
        <v>21</v>
      </c>
      <c r="R575">
        <v>415617</v>
      </c>
      <c r="S575" t="s">
        <v>84</v>
      </c>
      <c r="T575" s="2">
        <v>1</v>
      </c>
      <c r="U575">
        <v>0</v>
      </c>
      <c r="V575" t="s">
        <v>260</v>
      </c>
      <c r="W575">
        <v>0</v>
      </c>
      <c r="X575">
        <v>0</v>
      </c>
      <c r="Y575">
        <v>0</v>
      </c>
      <c r="Z575" t="s">
        <v>9</v>
      </c>
      <c r="AA575" t="s">
        <v>2</v>
      </c>
      <c r="AB575" t="s">
        <v>10</v>
      </c>
      <c r="AC575">
        <v>0</v>
      </c>
      <c r="AD575">
        <v>0</v>
      </c>
      <c r="AE575">
        <v>726182084564</v>
      </c>
      <c r="AF575">
        <v>84.05</v>
      </c>
      <c r="AG575">
        <v>0</v>
      </c>
      <c r="AH575">
        <v>26.83</v>
      </c>
      <c r="AI575">
        <v>110.88</v>
      </c>
      <c r="AJ575" t="s">
        <v>2</v>
      </c>
      <c r="AK575" t="s">
        <v>11</v>
      </c>
    </row>
    <row r="576" spans="1:37">
      <c r="A576">
        <v>257785</v>
      </c>
      <c r="B576" s="1">
        <v>45366</v>
      </c>
      <c r="C576" t="s">
        <v>853</v>
      </c>
      <c r="D576" t="s">
        <v>854</v>
      </c>
      <c r="E576" t="s">
        <v>855</v>
      </c>
      <c r="F576" t="s">
        <v>856</v>
      </c>
      <c r="G576" t="s">
        <v>539</v>
      </c>
      <c r="H576">
        <v>28269</v>
      </c>
      <c r="I576" t="s">
        <v>1247</v>
      </c>
      <c r="J576" t="s">
        <v>1248</v>
      </c>
      <c r="K576" t="s">
        <v>2</v>
      </c>
      <c r="L576" t="s">
        <v>1249</v>
      </c>
      <c r="M576" t="s">
        <v>60</v>
      </c>
      <c r="N576">
        <v>2053</v>
      </c>
      <c r="O576" t="s">
        <v>860</v>
      </c>
      <c r="P576" t="s">
        <v>1250</v>
      </c>
      <c r="Q576" t="s">
        <v>21</v>
      </c>
      <c r="R576">
        <v>415617</v>
      </c>
      <c r="S576" t="s">
        <v>84</v>
      </c>
      <c r="T576" s="2">
        <v>1</v>
      </c>
      <c r="U576">
        <v>0</v>
      </c>
      <c r="V576" t="s">
        <v>260</v>
      </c>
      <c r="W576">
        <v>1</v>
      </c>
      <c r="X576">
        <v>1</v>
      </c>
      <c r="Y576">
        <v>0</v>
      </c>
      <c r="Z576" t="s">
        <v>1251</v>
      </c>
      <c r="AA576" t="s">
        <v>1252</v>
      </c>
      <c r="AB576" t="s">
        <v>14</v>
      </c>
      <c r="AC576">
        <v>84.048000000000002</v>
      </c>
      <c r="AD576">
        <v>84.05</v>
      </c>
      <c r="AE576">
        <v>726182084564</v>
      </c>
      <c r="AF576">
        <v>84.05</v>
      </c>
      <c r="AG576">
        <v>0</v>
      </c>
      <c r="AH576">
        <v>26.83</v>
      </c>
      <c r="AI576">
        <v>110.88</v>
      </c>
      <c r="AJ576" t="s">
        <v>2</v>
      </c>
      <c r="AK576" t="s">
        <v>11</v>
      </c>
    </row>
    <row r="577" spans="1:37">
      <c r="A577">
        <v>257785</v>
      </c>
      <c r="B577" s="1">
        <v>45366</v>
      </c>
      <c r="C577" t="s">
        <v>853</v>
      </c>
      <c r="D577" t="s">
        <v>854</v>
      </c>
      <c r="E577" t="s">
        <v>855</v>
      </c>
      <c r="F577" t="s">
        <v>856</v>
      </c>
      <c r="G577" t="s">
        <v>539</v>
      </c>
      <c r="H577">
        <v>28269</v>
      </c>
      <c r="I577" t="s">
        <v>1247</v>
      </c>
      <c r="J577" t="s">
        <v>1248</v>
      </c>
      <c r="K577" t="s">
        <v>2</v>
      </c>
      <c r="L577" t="s">
        <v>1249</v>
      </c>
      <c r="M577" t="s">
        <v>60</v>
      </c>
      <c r="N577">
        <v>2053</v>
      </c>
      <c r="O577" t="s">
        <v>860</v>
      </c>
      <c r="P577" t="s">
        <v>1250</v>
      </c>
      <c r="Q577" t="s">
        <v>21</v>
      </c>
      <c r="R577">
        <v>415617</v>
      </c>
      <c r="S577" t="s">
        <v>84</v>
      </c>
      <c r="T577" s="2">
        <v>1</v>
      </c>
      <c r="U577">
        <v>0</v>
      </c>
      <c r="V577" t="s">
        <v>260</v>
      </c>
      <c r="W577">
        <v>0</v>
      </c>
      <c r="X577">
        <v>0</v>
      </c>
      <c r="Y577">
        <v>0</v>
      </c>
      <c r="Z577" t="s">
        <v>88</v>
      </c>
      <c r="AA577" t="s">
        <v>107</v>
      </c>
      <c r="AB577" t="s">
        <v>10</v>
      </c>
      <c r="AC577">
        <v>0</v>
      </c>
      <c r="AD577">
        <v>0</v>
      </c>
      <c r="AE577">
        <v>726182084564</v>
      </c>
      <c r="AF577">
        <v>84.05</v>
      </c>
      <c r="AG577">
        <v>0</v>
      </c>
      <c r="AH577">
        <v>26.83</v>
      </c>
      <c r="AI577">
        <v>110.88</v>
      </c>
      <c r="AJ577" t="s">
        <v>2</v>
      </c>
      <c r="AK577" t="s">
        <v>11</v>
      </c>
    </row>
    <row r="578" spans="1:37">
      <c r="A578">
        <v>257786</v>
      </c>
      <c r="B578" s="1">
        <v>45366</v>
      </c>
      <c r="C578" t="s">
        <v>1253</v>
      </c>
      <c r="D578" t="s">
        <v>1254</v>
      </c>
      <c r="E578" t="s">
        <v>2</v>
      </c>
      <c r="F578" t="s">
        <v>1255</v>
      </c>
      <c r="G578" t="s">
        <v>35</v>
      </c>
      <c r="H578">
        <v>63043</v>
      </c>
      <c r="I578" t="s">
        <v>1256</v>
      </c>
      <c r="J578" t="s">
        <v>1257</v>
      </c>
      <c r="K578" t="s">
        <v>2</v>
      </c>
      <c r="L578" t="s">
        <v>1258</v>
      </c>
      <c r="M578" t="s">
        <v>255</v>
      </c>
      <c r="N578">
        <v>62298</v>
      </c>
      <c r="O578" t="s">
        <v>1259</v>
      </c>
      <c r="P578" t="s">
        <v>1260</v>
      </c>
      <c r="Q578" t="s">
        <v>21</v>
      </c>
      <c r="R578">
        <v>415619</v>
      </c>
      <c r="S578" t="s">
        <v>84</v>
      </c>
      <c r="T578" s="2">
        <v>1</v>
      </c>
      <c r="U578">
        <v>0</v>
      </c>
      <c r="V578" t="s">
        <v>236</v>
      </c>
      <c r="W578">
        <v>0</v>
      </c>
      <c r="X578">
        <v>0</v>
      </c>
      <c r="Y578">
        <v>0</v>
      </c>
      <c r="Z578" t="s">
        <v>9</v>
      </c>
      <c r="AA578" t="s">
        <v>2</v>
      </c>
      <c r="AB578" t="s">
        <v>10</v>
      </c>
      <c r="AC578">
        <v>0</v>
      </c>
      <c r="AD578">
        <v>0</v>
      </c>
      <c r="AE578">
        <v>726182084428</v>
      </c>
      <c r="AF578">
        <v>90.53</v>
      </c>
      <c r="AG578">
        <v>0</v>
      </c>
      <c r="AH578">
        <v>23.16</v>
      </c>
      <c r="AI578">
        <v>113.69</v>
      </c>
      <c r="AJ578" t="s">
        <v>2</v>
      </c>
      <c r="AK578" t="s">
        <v>11</v>
      </c>
    </row>
    <row r="579" spans="1:37">
      <c r="A579">
        <v>257786</v>
      </c>
      <c r="B579" s="1">
        <v>45366</v>
      </c>
      <c r="C579" t="s">
        <v>1253</v>
      </c>
      <c r="D579" t="s">
        <v>1254</v>
      </c>
      <c r="E579" t="s">
        <v>2</v>
      </c>
      <c r="F579" t="s">
        <v>1255</v>
      </c>
      <c r="G579" t="s">
        <v>35</v>
      </c>
      <c r="H579">
        <v>63043</v>
      </c>
      <c r="I579" t="s">
        <v>1256</v>
      </c>
      <c r="J579" t="s">
        <v>1257</v>
      </c>
      <c r="K579" t="s">
        <v>2</v>
      </c>
      <c r="L579" t="s">
        <v>1258</v>
      </c>
      <c r="M579" t="s">
        <v>255</v>
      </c>
      <c r="N579">
        <v>62298</v>
      </c>
      <c r="O579" t="s">
        <v>1259</v>
      </c>
      <c r="P579" t="s">
        <v>1260</v>
      </c>
      <c r="Q579" t="s">
        <v>21</v>
      </c>
      <c r="R579">
        <v>415619</v>
      </c>
      <c r="S579" t="s">
        <v>84</v>
      </c>
      <c r="T579" s="2">
        <v>1</v>
      </c>
      <c r="U579">
        <v>0</v>
      </c>
      <c r="V579" t="s">
        <v>236</v>
      </c>
      <c r="W579">
        <v>1</v>
      </c>
      <c r="X579">
        <v>1</v>
      </c>
      <c r="Y579">
        <v>0</v>
      </c>
      <c r="Z579" t="s">
        <v>784</v>
      </c>
      <c r="AA579" t="s">
        <v>785</v>
      </c>
      <c r="AB579" t="s">
        <v>14</v>
      </c>
      <c r="AC579">
        <v>90.5304</v>
      </c>
      <c r="AD579">
        <v>90.53</v>
      </c>
      <c r="AE579">
        <v>726182084428</v>
      </c>
      <c r="AF579">
        <v>90.53</v>
      </c>
      <c r="AG579">
        <v>0</v>
      </c>
      <c r="AH579">
        <v>23.16</v>
      </c>
      <c r="AI579">
        <v>113.69</v>
      </c>
      <c r="AJ579" t="s">
        <v>2</v>
      </c>
      <c r="AK579" t="s">
        <v>11</v>
      </c>
    </row>
    <row r="580" spans="1:37">
      <c r="A580">
        <v>257786</v>
      </c>
      <c r="B580" s="1">
        <v>45366</v>
      </c>
      <c r="C580" t="s">
        <v>1253</v>
      </c>
      <c r="D580" t="s">
        <v>1254</v>
      </c>
      <c r="E580" t="s">
        <v>2</v>
      </c>
      <c r="F580" t="s">
        <v>1255</v>
      </c>
      <c r="G580" t="s">
        <v>35</v>
      </c>
      <c r="H580">
        <v>63043</v>
      </c>
      <c r="I580" t="s">
        <v>1256</v>
      </c>
      <c r="J580" t="s">
        <v>1257</v>
      </c>
      <c r="K580" t="s">
        <v>2</v>
      </c>
      <c r="L580" t="s">
        <v>1258</v>
      </c>
      <c r="M580" t="s">
        <v>255</v>
      </c>
      <c r="N580">
        <v>62298</v>
      </c>
      <c r="O580" t="s">
        <v>1259</v>
      </c>
      <c r="P580" t="s">
        <v>1260</v>
      </c>
      <c r="Q580" t="s">
        <v>21</v>
      </c>
      <c r="R580">
        <v>415619</v>
      </c>
      <c r="S580" t="s">
        <v>84</v>
      </c>
      <c r="T580" s="2">
        <v>1</v>
      </c>
      <c r="U580">
        <v>0</v>
      </c>
      <c r="V580" t="s">
        <v>236</v>
      </c>
      <c r="W580">
        <v>0</v>
      </c>
      <c r="X580">
        <v>0</v>
      </c>
      <c r="Y580">
        <v>0</v>
      </c>
      <c r="Z580" t="s">
        <v>88</v>
      </c>
      <c r="AA580" t="s">
        <v>298</v>
      </c>
      <c r="AB580" t="s">
        <v>10</v>
      </c>
      <c r="AC580">
        <v>0</v>
      </c>
      <c r="AD580">
        <v>0</v>
      </c>
      <c r="AE580">
        <v>726182084428</v>
      </c>
      <c r="AF580">
        <v>90.53</v>
      </c>
      <c r="AG580">
        <v>0</v>
      </c>
      <c r="AH580">
        <v>23.16</v>
      </c>
      <c r="AI580">
        <v>113.69</v>
      </c>
      <c r="AJ580" t="s">
        <v>2</v>
      </c>
      <c r="AK580" t="s">
        <v>11</v>
      </c>
    </row>
    <row r="581" spans="1:37">
      <c r="A581">
        <v>257787</v>
      </c>
      <c r="B581" s="1">
        <v>45366</v>
      </c>
      <c r="C581" t="s">
        <v>1164</v>
      </c>
      <c r="D581" t="s">
        <v>1165</v>
      </c>
      <c r="E581" t="s">
        <v>2</v>
      </c>
      <c r="F581" t="s">
        <v>1166</v>
      </c>
      <c r="G581" t="s">
        <v>731</v>
      </c>
      <c r="H581">
        <v>19465</v>
      </c>
      <c r="I581" t="s">
        <v>1167</v>
      </c>
      <c r="J581" t="s">
        <v>1168</v>
      </c>
      <c r="K581" t="s">
        <v>2</v>
      </c>
      <c r="L581" t="s">
        <v>1169</v>
      </c>
      <c r="M581" t="s">
        <v>731</v>
      </c>
      <c r="N581">
        <v>18104</v>
      </c>
      <c r="O581" t="s">
        <v>1170</v>
      </c>
      <c r="P581">
        <v>39917</v>
      </c>
      <c r="Q581" t="s">
        <v>21</v>
      </c>
      <c r="R581">
        <v>415633</v>
      </c>
      <c r="S581" t="s">
        <v>84</v>
      </c>
      <c r="T581" s="2">
        <v>1</v>
      </c>
      <c r="U581">
        <v>0</v>
      </c>
      <c r="V581" t="s">
        <v>260</v>
      </c>
      <c r="W581">
        <v>0</v>
      </c>
      <c r="X581">
        <v>0</v>
      </c>
      <c r="Y581">
        <v>0</v>
      </c>
      <c r="Z581" t="s">
        <v>9</v>
      </c>
      <c r="AA581" t="s">
        <v>2</v>
      </c>
      <c r="AB581" t="s">
        <v>10</v>
      </c>
      <c r="AC581">
        <v>0</v>
      </c>
      <c r="AD581">
        <v>0</v>
      </c>
      <c r="AE581">
        <v>726182084954</v>
      </c>
      <c r="AF581">
        <v>462.55</v>
      </c>
      <c r="AG581">
        <v>0</v>
      </c>
      <c r="AH581">
        <v>56.35</v>
      </c>
      <c r="AI581">
        <v>518.9</v>
      </c>
      <c r="AJ581" t="s">
        <v>2</v>
      </c>
      <c r="AK581" t="s">
        <v>11</v>
      </c>
    </row>
    <row r="582" spans="1:37">
      <c r="A582">
        <v>257787</v>
      </c>
      <c r="B582" s="1">
        <v>45366</v>
      </c>
      <c r="C582" t="s">
        <v>1164</v>
      </c>
      <c r="D582" t="s">
        <v>1165</v>
      </c>
      <c r="E582" t="s">
        <v>2</v>
      </c>
      <c r="F582" t="s">
        <v>1166</v>
      </c>
      <c r="G582" t="s">
        <v>731</v>
      </c>
      <c r="H582">
        <v>19465</v>
      </c>
      <c r="I582" t="s">
        <v>1167</v>
      </c>
      <c r="J582" t="s">
        <v>1168</v>
      </c>
      <c r="K582" t="s">
        <v>2</v>
      </c>
      <c r="L582" t="s">
        <v>1169</v>
      </c>
      <c r="M582" t="s">
        <v>731</v>
      </c>
      <c r="N582">
        <v>18104</v>
      </c>
      <c r="O582" t="s">
        <v>1170</v>
      </c>
      <c r="P582">
        <v>39917</v>
      </c>
      <c r="Q582" t="s">
        <v>21</v>
      </c>
      <c r="R582">
        <v>415633</v>
      </c>
      <c r="S582" t="s">
        <v>84</v>
      </c>
      <c r="T582" s="2">
        <v>1</v>
      </c>
      <c r="U582">
        <v>0</v>
      </c>
      <c r="V582" t="s">
        <v>260</v>
      </c>
      <c r="W582">
        <v>1</v>
      </c>
      <c r="X582">
        <v>1</v>
      </c>
      <c r="Y582">
        <v>0</v>
      </c>
      <c r="Z582" t="s">
        <v>1172</v>
      </c>
      <c r="AA582" t="s">
        <v>1173</v>
      </c>
      <c r="AB582" t="s">
        <v>14</v>
      </c>
      <c r="AC582">
        <v>462.54520000000002</v>
      </c>
      <c r="AD582">
        <v>462.55</v>
      </c>
      <c r="AE582">
        <v>726182084954</v>
      </c>
      <c r="AF582">
        <v>462.55</v>
      </c>
      <c r="AG582">
        <v>0</v>
      </c>
      <c r="AH582">
        <v>56.35</v>
      </c>
      <c r="AI582">
        <v>518.9</v>
      </c>
      <c r="AJ582" t="s">
        <v>2</v>
      </c>
      <c r="AK582" t="s">
        <v>11</v>
      </c>
    </row>
    <row r="583" spans="1:37">
      <c r="A583">
        <v>257787</v>
      </c>
      <c r="B583" s="1">
        <v>45366</v>
      </c>
      <c r="C583" t="s">
        <v>1164</v>
      </c>
      <c r="D583" t="s">
        <v>1165</v>
      </c>
      <c r="E583" t="s">
        <v>2</v>
      </c>
      <c r="F583" t="s">
        <v>1166</v>
      </c>
      <c r="G583" t="s">
        <v>731</v>
      </c>
      <c r="H583">
        <v>19465</v>
      </c>
      <c r="I583" t="s">
        <v>1167</v>
      </c>
      <c r="J583" t="s">
        <v>1168</v>
      </c>
      <c r="K583" t="s">
        <v>2</v>
      </c>
      <c r="L583" t="s">
        <v>1169</v>
      </c>
      <c r="M583" t="s">
        <v>731</v>
      </c>
      <c r="N583">
        <v>18104</v>
      </c>
      <c r="O583" t="s">
        <v>1170</v>
      </c>
      <c r="P583">
        <v>39917</v>
      </c>
      <c r="Q583" t="s">
        <v>21</v>
      </c>
      <c r="R583">
        <v>415633</v>
      </c>
      <c r="S583" t="s">
        <v>84</v>
      </c>
      <c r="T583" s="2">
        <v>1</v>
      </c>
      <c r="U583">
        <v>0</v>
      </c>
      <c r="V583" t="s">
        <v>260</v>
      </c>
      <c r="W583">
        <v>0</v>
      </c>
      <c r="X583">
        <v>0</v>
      </c>
      <c r="Y583">
        <v>0</v>
      </c>
      <c r="Z583" t="s">
        <v>88</v>
      </c>
      <c r="AA583" t="s">
        <v>89</v>
      </c>
      <c r="AB583" t="s">
        <v>10</v>
      </c>
      <c r="AC583">
        <v>0</v>
      </c>
      <c r="AD583">
        <v>0</v>
      </c>
      <c r="AE583">
        <v>726182084954</v>
      </c>
      <c r="AF583">
        <v>462.55</v>
      </c>
      <c r="AG583">
        <v>0</v>
      </c>
      <c r="AH583">
        <v>56.35</v>
      </c>
      <c r="AI583">
        <v>518.9</v>
      </c>
      <c r="AJ583" t="s">
        <v>2</v>
      </c>
      <c r="AK583" t="s">
        <v>11</v>
      </c>
    </row>
    <row r="584" spans="1:37">
      <c r="A584">
        <v>257788</v>
      </c>
      <c r="B584" s="1">
        <v>45366</v>
      </c>
      <c r="C584" t="s">
        <v>424</v>
      </c>
      <c r="D584" t="s">
        <v>425</v>
      </c>
      <c r="E584" t="s">
        <v>426</v>
      </c>
      <c r="F584" t="s">
        <v>427</v>
      </c>
      <c r="G584" t="s">
        <v>103</v>
      </c>
      <c r="H584">
        <v>10013</v>
      </c>
      <c r="I584" t="s">
        <v>1261</v>
      </c>
      <c r="J584" t="s">
        <v>1262</v>
      </c>
      <c r="K584" t="s">
        <v>2</v>
      </c>
      <c r="L584" t="s">
        <v>1263</v>
      </c>
      <c r="M584" t="s">
        <v>137</v>
      </c>
      <c r="N584">
        <v>92626</v>
      </c>
      <c r="O584" t="s">
        <v>431</v>
      </c>
      <c r="P584">
        <v>1054876</v>
      </c>
      <c r="Q584" t="s">
        <v>21</v>
      </c>
      <c r="R584">
        <v>415644</v>
      </c>
      <c r="S584" t="s">
        <v>84</v>
      </c>
      <c r="T584" s="2">
        <v>2</v>
      </c>
      <c r="U584">
        <v>0</v>
      </c>
      <c r="V584" t="s">
        <v>260</v>
      </c>
      <c r="W584">
        <v>0</v>
      </c>
      <c r="X584">
        <v>0</v>
      </c>
      <c r="Y584">
        <v>0</v>
      </c>
      <c r="Z584" t="s">
        <v>9</v>
      </c>
      <c r="AA584" t="s">
        <v>2</v>
      </c>
      <c r="AB584" t="s">
        <v>10</v>
      </c>
      <c r="AC584">
        <v>0</v>
      </c>
      <c r="AD584">
        <v>0</v>
      </c>
      <c r="AE584">
        <v>726182084601</v>
      </c>
      <c r="AF584">
        <v>735.76</v>
      </c>
      <c r="AG584">
        <v>0</v>
      </c>
      <c r="AH584">
        <v>71.819999999999993</v>
      </c>
      <c r="AI584">
        <v>807.58</v>
      </c>
      <c r="AJ584" t="s">
        <v>2</v>
      </c>
      <c r="AK584" t="s">
        <v>11</v>
      </c>
    </row>
    <row r="585" spans="1:37">
      <c r="A585">
        <v>257788</v>
      </c>
      <c r="B585" s="1">
        <v>45366</v>
      </c>
      <c r="C585" t="s">
        <v>424</v>
      </c>
      <c r="D585" t="s">
        <v>425</v>
      </c>
      <c r="E585" t="s">
        <v>426</v>
      </c>
      <c r="F585" t="s">
        <v>427</v>
      </c>
      <c r="G585" t="s">
        <v>103</v>
      </c>
      <c r="H585">
        <v>10013</v>
      </c>
      <c r="I585" t="s">
        <v>1261</v>
      </c>
      <c r="J585" t="s">
        <v>1262</v>
      </c>
      <c r="K585" t="s">
        <v>2</v>
      </c>
      <c r="L585" t="s">
        <v>1263</v>
      </c>
      <c r="M585" t="s">
        <v>137</v>
      </c>
      <c r="N585">
        <v>92626</v>
      </c>
      <c r="O585" t="s">
        <v>431</v>
      </c>
      <c r="P585">
        <v>1054876</v>
      </c>
      <c r="Q585" t="s">
        <v>21</v>
      </c>
      <c r="R585">
        <v>415644</v>
      </c>
      <c r="S585" t="s">
        <v>84</v>
      </c>
      <c r="T585" s="2">
        <v>2</v>
      </c>
      <c r="U585">
        <v>0</v>
      </c>
      <c r="V585" t="s">
        <v>260</v>
      </c>
      <c r="W585">
        <v>2</v>
      </c>
      <c r="X585">
        <v>2</v>
      </c>
      <c r="Y585">
        <v>0</v>
      </c>
      <c r="Z585" t="s">
        <v>1264</v>
      </c>
      <c r="AA585" t="s">
        <v>1265</v>
      </c>
      <c r="AB585" t="s">
        <v>14</v>
      </c>
      <c r="AC585">
        <v>367.8818</v>
      </c>
      <c r="AD585">
        <v>735.76</v>
      </c>
      <c r="AE585">
        <v>726182084601</v>
      </c>
      <c r="AF585">
        <v>735.76</v>
      </c>
      <c r="AG585">
        <v>0</v>
      </c>
      <c r="AH585">
        <v>71.819999999999993</v>
      </c>
      <c r="AI585">
        <v>807.58</v>
      </c>
      <c r="AJ585" t="s">
        <v>2</v>
      </c>
      <c r="AK585" t="s">
        <v>11</v>
      </c>
    </row>
    <row r="586" spans="1:37">
      <c r="A586">
        <v>257788</v>
      </c>
      <c r="B586" s="1">
        <v>45366</v>
      </c>
      <c r="C586" t="s">
        <v>424</v>
      </c>
      <c r="D586" t="s">
        <v>425</v>
      </c>
      <c r="E586" t="s">
        <v>426</v>
      </c>
      <c r="F586" t="s">
        <v>427</v>
      </c>
      <c r="G586" t="s">
        <v>103</v>
      </c>
      <c r="H586">
        <v>10013</v>
      </c>
      <c r="I586" t="s">
        <v>1261</v>
      </c>
      <c r="J586" t="s">
        <v>1262</v>
      </c>
      <c r="K586" t="s">
        <v>2</v>
      </c>
      <c r="L586" t="s">
        <v>1263</v>
      </c>
      <c r="M586" t="s">
        <v>137</v>
      </c>
      <c r="N586">
        <v>92626</v>
      </c>
      <c r="O586" t="s">
        <v>431</v>
      </c>
      <c r="P586">
        <v>1054876</v>
      </c>
      <c r="Q586" t="s">
        <v>21</v>
      </c>
      <c r="R586">
        <v>415644</v>
      </c>
      <c r="S586" t="s">
        <v>84</v>
      </c>
      <c r="T586" s="2">
        <v>2</v>
      </c>
      <c r="U586">
        <v>0</v>
      </c>
      <c r="V586" t="s">
        <v>260</v>
      </c>
      <c r="W586">
        <v>0</v>
      </c>
      <c r="X586">
        <v>0</v>
      </c>
      <c r="Y586">
        <v>0</v>
      </c>
      <c r="Z586" t="s">
        <v>88</v>
      </c>
      <c r="AA586" t="s">
        <v>887</v>
      </c>
      <c r="AB586" t="s">
        <v>10</v>
      </c>
      <c r="AC586">
        <v>0</v>
      </c>
      <c r="AD586">
        <v>0</v>
      </c>
      <c r="AE586">
        <v>726182084601</v>
      </c>
      <c r="AF586">
        <v>735.76</v>
      </c>
      <c r="AG586">
        <v>0</v>
      </c>
      <c r="AH586">
        <v>71.819999999999993</v>
      </c>
      <c r="AI586">
        <v>807.58</v>
      </c>
      <c r="AJ586" t="s">
        <v>2</v>
      </c>
      <c r="AK586" t="s">
        <v>11</v>
      </c>
    </row>
    <row r="587" spans="1:37">
      <c r="A587">
        <v>257789</v>
      </c>
      <c r="B587" s="1">
        <v>45366</v>
      </c>
      <c r="C587" t="s">
        <v>64</v>
      </c>
      <c r="D587" t="s">
        <v>65</v>
      </c>
      <c r="E587" t="s">
        <v>2</v>
      </c>
      <c r="F587" t="s">
        <v>66</v>
      </c>
      <c r="G587" t="s">
        <v>67</v>
      </c>
      <c r="H587">
        <v>75224</v>
      </c>
      <c r="I587" t="s">
        <v>1266</v>
      </c>
      <c r="J587" t="s">
        <v>1267</v>
      </c>
      <c r="K587" t="s">
        <v>1268</v>
      </c>
      <c r="L587" t="s">
        <v>1269</v>
      </c>
      <c r="M587" t="s">
        <v>75</v>
      </c>
      <c r="N587">
        <v>55121</v>
      </c>
      <c r="O587" t="s">
        <v>68</v>
      </c>
      <c r="P587" t="s">
        <v>1270</v>
      </c>
      <c r="Q587" t="s">
        <v>6</v>
      </c>
      <c r="R587">
        <v>415651</v>
      </c>
      <c r="S587" t="s">
        <v>84</v>
      </c>
      <c r="T587" s="2">
        <v>1</v>
      </c>
      <c r="U587">
        <v>0</v>
      </c>
      <c r="V587" t="s">
        <v>260</v>
      </c>
      <c r="W587">
        <v>0</v>
      </c>
      <c r="X587">
        <v>0</v>
      </c>
      <c r="Y587">
        <v>0</v>
      </c>
      <c r="Z587" t="s">
        <v>9</v>
      </c>
      <c r="AA587" t="s">
        <v>2</v>
      </c>
      <c r="AB587" t="s">
        <v>10</v>
      </c>
      <c r="AC587">
        <v>0</v>
      </c>
      <c r="AD587">
        <v>0</v>
      </c>
      <c r="AE587">
        <v>726182084645</v>
      </c>
      <c r="AF587">
        <v>503.31</v>
      </c>
      <c r="AG587">
        <v>0</v>
      </c>
      <c r="AH587">
        <v>48.89</v>
      </c>
      <c r="AI587">
        <v>552.20000000000005</v>
      </c>
      <c r="AJ587" t="s">
        <v>2</v>
      </c>
      <c r="AK587" t="s">
        <v>11</v>
      </c>
    </row>
    <row r="588" spans="1:37">
      <c r="A588">
        <v>257789</v>
      </c>
      <c r="B588" s="1">
        <v>45366</v>
      </c>
      <c r="C588" t="s">
        <v>64</v>
      </c>
      <c r="D588" t="s">
        <v>65</v>
      </c>
      <c r="E588" t="s">
        <v>2</v>
      </c>
      <c r="F588" t="s">
        <v>66</v>
      </c>
      <c r="G588" t="s">
        <v>67</v>
      </c>
      <c r="H588">
        <v>75224</v>
      </c>
      <c r="I588" t="s">
        <v>1266</v>
      </c>
      <c r="J588" t="s">
        <v>1267</v>
      </c>
      <c r="K588" t="s">
        <v>1268</v>
      </c>
      <c r="L588" t="s">
        <v>1269</v>
      </c>
      <c r="M588" t="s">
        <v>75</v>
      </c>
      <c r="N588">
        <v>55121</v>
      </c>
      <c r="O588" t="s">
        <v>68</v>
      </c>
      <c r="P588" t="s">
        <v>1270</v>
      </c>
      <c r="Q588" t="s">
        <v>6</v>
      </c>
      <c r="R588">
        <v>415651</v>
      </c>
      <c r="S588" t="s">
        <v>84</v>
      </c>
      <c r="T588" s="2">
        <v>1</v>
      </c>
      <c r="U588">
        <v>0</v>
      </c>
      <c r="V588" t="s">
        <v>260</v>
      </c>
      <c r="W588">
        <v>1</v>
      </c>
      <c r="X588">
        <v>1</v>
      </c>
      <c r="Y588">
        <v>0</v>
      </c>
      <c r="Z588" t="s">
        <v>1271</v>
      </c>
      <c r="AA588" t="s">
        <v>1272</v>
      </c>
      <c r="AB588" t="s">
        <v>14</v>
      </c>
      <c r="AC588">
        <v>503.30540000000002</v>
      </c>
      <c r="AD588">
        <v>503.31</v>
      </c>
      <c r="AE588">
        <v>726182084645</v>
      </c>
      <c r="AF588">
        <v>503.31</v>
      </c>
      <c r="AG588">
        <v>0</v>
      </c>
      <c r="AH588">
        <v>48.89</v>
      </c>
      <c r="AI588">
        <v>552.20000000000005</v>
      </c>
      <c r="AJ588" t="s">
        <v>2</v>
      </c>
      <c r="AK588" t="s">
        <v>11</v>
      </c>
    </row>
    <row r="589" spans="1:37">
      <c r="A589">
        <v>257789</v>
      </c>
      <c r="B589" s="1">
        <v>45366</v>
      </c>
      <c r="C589" t="s">
        <v>64</v>
      </c>
      <c r="D589" t="s">
        <v>65</v>
      </c>
      <c r="E589" t="s">
        <v>2</v>
      </c>
      <c r="F589" t="s">
        <v>66</v>
      </c>
      <c r="G589" t="s">
        <v>67</v>
      </c>
      <c r="H589">
        <v>75224</v>
      </c>
      <c r="I589" t="s">
        <v>1266</v>
      </c>
      <c r="J589" t="s">
        <v>1267</v>
      </c>
      <c r="K589" t="s">
        <v>1268</v>
      </c>
      <c r="L589" t="s">
        <v>1269</v>
      </c>
      <c r="M589" t="s">
        <v>75</v>
      </c>
      <c r="N589">
        <v>55121</v>
      </c>
      <c r="O589" t="s">
        <v>68</v>
      </c>
      <c r="P589" t="s">
        <v>1270</v>
      </c>
      <c r="Q589" t="s">
        <v>6</v>
      </c>
      <c r="R589">
        <v>415651</v>
      </c>
      <c r="S589" t="s">
        <v>84</v>
      </c>
      <c r="T589" s="2">
        <v>1</v>
      </c>
      <c r="U589">
        <v>0</v>
      </c>
      <c r="V589" t="s">
        <v>260</v>
      </c>
      <c r="W589">
        <v>0</v>
      </c>
      <c r="X589">
        <v>0</v>
      </c>
      <c r="Y589">
        <v>0</v>
      </c>
      <c r="Z589" t="s">
        <v>88</v>
      </c>
      <c r="AA589" t="s">
        <v>116</v>
      </c>
      <c r="AB589" t="s">
        <v>10</v>
      </c>
      <c r="AC589">
        <v>0</v>
      </c>
      <c r="AD589">
        <v>0</v>
      </c>
      <c r="AE589">
        <v>726182084645</v>
      </c>
      <c r="AF589">
        <v>503.31</v>
      </c>
      <c r="AG589">
        <v>0</v>
      </c>
      <c r="AH589">
        <v>48.89</v>
      </c>
      <c r="AI589">
        <v>552.20000000000005</v>
      </c>
      <c r="AJ589" t="s">
        <v>2</v>
      </c>
      <c r="AK589" t="s">
        <v>11</v>
      </c>
    </row>
    <row r="590" spans="1:37">
      <c r="A590">
        <v>257790</v>
      </c>
      <c r="B590" s="1">
        <v>45366</v>
      </c>
      <c r="C590" t="s">
        <v>1273</v>
      </c>
      <c r="D590" t="s">
        <v>1274</v>
      </c>
      <c r="E590" t="s">
        <v>1275</v>
      </c>
      <c r="F590" t="s">
        <v>1276</v>
      </c>
      <c r="G590" t="s">
        <v>163</v>
      </c>
      <c r="H590">
        <v>80120</v>
      </c>
      <c r="I590" t="s">
        <v>1277</v>
      </c>
      <c r="J590" t="s">
        <v>1278</v>
      </c>
      <c r="K590" t="s">
        <v>2</v>
      </c>
      <c r="L590" t="s">
        <v>957</v>
      </c>
      <c r="M590" t="s">
        <v>173</v>
      </c>
      <c r="N590">
        <v>98108</v>
      </c>
      <c r="O590" t="s">
        <v>1279</v>
      </c>
      <c r="P590">
        <v>8002871</v>
      </c>
      <c r="Q590" t="s">
        <v>21</v>
      </c>
      <c r="R590">
        <v>415654</v>
      </c>
      <c r="S590" t="s">
        <v>84</v>
      </c>
      <c r="T590" s="2">
        <v>1</v>
      </c>
      <c r="U590">
        <v>0</v>
      </c>
      <c r="V590" t="s">
        <v>260</v>
      </c>
      <c r="W590">
        <v>0</v>
      </c>
      <c r="X590">
        <v>0</v>
      </c>
      <c r="Y590">
        <v>0</v>
      </c>
      <c r="Z590" t="s">
        <v>9</v>
      </c>
      <c r="AA590" t="s">
        <v>2</v>
      </c>
      <c r="AB590" t="s">
        <v>10</v>
      </c>
      <c r="AC590">
        <v>0</v>
      </c>
      <c r="AD590">
        <v>0</v>
      </c>
      <c r="AE590">
        <v>726182084689</v>
      </c>
      <c r="AF590">
        <v>422.97</v>
      </c>
      <c r="AG590">
        <v>0</v>
      </c>
      <c r="AH590">
        <v>54.07</v>
      </c>
      <c r="AI590">
        <v>477.04</v>
      </c>
      <c r="AJ590" t="s">
        <v>2</v>
      </c>
      <c r="AK590" t="s">
        <v>11</v>
      </c>
    </row>
    <row r="591" spans="1:37">
      <c r="A591">
        <v>257790</v>
      </c>
      <c r="B591" s="1">
        <v>45366</v>
      </c>
      <c r="C591" t="s">
        <v>1273</v>
      </c>
      <c r="D591" t="s">
        <v>1274</v>
      </c>
      <c r="E591" t="s">
        <v>1275</v>
      </c>
      <c r="F591" t="s">
        <v>1276</v>
      </c>
      <c r="G591" t="s">
        <v>163</v>
      </c>
      <c r="H591">
        <v>80120</v>
      </c>
      <c r="I591" t="s">
        <v>1277</v>
      </c>
      <c r="J591" t="s">
        <v>1278</v>
      </c>
      <c r="K591" t="s">
        <v>2</v>
      </c>
      <c r="L591" t="s">
        <v>957</v>
      </c>
      <c r="M591" t="s">
        <v>173</v>
      </c>
      <c r="N591">
        <v>98108</v>
      </c>
      <c r="O591" t="s">
        <v>1279</v>
      </c>
      <c r="P591">
        <v>8002871</v>
      </c>
      <c r="Q591" t="s">
        <v>21</v>
      </c>
      <c r="R591">
        <v>415654</v>
      </c>
      <c r="S591" t="s">
        <v>84</v>
      </c>
      <c r="T591" s="2">
        <v>1</v>
      </c>
      <c r="U591">
        <v>0</v>
      </c>
      <c r="V591" t="s">
        <v>260</v>
      </c>
      <c r="W591">
        <v>1</v>
      </c>
      <c r="X591">
        <v>1</v>
      </c>
      <c r="Y591">
        <v>0</v>
      </c>
      <c r="Z591" t="s">
        <v>1280</v>
      </c>
      <c r="AA591" t="s">
        <v>1281</v>
      </c>
      <c r="AB591" t="s">
        <v>14</v>
      </c>
      <c r="AC591">
        <v>422.9744</v>
      </c>
      <c r="AD591">
        <v>422.97</v>
      </c>
      <c r="AE591">
        <v>726182084689</v>
      </c>
      <c r="AF591">
        <v>422.97</v>
      </c>
      <c r="AG591">
        <v>0</v>
      </c>
      <c r="AH591">
        <v>54.07</v>
      </c>
      <c r="AI591">
        <v>477.04</v>
      </c>
      <c r="AJ591" t="s">
        <v>2</v>
      </c>
      <c r="AK591" t="s">
        <v>11</v>
      </c>
    </row>
    <row r="592" spans="1:37">
      <c r="A592">
        <v>257790</v>
      </c>
      <c r="B592" s="1">
        <v>45366</v>
      </c>
      <c r="C592" t="s">
        <v>1273</v>
      </c>
      <c r="D592" t="s">
        <v>1274</v>
      </c>
      <c r="E592" t="s">
        <v>1275</v>
      </c>
      <c r="F592" t="s">
        <v>1276</v>
      </c>
      <c r="G592" t="s">
        <v>163</v>
      </c>
      <c r="H592">
        <v>80120</v>
      </c>
      <c r="I592" t="s">
        <v>1277</v>
      </c>
      <c r="J592" t="s">
        <v>1278</v>
      </c>
      <c r="K592" t="s">
        <v>2</v>
      </c>
      <c r="L592" t="s">
        <v>957</v>
      </c>
      <c r="M592" t="s">
        <v>173</v>
      </c>
      <c r="N592">
        <v>98108</v>
      </c>
      <c r="O592" t="s">
        <v>1279</v>
      </c>
      <c r="P592">
        <v>8002871</v>
      </c>
      <c r="Q592" t="s">
        <v>21</v>
      </c>
      <c r="R592">
        <v>415654</v>
      </c>
      <c r="S592" t="s">
        <v>84</v>
      </c>
      <c r="T592" s="2">
        <v>1</v>
      </c>
      <c r="U592">
        <v>0</v>
      </c>
      <c r="V592" t="s">
        <v>260</v>
      </c>
      <c r="W592">
        <v>0</v>
      </c>
      <c r="X592">
        <v>0</v>
      </c>
      <c r="Y592">
        <v>0</v>
      </c>
      <c r="Z592" t="s">
        <v>88</v>
      </c>
      <c r="AA592" t="s">
        <v>887</v>
      </c>
      <c r="AB592" t="s">
        <v>10</v>
      </c>
      <c r="AC592">
        <v>0</v>
      </c>
      <c r="AD592">
        <v>0</v>
      </c>
      <c r="AE592">
        <v>726182084689</v>
      </c>
      <c r="AF592">
        <v>422.97</v>
      </c>
      <c r="AG592">
        <v>0</v>
      </c>
      <c r="AH592">
        <v>54.07</v>
      </c>
      <c r="AI592">
        <v>477.04</v>
      </c>
      <c r="AJ592" t="s">
        <v>2</v>
      </c>
      <c r="AK592" t="s">
        <v>11</v>
      </c>
    </row>
    <row r="593" spans="1:37">
      <c r="A593">
        <v>257791</v>
      </c>
      <c r="B593" s="1">
        <v>45366</v>
      </c>
      <c r="C593" t="s">
        <v>909</v>
      </c>
      <c r="D593" t="s">
        <v>910</v>
      </c>
      <c r="E593" t="s">
        <v>2</v>
      </c>
      <c r="F593" t="s">
        <v>766</v>
      </c>
      <c r="G593" t="s">
        <v>767</v>
      </c>
      <c r="H593">
        <v>37210</v>
      </c>
      <c r="I593" t="s">
        <v>1282</v>
      </c>
      <c r="J593" t="s">
        <v>1283</v>
      </c>
      <c r="K593" t="s">
        <v>1284</v>
      </c>
      <c r="L593" t="s">
        <v>1285</v>
      </c>
      <c r="M593" t="s">
        <v>767</v>
      </c>
      <c r="N593" t="s">
        <v>1286</v>
      </c>
      <c r="O593" t="s">
        <v>915</v>
      </c>
      <c r="P593">
        <v>960550</v>
      </c>
      <c r="Q593" t="s">
        <v>21</v>
      </c>
      <c r="R593">
        <v>415666</v>
      </c>
      <c r="S593" t="s">
        <v>84</v>
      </c>
      <c r="T593" s="2">
        <v>1</v>
      </c>
      <c r="U593">
        <v>0</v>
      </c>
      <c r="V593" t="s">
        <v>236</v>
      </c>
      <c r="W593">
        <v>0</v>
      </c>
      <c r="X593">
        <v>0</v>
      </c>
      <c r="Y593">
        <v>0</v>
      </c>
      <c r="Z593" t="s">
        <v>9</v>
      </c>
      <c r="AA593" t="s">
        <v>2</v>
      </c>
      <c r="AB593" t="s">
        <v>10</v>
      </c>
      <c r="AC593">
        <v>0</v>
      </c>
      <c r="AD593">
        <v>0</v>
      </c>
      <c r="AE593">
        <v>726182084472</v>
      </c>
      <c r="AF593">
        <v>85.7</v>
      </c>
      <c r="AG593">
        <v>0</v>
      </c>
      <c r="AH593">
        <v>22.9</v>
      </c>
      <c r="AI593">
        <v>108.6</v>
      </c>
      <c r="AJ593" t="s">
        <v>2</v>
      </c>
      <c r="AK593" t="s">
        <v>11</v>
      </c>
    </row>
    <row r="594" spans="1:37">
      <c r="A594">
        <v>257791</v>
      </c>
      <c r="B594" s="1">
        <v>45366</v>
      </c>
      <c r="C594" t="s">
        <v>909</v>
      </c>
      <c r="D594" t="s">
        <v>910</v>
      </c>
      <c r="E594" t="s">
        <v>2</v>
      </c>
      <c r="F594" t="s">
        <v>766</v>
      </c>
      <c r="G594" t="s">
        <v>767</v>
      </c>
      <c r="H594">
        <v>37210</v>
      </c>
      <c r="I594" t="s">
        <v>1282</v>
      </c>
      <c r="J594" t="s">
        <v>1283</v>
      </c>
      <c r="K594" t="s">
        <v>1284</v>
      </c>
      <c r="L594" t="s">
        <v>1285</v>
      </c>
      <c r="M594" t="s">
        <v>767</v>
      </c>
      <c r="N594" t="s">
        <v>1286</v>
      </c>
      <c r="O594" t="s">
        <v>915</v>
      </c>
      <c r="P594">
        <v>960550</v>
      </c>
      <c r="Q594" t="s">
        <v>21</v>
      </c>
      <c r="R594">
        <v>415666</v>
      </c>
      <c r="S594" t="s">
        <v>84</v>
      </c>
      <c r="T594" s="2">
        <v>1</v>
      </c>
      <c r="U594">
        <v>0</v>
      </c>
      <c r="V594" t="s">
        <v>236</v>
      </c>
      <c r="W594">
        <v>1</v>
      </c>
      <c r="X594">
        <v>1</v>
      </c>
      <c r="Y594">
        <v>0</v>
      </c>
      <c r="Z594" t="s">
        <v>1287</v>
      </c>
      <c r="AA594" t="s">
        <v>1288</v>
      </c>
      <c r="AB594" t="s">
        <v>14</v>
      </c>
      <c r="AC594">
        <v>85.704400000000007</v>
      </c>
      <c r="AD594">
        <v>85.7</v>
      </c>
      <c r="AE594">
        <v>726182084472</v>
      </c>
      <c r="AF594">
        <v>85.7</v>
      </c>
      <c r="AG594">
        <v>0</v>
      </c>
      <c r="AH594">
        <v>22.9</v>
      </c>
      <c r="AI594">
        <v>108.6</v>
      </c>
      <c r="AJ594" t="s">
        <v>2</v>
      </c>
      <c r="AK594" t="s">
        <v>11</v>
      </c>
    </row>
    <row r="595" spans="1:37">
      <c r="A595">
        <v>257791</v>
      </c>
      <c r="B595" s="1">
        <v>45366</v>
      </c>
      <c r="C595" t="s">
        <v>909</v>
      </c>
      <c r="D595" t="s">
        <v>910</v>
      </c>
      <c r="E595" t="s">
        <v>2</v>
      </c>
      <c r="F595" t="s">
        <v>766</v>
      </c>
      <c r="G595" t="s">
        <v>767</v>
      </c>
      <c r="H595">
        <v>37210</v>
      </c>
      <c r="I595" t="s">
        <v>1282</v>
      </c>
      <c r="J595" t="s">
        <v>1283</v>
      </c>
      <c r="K595" t="s">
        <v>1284</v>
      </c>
      <c r="L595" t="s">
        <v>1285</v>
      </c>
      <c r="M595" t="s">
        <v>767</v>
      </c>
      <c r="N595" t="s">
        <v>1286</v>
      </c>
      <c r="O595" t="s">
        <v>915</v>
      </c>
      <c r="P595">
        <v>960550</v>
      </c>
      <c r="Q595" t="s">
        <v>21</v>
      </c>
      <c r="R595">
        <v>415666</v>
      </c>
      <c r="S595" t="s">
        <v>84</v>
      </c>
      <c r="T595" s="2">
        <v>1</v>
      </c>
      <c r="U595">
        <v>0</v>
      </c>
      <c r="V595" t="s">
        <v>236</v>
      </c>
      <c r="W595">
        <v>0</v>
      </c>
      <c r="X595">
        <v>0</v>
      </c>
      <c r="Y595">
        <v>0</v>
      </c>
      <c r="Z595" t="s">
        <v>88</v>
      </c>
      <c r="AA595" t="s">
        <v>317</v>
      </c>
      <c r="AB595" t="s">
        <v>10</v>
      </c>
      <c r="AC595">
        <v>0</v>
      </c>
      <c r="AD595">
        <v>0</v>
      </c>
      <c r="AE595">
        <v>726182084472</v>
      </c>
      <c r="AF595">
        <v>85.7</v>
      </c>
      <c r="AG595">
        <v>0</v>
      </c>
      <c r="AH595">
        <v>22.9</v>
      </c>
      <c r="AI595">
        <v>108.6</v>
      </c>
      <c r="AJ595" t="s">
        <v>2</v>
      </c>
      <c r="AK595" t="s">
        <v>11</v>
      </c>
    </row>
    <row r="596" spans="1:37">
      <c r="A596">
        <v>257792</v>
      </c>
      <c r="B596" s="1">
        <v>45366</v>
      </c>
      <c r="C596" t="s">
        <v>572</v>
      </c>
      <c r="D596" t="s">
        <v>573</v>
      </c>
      <c r="E596" t="s">
        <v>2</v>
      </c>
      <c r="F596" t="s">
        <v>574</v>
      </c>
      <c r="G596" t="s">
        <v>575</v>
      </c>
      <c r="H596">
        <v>48189</v>
      </c>
      <c r="I596" t="s">
        <v>1289</v>
      </c>
      <c r="J596" t="s">
        <v>1290</v>
      </c>
      <c r="K596" t="s">
        <v>1291</v>
      </c>
      <c r="L596" t="s">
        <v>578</v>
      </c>
      <c r="M596" t="s">
        <v>579</v>
      </c>
      <c r="N596" t="s">
        <v>1292</v>
      </c>
      <c r="O596" t="s">
        <v>581</v>
      </c>
      <c r="P596">
        <v>2278684</v>
      </c>
      <c r="Q596" t="s">
        <v>38</v>
      </c>
      <c r="R596">
        <v>415667</v>
      </c>
      <c r="S596" t="s">
        <v>84</v>
      </c>
      <c r="T596" s="2">
        <v>1</v>
      </c>
      <c r="U596">
        <v>0</v>
      </c>
      <c r="V596" t="s">
        <v>153</v>
      </c>
      <c r="W596">
        <v>0</v>
      </c>
      <c r="X596">
        <v>0</v>
      </c>
      <c r="Y596">
        <v>0</v>
      </c>
      <c r="Z596" t="s">
        <v>9</v>
      </c>
      <c r="AA596" t="s">
        <v>2</v>
      </c>
      <c r="AB596" t="s">
        <v>10</v>
      </c>
      <c r="AC596">
        <v>0</v>
      </c>
      <c r="AD596">
        <v>0</v>
      </c>
      <c r="AE596">
        <v>726182084900</v>
      </c>
      <c r="AF596">
        <v>105.69</v>
      </c>
      <c r="AG596">
        <v>0</v>
      </c>
      <c r="AH596">
        <v>15.58</v>
      </c>
      <c r="AI596">
        <v>121.27</v>
      </c>
      <c r="AJ596" t="s">
        <v>2</v>
      </c>
      <c r="AK596" t="s">
        <v>11</v>
      </c>
    </row>
    <row r="597" spans="1:37">
      <c r="A597">
        <v>257792</v>
      </c>
      <c r="B597" s="1">
        <v>45366</v>
      </c>
      <c r="C597" t="s">
        <v>572</v>
      </c>
      <c r="D597" t="s">
        <v>573</v>
      </c>
      <c r="E597" t="s">
        <v>2</v>
      </c>
      <c r="F597" t="s">
        <v>574</v>
      </c>
      <c r="G597" t="s">
        <v>575</v>
      </c>
      <c r="H597">
        <v>48189</v>
      </c>
      <c r="I597" t="s">
        <v>1289</v>
      </c>
      <c r="J597" t="s">
        <v>1290</v>
      </c>
      <c r="K597" t="s">
        <v>1291</v>
      </c>
      <c r="L597" t="s">
        <v>578</v>
      </c>
      <c r="M597" t="s">
        <v>579</v>
      </c>
      <c r="N597" t="s">
        <v>1292</v>
      </c>
      <c r="O597" t="s">
        <v>581</v>
      </c>
      <c r="P597">
        <v>2278684</v>
      </c>
      <c r="Q597" t="s">
        <v>38</v>
      </c>
      <c r="R597">
        <v>415667</v>
      </c>
      <c r="S597" t="s">
        <v>84</v>
      </c>
      <c r="T597" s="2">
        <v>1</v>
      </c>
      <c r="U597">
        <v>0</v>
      </c>
      <c r="V597" t="s">
        <v>153</v>
      </c>
      <c r="W597">
        <v>0</v>
      </c>
      <c r="X597">
        <v>0</v>
      </c>
      <c r="Y597">
        <v>0</v>
      </c>
      <c r="Z597" t="s">
        <v>88</v>
      </c>
      <c r="AA597" t="s">
        <v>311</v>
      </c>
      <c r="AB597" t="s">
        <v>10</v>
      </c>
      <c r="AC597">
        <v>0</v>
      </c>
      <c r="AD597">
        <v>0</v>
      </c>
      <c r="AE597">
        <v>726182084900</v>
      </c>
      <c r="AF597">
        <v>105.69</v>
      </c>
      <c r="AG597">
        <v>0</v>
      </c>
      <c r="AH597">
        <v>15.58</v>
      </c>
      <c r="AI597">
        <v>121.27</v>
      </c>
      <c r="AJ597" t="s">
        <v>2</v>
      </c>
      <c r="AK597" t="s">
        <v>11</v>
      </c>
    </row>
    <row r="598" spans="1:37">
      <c r="A598">
        <v>257792</v>
      </c>
      <c r="B598" s="1">
        <v>45366</v>
      </c>
      <c r="C598" t="s">
        <v>572</v>
      </c>
      <c r="D598" t="s">
        <v>573</v>
      </c>
      <c r="E598" t="s">
        <v>2</v>
      </c>
      <c r="F598" t="s">
        <v>574</v>
      </c>
      <c r="G598" t="s">
        <v>575</v>
      </c>
      <c r="H598">
        <v>48189</v>
      </c>
      <c r="I598" t="s">
        <v>1289</v>
      </c>
      <c r="J598" t="s">
        <v>1290</v>
      </c>
      <c r="K598" t="s">
        <v>1291</v>
      </c>
      <c r="L598" t="s">
        <v>578</v>
      </c>
      <c r="M598" t="s">
        <v>579</v>
      </c>
      <c r="N598" t="s">
        <v>1292</v>
      </c>
      <c r="O598" t="s">
        <v>581</v>
      </c>
      <c r="P598">
        <v>2278684</v>
      </c>
      <c r="Q598" t="s">
        <v>38</v>
      </c>
      <c r="R598">
        <v>415667</v>
      </c>
      <c r="S598" t="s">
        <v>84</v>
      </c>
      <c r="T598" s="2">
        <v>1</v>
      </c>
      <c r="U598">
        <v>0</v>
      </c>
      <c r="V598" t="s">
        <v>153</v>
      </c>
      <c r="W598">
        <v>1</v>
      </c>
      <c r="X598">
        <v>1</v>
      </c>
      <c r="Y598">
        <v>0</v>
      </c>
      <c r="Z598" t="s">
        <v>1293</v>
      </c>
      <c r="AA598" t="s">
        <v>1294</v>
      </c>
      <c r="AB598" t="s">
        <v>14</v>
      </c>
      <c r="AC598">
        <v>105.687</v>
      </c>
      <c r="AD598">
        <v>105.69</v>
      </c>
      <c r="AE598">
        <v>726182084900</v>
      </c>
      <c r="AF598">
        <v>105.69</v>
      </c>
      <c r="AG598">
        <v>0</v>
      </c>
      <c r="AH598">
        <v>15.58</v>
      </c>
      <c r="AI598">
        <v>121.27</v>
      </c>
      <c r="AJ598" t="s">
        <v>2</v>
      </c>
      <c r="AK598" t="s">
        <v>11</v>
      </c>
    </row>
    <row r="599" spans="1:37">
      <c r="A599">
        <v>257792</v>
      </c>
      <c r="B599" s="1">
        <v>45366</v>
      </c>
      <c r="C599" t="s">
        <v>572</v>
      </c>
      <c r="D599" t="s">
        <v>573</v>
      </c>
      <c r="E599" t="s">
        <v>2</v>
      </c>
      <c r="F599" t="s">
        <v>574</v>
      </c>
      <c r="G599" t="s">
        <v>575</v>
      </c>
      <c r="H599">
        <v>48189</v>
      </c>
      <c r="I599" t="s">
        <v>1289</v>
      </c>
      <c r="J599" t="s">
        <v>1290</v>
      </c>
      <c r="K599" t="s">
        <v>1291</v>
      </c>
      <c r="L599" t="s">
        <v>578</v>
      </c>
      <c r="M599" t="s">
        <v>579</v>
      </c>
      <c r="N599" t="s">
        <v>1292</v>
      </c>
      <c r="O599" t="s">
        <v>581</v>
      </c>
      <c r="P599">
        <v>2278684</v>
      </c>
      <c r="Q599" t="s">
        <v>38</v>
      </c>
      <c r="R599">
        <v>415667</v>
      </c>
      <c r="S599" t="s">
        <v>84</v>
      </c>
      <c r="T599" s="2">
        <v>1</v>
      </c>
      <c r="U599">
        <v>0</v>
      </c>
      <c r="V599" t="s">
        <v>153</v>
      </c>
      <c r="W599">
        <v>0</v>
      </c>
      <c r="X599">
        <v>0</v>
      </c>
      <c r="Y599">
        <v>0</v>
      </c>
      <c r="Z599" t="s">
        <v>88</v>
      </c>
      <c r="AA599" t="s">
        <v>240</v>
      </c>
      <c r="AB599" t="s">
        <v>10</v>
      </c>
      <c r="AC599">
        <v>0</v>
      </c>
      <c r="AD599">
        <v>0</v>
      </c>
      <c r="AE599">
        <v>726182084900</v>
      </c>
      <c r="AF599">
        <v>105.69</v>
      </c>
      <c r="AG599">
        <v>0</v>
      </c>
      <c r="AH599">
        <v>15.58</v>
      </c>
      <c r="AI599">
        <v>121.27</v>
      </c>
      <c r="AJ599" t="s">
        <v>2</v>
      </c>
      <c r="AK599" t="s">
        <v>11</v>
      </c>
    </row>
    <row r="600" spans="1:37">
      <c r="A600">
        <v>257793</v>
      </c>
      <c r="B600" s="1">
        <v>45366</v>
      </c>
      <c r="C600" t="s">
        <v>1273</v>
      </c>
      <c r="D600" t="s">
        <v>1274</v>
      </c>
      <c r="E600" t="s">
        <v>1275</v>
      </c>
      <c r="F600" t="s">
        <v>1276</v>
      </c>
      <c r="G600" t="s">
        <v>163</v>
      </c>
      <c r="H600">
        <v>80120</v>
      </c>
      <c r="I600" t="s">
        <v>1295</v>
      </c>
      <c r="J600" t="s">
        <v>1296</v>
      </c>
      <c r="K600" t="s">
        <v>1297</v>
      </c>
      <c r="L600" t="s">
        <v>1298</v>
      </c>
      <c r="M600" t="s">
        <v>137</v>
      </c>
      <c r="N600">
        <v>90806</v>
      </c>
      <c r="O600" t="s">
        <v>1279</v>
      </c>
      <c r="P600">
        <v>8002880</v>
      </c>
      <c r="Q600" t="s">
        <v>6</v>
      </c>
      <c r="R600">
        <v>415686</v>
      </c>
      <c r="S600" t="s">
        <v>1299</v>
      </c>
      <c r="T600" s="2">
        <v>2</v>
      </c>
      <c r="U600">
        <v>0</v>
      </c>
      <c r="V600" t="s">
        <v>260</v>
      </c>
      <c r="W600">
        <v>0</v>
      </c>
      <c r="X600">
        <v>0</v>
      </c>
      <c r="Y600">
        <v>0</v>
      </c>
      <c r="Z600" t="s">
        <v>9</v>
      </c>
      <c r="AA600" t="s">
        <v>2</v>
      </c>
      <c r="AB600" t="s">
        <v>10</v>
      </c>
      <c r="AC600">
        <v>0</v>
      </c>
      <c r="AD600">
        <v>0</v>
      </c>
      <c r="AE600">
        <v>726182084370</v>
      </c>
      <c r="AF600">
        <v>702.51</v>
      </c>
      <c r="AG600">
        <v>0</v>
      </c>
      <c r="AH600">
        <v>174.96</v>
      </c>
      <c r="AI600">
        <v>877.47</v>
      </c>
      <c r="AJ600" t="s">
        <v>2</v>
      </c>
      <c r="AK600" t="s">
        <v>11</v>
      </c>
    </row>
    <row r="601" spans="1:37">
      <c r="A601">
        <v>257793</v>
      </c>
      <c r="B601" s="1">
        <v>45366</v>
      </c>
      <c r="C601" t="s">
        <v>1273</v>
      </c>
      <c r="D601" t="s">
        <v>1274</v>
      </c>
      <c r="E601" t="s">
        <v>1275</v>
      </c>
      <c r="F601" t="s">
        <v>1276</v>
      </c>
      <c r="G601" t="s">
        <v>163</v>
      </c>
      <c r="H601">
        <v>80120</v>
      </c>
      <c r="I601" t="s">
        <v>1295</v>
      </c>
      <c r="J601" t="s">
        <v>1296</v>
      </c>
      <c r="K601" t="s">
        <v>1297</v>
      </c>
      <c r="L601" t="s">
        <v>1298</v>
      </c>
      <c r="M601" t="s">
        <v>137</v>
      </c>
      <c r="N601">
        <v>90806</v>
      </c>
      <c r="O601" t="s">
        <v>1279</v>
      </c>
      <c r="P601">
        <v>8002880</v>
      </c>
      <c r="Q601" t="s">
        <v>6</v>
      </c>
      <c r="R601">
        <v>415686</v>
      </c>
      <c r="S601" t="s">
        <v>1299</v>
      </c>
      <c r="T601" s="2">
        <v>2</v>
      </c>
      <c r="U601">
        <v>0</v>
      </c>
      <c r="V601" t="s">
        <v>260</v>
      </c>
      <c r="W601">
        <v>1</v>
      </c>
      <c r="X601">
        <v>1</v>
      </c>
      <c r="Y601">
        <v>0</v>
      </c>
      <c r="Z601" t="s">
        <v>1300</v>
      </c>
      <c r="AA601" t="s">
        <v>1301</v>
      </c>
      <c r="AB601" t="s">
        <v>14</v>
      </c>
      <c r="AC601">
        <v>240.86150000000001</v>
      </c>
      <c r="AD601">
        <v>240.86</v>
      </c>
      <c r="AE601">
        <v>726182084370</v>
      </c>
      <c r="AF601">
        <v>702.51</v>
      </c>
      <c r="AG601">
        <v>0</v>
      </c>
      <c r="AH601">
        <v>174.96</v>
      </c>
      <c r="AI601">
        <v>877.47</v>
      </c>
      <c r="AJ601" t="s">
        <v>2</v>
      </c>
      <c r="AK601" t="s">
        <v>11</v>
      </c>
    </row>
    <row r="602" spans="1:37">
      <c r="A602">
        <v>257793</v>
      </c>
      <c r="B602" s="1">
        <v>45366</v>
      </c>
      <c r="C602" t="s">
        <v>1273</v>
      </c>
      <c r="D602" t="s">
        <v>1274</v>
      </c>
      <c r="E602" t="s">
        <v>1275</v>
      </c>
      <c r="F602" t="s">
        <v>1276</v>
      </c>
      <c r="G602" t="s">
        <v>163</v>
      </c>
      <c r="H602">
        <v>80120</v>
      </c>
      <c r="I602" t="s">
        <v>1295</v>
      </c>
      <c r="J602" t="s">
        <v>1296</v>
      </c>
      <c r="K602" t="s">
        <v>1297</v>
      </c>
      <c r="L602" t="s">
        <v>1298</v>
      </c>
      <c r="M602" t="s">
        <v>137</v>
      </c>
      <c r="N602">
        <v>90806</v>
      </c>
      <c r="O602" t="s">
        <v>1279</v>
      </c>
      <c r="P602">
        <v>8002880</v>
      </c>
      <c r="Q602" t="s">
        <v>6</v>
      </c>
      <c r="R602">
        <v>415686</v>
      </c>
      <c r="S602" t="s">
        <v>1299</v>
      </c>
      <c r="T602" s="2">
        <v>2</v>
      </c>
      <c r="U602">
        <v>0</v>
      </c>
      <c r="V602" t="s">
        <v>260</v>
      </c>
      <c r="W602">
        <v>0</v>
      </c>
      <c r="X602">
        <v>0</v>
      </c>
      <c r="Y602">
        <v>0</v>
      </c>
      <c r="Z602" t="s">
        <v>88</v>
      </c>
      <c r="AA602" t="s">
        <v>1302</v>
      </c>
      <c r="AB602" t="s">
        <v>10</v>
      </c>
      <c r="AC602">
        <v>0</v>
      </c>
      <c r="AD602">
        <v>0</v>
      </c>
      <c r="AE602">
        <v>726182084370</v>
      </c>
      <c r="AF602">
        <v>702.51</v>
      </c>
      <c r="AG602">
        <v>0</v>
      </c>
      <c r="AH602">
        <v>174.96</v>
      </c>
      <c r="AI602">
        <v>877.47</v>
      </c>
      <c r="AJ602" t="s">
        <v>2</v>
      </c>
      <c r="AK602" t="s">
        <v>11</v>
      </c>
    </row>
    <row r="603" spans="1:37">
      <c r="A603">
        <v>257793</v>
      </c>
      <c r="B603" s="1">
        <v>45366</v>
      </c>
      <c r="C603" t="s">
        <v>1273</v>
      </c>
      <c r="D603" t="s">
        <v>1274</v>
      </c>
      <c r="E603" t="s">
        <v>1275</v>
      </c>
      <c r="F603" t="s">
        <v>1276</v>
      </c>
      <c r="G603" t="s">
        <v>163</v>
      </c>
      <c r="H603">
        <v>80120</v>
      </c>
      <c r="I603" t="s">
        <v>1295</v>
      </c>
      <c r="J603" t="s">
        <v>1296</v>
      </c>
      <c r="K603" t="s">
        <v>1297</v>
      </c>
      <c r="L603" t="s">
        <v>1298</v>
      </c>
      <c r="M603" t="s">
        <v>137</v>
      </c>
      <c r="N603">
        <v>90806</v>
      </c>
      <c r="O603" t="s">
        <v>1279</v>
      </c>
      <c r="P603">
        <v>8002880</v>
      </c>
      <c r="Q603" t="s">
        <v>6</v>
      </c>
      <c r="R603">
        <v>415686</v>
      </c>
      <c r="S603" t="s">
        <v>1299</v>
      </c>
      <c r="T603" s="2">
        <v>2</v>
      </c>
      <c r="U603">
        <v>0</v>
      </c>
      <c r="V603" t="s">
        <v>260</v>
      </c>
      <c r="W603">
        <v>1</v>
      </c>
      <c r="X603">
        <v>1</v>
      </c>
      <c r="Y603">
        <v>0</v>
      </c>
      <c r="Z603" t="s">
        <v>1303</v>
      </c>
      <c r="AA603" t="s">
        <v>1304</v>
      </c>
      <c r="AB603" t="s">
        <v>14</v>
      </c>
      <c r="AC603">
        <v>461.65129999999999</v>
      </c>
      <c r="AD603">
        <v>461.65</v>
      </c>
      <c r="AE603">
        <v>726182084370</v>
      </c>
      <c r="AF603">
        <v>702.51</v>
      </c>
      <c r="AG603">
        <v>0</v>
      </c>
      <c r="AH603">
        <v>174.96</v>
      </c>
      <c r="AI603">
        <v>877.47</v>
      </c>
      <c r="AJ603" t="s">
        <v>2</v>
      </c>
      <c r="AK603" t="s">
        <v>11</v>
      </c>
    </row>
    <row r="604" spans="1:37">
      <c r="A604">
        <v>257793</v>
      </c>
      <c r="B604" s="1">
        <v>45366</v>
      </c>
      <c r="C604" t="s">
        <v>1273</v>
      </c>
      <c r="D604" t="s">
        <v>1274</v>
      </c>
      <c r="E604" t="s">
        <v>1275</v>
      </c>
      <c r="F604" t="s">
        <v>1276</v>
      </c>
      <c r="G604" t="s">
        <v>163</v>
      </c>
      <c r="H604">
        <v>80120</v>
      </c>
      <c r="I604" t="s">
        <v>1295</v>
      </c>
      <c r="J604" t="s">
        <v>1296</v>
      </c>
      <c r="K604" t="s">
        <v>1297</v>
      </c>
      <c r="L604" t="s">
        <v>1298</v>
      </c>
      <c r="M604" t="s">
        <v>137</v>
      </c>
      <c r="N604">
        <v>90806</v>
      </c>
      <c r="O604" t="s">
        <v>1279</v>
      </c>
      <c r="P604">
        <v>8002880</v>
      </c>
      <c r="Q604" t="s">
        <v>6</v>
      </c>
      <c r="R604">
        <v>415686</v>
      </c>
      <c r="S604" t="s">
        <v>1299</v>
      </c>
      <c r="T604" s="2">
        <v>2</v>
      </c>
      <c r="U604">
        <v>0</v>
      </c>
      <c r="V604" t="s">
        <v>260</v>
      </c>
      <c r="W604">
        <v>0</v>
      </c>
      <c r="X604">
        <v>0</v>
      </c>
      <c r="Y604">
        <v>0</v>
      </c>
      <c r="Z604" t="s">
        <v>88</v>
      </c>
      <c r="AA604" t="s">
        <v>1302</v>
      </c>
      <c r="AB604" t="s">
        <v>10</v>
      </c>
      <c r="AC604">
        <v>0</v>
      </c>
      <c r="AD604">
        <v>0</v>
      </c>
      <c r="AE604">
        <v>726182084370</v>
      </c>
      <c r="AF604">
        <v>702.51</v>
      </c>
      <c r="AG604">
        <v>0</v>
      </c>
      <c r="AH604">
        <v>174.96</v>
      </c>
      <c r="AI604">
        <v>877.47</v>
      </c>
      <c r="AJ604" t="s">
        <v>2</v>
      </c>
      <c r="AK604" t="s">
        <v>11</v>
      </c>
    </row>
    <row r="605" spans="1:37">
      <c r="A605">
        <v>257793</v>
      </c>
      <c r="B605" s="1">
        <v>45366</v>
      </c>
      <c r="C605" t="s">
        <v>1273</v>
      </c>
      <c r="D605" t="s">
        <v>1274</v>
      </c>
      <c r="E605" t="s">
        <v>1275</v>
      </c>
      <c r="F605" t="s">
        <v>1276</v>
      </c>
      <c r="G605" t="s">
        <v>163</v>
      </c>
      <c r="H605">
        <v>80120</v>
      </c>
      <c r="I605" t="s">
        <v>1295</v>
      </c>
      <c r="J605" t="s">
        <v>1296</v>
      </c>
      <c r="K605" t="s">
        <v>1297</v>
      </c>
      <c r="L605" t="s">
        <v>1298</v>
      </c>
      <c r="M605" t="s">
        <v>137</v>
      </c>
      <c r="N605">
        <v>90806</v>
      </c>
      <c r="O605" t="s">
        <v>1279</v>
      </c>
      <c r="P605">
        <v>8002880</v>
      </c>
      <c r="Q605" t="s">
        <v>6</v>
      </c>
      <c r="R605">
        <v>415686</v>
      </c>
      <c r="S605" t="s">
        <v>1299</v>
      </c>
      <c r="T605" s="2">
        <v>2</v>
      </c>
      <c r="U605">
        <v>0</v>
      </c>
      <c r="V605" t="s">
        <v>260</v>
      </c>
      <c r="W605">
        <v>0</v>
      </c>
      <c r="X605">
        <v>0</v>
      </c>
      <c r="Y605">
        <v>0</v>
      </c>
      <c r="Z605" t="s">
        <v>88</v>
      </c>
      <c r="AA605" t="s">
        <v>2</v>
      </c>
      <c r="AB605" t="s">
        <v>10</v>
      </c>
      <c r="AC605">
        <v>0</v>
      </c>
      <c r="AD605">
        <v>0</v>
      </c>
      <c r="AE605">
        <v>726182084370</v>
      </c>
      <c r="AF605">
        <v>702.51</v>
      </c>
      <c r="AG605">
        <v>0</v>
      </c>
      <c r="AH605">
        <v>174.96</v>
      </c>
      <c r="AI605">
        <v>877.47</v>
      </c>
      <c r="AJ605" t="s">
        <v>2</v>
      </c>
      <c r="AK605" t="s">
        <v>11</v>
      </c>
    </row>
    <row r="606" spans="1:37">
      <c r="A606">
        <v>257793</v>
      </c>
      <c r="B606" s="1">
        <v>45366</v>
      </c>
      <c r="C606" t="s">
        <v>1273</v>
      </c>
      <c r="D606" t="s">
        <v>1274</v>
      </c>
      <c r="E606" t="s">
        <v>1275</v>
      </c>
      <c r="F606" t="s">
        <v>1276</v>
      </c>
      <c r="G606" t="s">
        <v>163</v>
      </c>
      <c r="H606">
        <v>80120</v>
      </c>
      <c r="I606" t="s">
        <v>1295</v>
      </c>
      <c r="J606" t="s">
        <v>1296</v>
      </c>
      <c r="K606" t="s">
        <v>1297</v>
      </c>
      <c r="L606" t="s">
        <v>1298</v>
      </c>
      <c r="M606" t="s">
        <v>137</v>
      </c>
      <c r="N606">
        <v>90806</v>
      </c>
      <c r="O606" t="s">
        <v>1279</v>
      </c>
      <c r="P606">
        <v>8002880</v>
      </c>
      <c r="Q606" t="s">
        <v>6</v>
      </c>
      <c r="R606">
        <v>415686</v>
      </c>
      <c r="S606" t="s">
        <v>1299</v>
      </c>
      <c r="T606" s="2">
        <v>2</v>
      </c>
      <c r="U606">
        <v>0</v>
      </c>
      <c r="V606" t="s">
        <v>260</v>
      </c>
      <c r="W606">
        <v>0</v>
      </c>
      <c r="X606">
        <v>0</v>
      </c>
      <c r="Y606">
        <v>0</v>
      </c>
      <c r="Z606" t="s">
        <v>88</v>
      </c>
      <c r="AA606" t="s">
        <v>1035</v>
      </c>
      <c r="AB606" t="s">
        <v>10</v>
      </c>
      <c r="AC606">
        <v>0</v>
      </c>
      <c r="AD606">
        <v>0</v>
      </c>
      <c r="AE606">
        <v>726182084370</v>
      </c>
      <c r="AF606">
        <v>702.51</v>
      </c>
      <c r="AG606">
        <v>0</v>
      </c>
      <c r="AH606">
        <v>174.96</v>
      </c>
      <c r="AI606">
        <v>877.47</v>
      </c>
      <c r="AJ606" t="s">
        <v>2</v>
      </c>
      <c r="AK606" t="s">
        <v>11</v>
      </c>
    </row>
    <row r="607" spans="1:37">
      <c r="A607">
        <v>257793</v>
      </c>
      <c r="B607" s="1">
        <v>45366</v>
      </c>
      <c r="C607" t="s">
        <v>1273</v>
      </c>
      <c r="D607" t="s">
        <v>1274</v>
      </c>
      <c r="E607" t="s">
        <v>1275</v>
      </c>
      <c r="F607" t="s">
        <v>1276</v>
      </c>
      <c r="G607" t="s">
        <v>163</v>
      </c>
      <c r="H607">
        <v>80120</v>
      </c>
      <c r="I607" t="s">
        <v>1295</v>
      </c>
      <c r="J607" t="s">
        <v>1296</v>
      </c>
      <c r="K607" t="s">
        <v>1297</v>
      </c>
      <c r="L607" t="s">
        <v>1298</v>
      </c>
      <c r="M607" t="s">
        <v>137</v>
      </c>
      <c r="N607">
        <v>90806</v>
      </c>
      <c r="O607" t="s">
        <v>1279</v>
      </c>
      <c r="P607">
        <v>8002880</v>
      </c>
      <c r="Q607" t="s">
        <v>6</v>
      </c>
      <c r="R607">
        <v>415686</v>
      </c>
      <c r="S607" t="s">
        <v>1299</v>
      </c>
      <c r="T607" s="2">
        <v>2</v>
      </c>
      <c r="U607">
        <v>0</v>
      </c>
      <c r="V607" t="s">
        <v>260</v>
      </c>
      <c r="W607">
        <v>0</v>
      </c>
      <c r="X607">
        <v>0</v>
      </c>
      <c r="Y607">
        <v>0</v>
      </c>
      <c r="Z607" t="s">
        <v>88</v>
      </c>
      <c r="AA607" t="e">
        <f>-MUST SHIP FEDEX PRIORITY</f>
        <v>#NAME?</v>
      </c>
      <c r="AB607" t="s">
        <v>10</v>
      </c>
      <c r="AC607">
        <v>0</v>
      </c>
      <c r="AD607">
        <v>0</v>
      </c>
      <c r="AE607">
        <v>726182084370</v>
      </c>
      <c r="AF607">
        <v>702.51</v>
      </c>
      <c r="AG607">
        <v>0</v>
      </c>
      <c r="AH607">
        <v>174.96</v>
      </c>
      <c r="AI607">
        <v>877.47</v>
      </c>
      <c r="AJ607" t="s">
        <v>2</v>
      </c>
      <c r="AK607" t="s">
        <v>11</v>
      </c>
    </row>
    <row r="608" spans="1:37">
      <c r="A608">
        <v>257793</v>
      </c>
      <c r="B608" s="1">
        <v>45366</v>
      </c>
      <c r="C608" t="s">
        <v>1273</v>
      </c>
      <c r="D608" t="s">
        <v>1274</v>
      </c>
      <c r="E608" t="s">
        <v>1275</v>
      </c>
      <c r="F608" t="s">
        <v>1276</v>
      </c>
      <c r="G608" t="s">
        <v>163</v>
      </c>
      <c r="H608">
        <v>80120</v>
      </c>
      <c r="I608" t="s">
        <v>1295</v>
      </c>
      <c r="J608" t="s">
        <v>1296</v>
      </c>
      <c r="K608" t="s">
        <v>1297</v>
      </c>
      <c r="L608" t="s">
        <v>1298</v>
      </c>
      <c r="M608" t="s">
        <v>137</v>
      </c>
      <c r="N608">
        <v>90806</v>
      </c>
      <c r="O608" t="s">
        <v>1279</v>
      </c>
      <c r="P608">
        <v>8002880</v>
      </c>
      <c r="Q608" t="s">
        <v>6</v>
      </c>
      <c r="R608">
        <v>415686</v>
      </c>
      <c r="S608" t="s">
        <v>1299</v>
      </c>
      <c r="T608" s="2">
        <v>2</v>
      </c>
      <c r="U608">
        <v>0</v>
      </c>
      <c r="V608" t="s">
        <v>260</v>
      </c>
      <c r="W608">
        <v>0</v>
      </c>
      <c r="X608">
        <v>0</v>
      </c>
      <c r="Y608">
        <v>0</v>
      </c>
      <c r="Z608" t="s">
        <v>88</v>
      </c>
      <c r="AA608" t="e">
        <f>-NEXT DAY AIR</f>
        <v>#NAME?</v>
      </c>
      <c r="AB608" t="s">
        <v>10</v>
      </c>
      <c r="AC608">
        <v>0</v>
      </c>
      <c r="AD608">
        <v>0</v>
      </c>
      <c r="AE608">
        <v>726182084370</v>
      </c>
      <c r="AF608">
        <v>702.51</v>
      </c>
      <c r="AG608">
        <v>0</v>
      </c>
      <c r="AH608">
        <v>174.96</v>
      </c>
      <c r="AI608">
        <v>877.47</v>
      </c>
      <c r="AJ608" t="s">
        <v>2</v>
      </c>
      <c r="AK608" t="s">
        <v>11</v>
      </c>
    </row>
    <row r="609" spans="1:37">
      <c r="A609">
        <v>257793</v>
      </c>
      <c r="B609" s="1">
        <v>45366</v>
      </c>
      <c r="C609" t="s">
        <v>1273</v>
      </c>
      <c r="D609" t="s">
        <v>1274</v>
      </c>
      <c r="E609" t="s">
        <v>1275</v>
      </c>
      <c r="F609" t="s">
        <v>1276</v>
      </c>
      <c r="G609" t="s">
        <v>163</v>
      </c>
      <c r="H609">
        <v>80120</v>
      </c>
      <c r="I609" t="s">
        <v>1295</v>
      </c>
      <c r="J609" t="s">
        <v>1296</v>
      </c>
      <c r="K609" t="s">
        <v>1297</v>
      </c>
      <c r="L609" t="s">
        <v>1298</v>
      </c>
      <c r="M609" t="s">
        <v>137</v>
      </c>
      <c r="N609">
        <v>90806</v>
      </c>
      <c r="O609" t="s">
        <v>1279</v>
      </c>
      <c r="P609">
        <v>8002880</v>
      </c>
      <c r="Q609" t="s">
        <v>6</v>
      </c>
      <c r="R609">
        <v>415686</v>
      </c>
      <c r="S609" t="s">
        <v>1299</v>
      </c>
      <c r="T609" s="2">
        <v>2</v>
      </c>
      <c r="U609">
        <v>0</v>
      </c>
      <c r="V609" t="s">
        <v>260</v>
      </c>
      <c r="W609">
        <v>0</v>
      </c>
      <c r="X609">
        <v>0</v>
      </c>
      <c r="Y609">
        <v>0</v>
      </c>
      <c r="Z609" t="s">
        <v>88</v>
      </c>
      <c r="AA609" t="s">
        <v>1035</v>
      </c>
      <c r="AB609" t="s">
        <v>10</v>
      </c>
      <c r="AC609">
        <v>0</v>
      </c>
      <c r="AD609">
        <v>0</v>
      </c>
      <c r="AE609">
        <v>726182084370</v>
      </c>
      <c r="AF609">
        <v>702.51</v>
      </c>
      <c r="AG609">
        <v>0</v>
      </c>
      <c r="AH609">
        <v>174.96</v>
      </c>
      <c r="AI609">
        <v>877.47</v>
      </c>
      <c r="AJ609" t="s">
        <v>2</v>
      </c>
      <c r="AK609" t="s">
        <v>11</v>
      </c>
    </row>
    <row r="610" spans="1:37">
      <c r="A610">
        <v>257794</v>
      </c>
      <c r="B610" s="1">
        <v>45366</v>
      </c>
      <c r="C610" t="s">
        <v>1305</v>
      </c>
      <c r="D610" t="s">
        <v>1306</v>
      </c>
      <c r="E610" t="s">
        <v>2</v>
      </c>
      <c r="F610" t="s">
        <v>1307</v>
      </c>
      <c r="G610" t="s">
        <v>28</v>
      </c>
      <c r="H610">
        <v>34233</v>
      </c>
      <c r="I610" t="s">
        <v>1308</v>
      </c>
      <c r="J610" t="s">
        <v>1309</v>
      </c>
      <c r="K610" t="s">
        <v>1310</v>
      </c>
      <c r="L610" t="s">
        <v>1311</v>
      </c>
      <c r="M610" t="s">
        <v>137</v>
      </c>
      <c r="N610">
        <v>92241</v>
      </c>
      <c r="O610" t="s">
        <v>1312</v>
      </c>
      <c r="P610" t="s">
        <v>1313</v>
      </c>
      <c r="Q610" t="s">
        <v>21</v>
      </c>
      <c r="R610">
        <v>415688</v>
      </c>
      <c r="S610" t="s">
        <v>1314</v>
      </c>
      <c r="T610" s="2">
        <v>1</v>
      </c>
      <c r="U610">
        <v>0</v>
      </c>
      <c r="V610" t="s">
        <v>260</v>
      </c>
      <c r="W610">
        <v>0</v>
      </c>
      <c r="X610">
        <v>0</v>
      </c>
      <c r="Y610">
        <v>0</v>
      </c>
      <c r="Z610" t="s">
        <v>9</v>
      </c>
      <c r="AA610" t="s">
        <v>2</v>
      </c>
      <c r="AB610" t="s">
        <v>10</v>
      </c>
      <c r="AC610">
        <v>0</v>
      </c>
      <c r="AD610">
        <v>0</v>
      </c>
      <c r="AE610">
        <v>726182084737</v>
      </c>
      <c r="AF610">
        <v>220.68</v>
      </c>
      <c r="AG610">
        <v>0</v>
      </c>
      <c r="AH610">
        <v>124.06</v>
      </c>
      <c r="AI610">
        <v>344.74</v>
      </c>
      <c r="AJ610" t="s">
        <v>2</v>
      </c>
      <c r="AK610" t="s">
        <v>11</v>
      </c>
    </row>
    <row r="611" spans="1:37">
      <c r="A611">
        <v>257794</v>
      </c>
      <c r="B611" s="1">
        <v>45366</v>
      </c>
      <c r="C611" t="s">
        <v>1305</v>
      </c>
      <c r="D611" t="s">
        <v>1306</v>
      </c>
      <c r="E611" t="s">
        <v>2</v>
      </c>
      <c r="F611" t="s">
        <v>1307</v>
      </c>
      <c r="G611" t="s">
        <v>28</v>
      </c>
      <c r="H611">
        <v>34233</v>
      </c>
      <c r="I611" t="s">
        <v>1308</v>
      </c>
      <c r="J611" t="s">
        <v>1309</v>
      </c>
      <c r="K611" t="s">
        <v>1310</v>
      </c>
      <c r="L611" t="s">
        <v>1311</v>
      </c>
      <c r="M611" t="s">
        <v>137</v>
      </c>
      <c r="N611">
        <v>92241</v>
      </c>
      <c r="O611" t="s">
        <v>1312</v>
      </c>
      <c r="P611" t="s">
        <v>1313</v>
      </c>
      <c r="Q611" t="s">
        <v>21</v>
      </c>
      <c r="R611">
        <v>415688</v>
      </c>
      <c r="S611" t="s">
        <v>1314</v>
      </c>
      <c r="T611" s="2">
        <v>1</v>
      </c>
      <c r="U611">
        <v>0</v>
      </c>
      <c r="V611" t="s">
        <v>260</v>
      </c>
      <c r="W611">
        <v>1</v>
      </c>
      <c r="X611">
        <v>1</v>
      </c>
      <c r="Y611">
        <v>0</v>
      </c>
      <c r="Z611" t="s">
        <v>1315</v>
      </c>
      <c r="AA611" t="s">
        <v>1316</v>
      </c>
      <c r="AB611" t="s">
        <v>14</v>
      </c>
      <c r="AC611">
        <v>220.6823</v>
      </c>
      <c r="AD611">
        <v>220.68</v>
      </c>
      <c r="AE611">
        <v>726182084737</v>
      </c>
      <c r="AF611">
        <v>220.68</v>
      </c>
      <c r="AG611">
        <v>0</v>
      </c>
      <c r="AH611">
        <v>124.06</v>
      </c>
      <c r="AI611">
        <v>344.74</v>
      </c>
      <c r="AJ611" t="s">
        <v>2</v>
      </c>
      <c r="AK611" t="s">
        <v>11</v>
      </c>
    </row>
    <row r="612" spans="1:37">
      <c r="A612">
        <v>257794</v>
      </c>
      <c r="B612" s="1">
        <v>45366</v>
      </c>
      <c r="C612" t="s">
        <v>1305</v>
      </c>
      <c r="D612" t="s">
        <v>1306</v>
      </c>
      <c r="E612" t="s">
        <v>2</v>
      </c>
      <c r="F612" t="s">
        <v>1307</v>
      </c>
      <c r="G612" t="s">
        <v>28</v>
      </c>
      <c r="H612">
        <v>34233</v>
      </c>
      <c r="I612" t="s">
        <v>1308</v>
      </c>
      <c r="J612" t="s">
        <v>1309</v>
      </c>
      <c r="K612" t="s">
        <v>1310</v>
      </c>
      <c r="L612" t="s">
        <v>1311</v>
      </c>
      <c r="M612" t="s">
        <v>137</v>
      </c>
      <c r="N612">
        <v>92241</v>
      </c>
      <c r="O612" t="s">
        <v>1312</v>
      </c>
      <c r="P612" t="s">
        <v>1313</v>
      </c>
      <c r="Q612" t="s">
        <v>21</v>
      </c>
      <c r="R612">
        <v>415688</v>
      </c>
      <c r="S612" t="s">
        <v>1314</v>
      </c>
      <c r="T612" s="2">
        <v>1</v>
      </c>
      <c r="U612">
        <v>0</v>
      </c>
      <c r="V612" t="s">
        <v>260</v>
      </c>
      <c r="W612">
        <v>0</v>
      </c>
      <c r="X612">
        <v>0</v>
      </c>
      <c r="Y612">
        <v>0</v>
      </c>
      <c r="Z612" t="s">
        <v>88</v>
      </c>
      <c r="AA612" t="s">
        <v>887</v>
      </c>
      <c r="AB612" t="s">
        <v>10</v>
      </c>
      <c r="AC612">
        <v>0</v>
      </c>
      <c r="AD612">
        <v>0</v>
      </c>
      <c r="AE612">
        <v>726182084737</v>
      </c>
      <c r="AF612">
        <v>220.68</v>
      </c>
      <c r="AG612">
        <v>0</v>
      </c>
      <c r="AH612">
        <v>124.06</v>
      </c>
      <c r="AI612">
        <v>344.74</v>
      </c>
      <c r="AJ612" t="s">
        <v>2</v>
      </c>
      <c r="AK612" t="s">
        <v>11</v>
      </c>
    </row>
    <row r="613" spans="1:37">
      <c r="A613">
        <v>257794</v>
      </c>
      <c r="B613" s="1">
        <v>45366</v>
      </c>
      <c r="C613" t="s">
        <v>1305</v>
      </c>
      <c r="D613" t="s">
        <v>1306</v>
      </c>
      <c r="E613" t="s">
        <v>2</v>
      </c>
      <c r="F613" t="s">
        <v>1307</v>
      </c>
      <c r="G613" t="s">
        <v>28</v>
      </c>
      <c r="H613">
        <v>34233</v>
      </c>
      <c r="I613" t="s">
        <v>1308</v>
      </c>
      <c r="J613" t="s">
        <v>1309</v>
      </c>
      <c r="K613" t="s">
        <v>1310</v>
      </c>
      <c r="L613" t="s">
        <v>1311</v>
      </c>
      <c r="M613" t="s">
        <v>137</v>
      </c>
      <c r="N613">
        <v>92241</v>
      </c>
      <c r="O613" t="s">
        <v>1312</v>
      </c>
      <c r="P613" t="s">
        <v>1313</v>
      </c>
      <c r="Q613" t="s">
        <v>21</v>
      </c>
      <c r="R613">
        <v>415688</v>
      </c>
      <c r="S613" t="s">
        <v>1314</v>
      </c>
      <c r="T613" s="2">
        <v>1</v>
      </c>
      <c r="U613">
        <v>0</v>
      </c>
      <c r="V613" t="s">
        <v>260</v>
      </c>
      <c r="W613">
        <v>0</v>
      </c>
      <c r="X613">
        <v>0</v>
      </c>
      <c r="Y613">
        <v>0</v>
      </c>
      <c r="Z613" t="s">
        <v>88</v>
      </c>
      <c r="AA613" t="s">
        <v>2</v>
      </c>
      <c r="AB613" t="s">
        <v>10</v>
      </c>
      <c r="AC613">
        <v>0</v>
      </c>
      <c r="AD613">
        <v>0</v>
      </c>
      <c r="AE613">
        <v>726182084737</v>
      </c>
      <c r="AF613">
        <v>220.68</v>
      </c>
      <c r="AG613">
        <v>0</v>
      </c>
      <c r="AH613">
        <v>124.06</v>
      </c>
      <c r="AI613">
        <v>344.74</v>
      </c>
      <c r="AJ613" t="s">
        <v>2</v>
      </c>
      <c r="AK613" t="s">
        <v>11</v>
      </c>
    </row>
    <row r="614" spans="1:37">
      <c r="A614">
        <v>257794</v>
      </c>
      <c r="B614" s="1">
        <v>45366</v>
      </c>
      <c r="C614" t="s">
        <v>1305</v>
      </c>
      <c r="D614" t="s">
        <v>1306</v>
      </c>
      <c r="E614" t="s">
        <v>2</v>
      </c>
      <c r="F614" t="s">
        <v>1307</v>
      </c>
      <c r="G614" t="s">
        <v>28</v>
      </c>
      <c r="H614">
        <v>34233</v>
      </c>
      <c r="I614" t="s">
        <v>1308</v>
      </c>
      <c r="J614" t="s">
        <v>1309</v>
      </c>
      <c r="K614" t="s">
        <v>1310</v>
      </c>
      <c r="L614" t="s">
        <v>1311</v>
      </c>
      <c r="M614" t="s">
        <v>137</v>
      </c>
      <c r="N614">
        <v>92241</v>
      </c>
      <c r="O614" t="s">
        <v>1312</v>
      </c>
      <c r="P614" t="s">
        <v>1313</v>
      </c>
      <c r="Q614" t="s">
        <v>21</v>
      </c>
      <c r="R614">
        <v>415688</v>
      </c>
      <c r="S614" t="s">
        <v>1314</v>
      </c>
      <c r="T614" s="2">
        <v>1</v>
      </c>
      <c r="U614">
        <v>0</v>
      </c>
      <c r="V614" t="s">
        <v>260</v>
      </c>
      <c r="W614">
        <v>0</v>
      </c>
      <c r="X614">
        <v>0</v>
      </c>
      <c r="Y614">
        <v>0</v>
      </c>
      <c r="Z614" t="s">
        <v>88</v>
      </c>
      <c r="AA614" t="s">
        <v>1035</v>
      </c>
      <c r="AB614" t="s">
        <v>10</v>
      </c>
      <c r="AC614">
        <v>0</v>
      </c>
      <c r="AD614">
        <v>0</v>
      </c>
      <c r="AE614">
        <v>726182084737</v>
      </c>
      <c r="AF614">
        <v>220.68</v>
      </c>
      <c r="AG614">
        <v>0</v>
      </c>
      <c r="AH614">
        <v>124.06</v>
      </c>
      <c r="AI614">
        <v>344.74</v>
      </c>
      <c r="AJ614" t="s">
        <v>2</v>
      </c>
      <c r="AK614" t="s">
        <v>11</v>
      </c>
    </row>
    <row r="615" spans="1:37">
      <c r="A615">
        <v>257794</v>
      </c>
      <c r="B615" s="1">
        <v>45366</v>
      </c>
      <c r="C615" t="s">
        <v>1305</v>
      </c>
      <c r="D615" t="s">
        <v>1306</v>
      </c>
      <c r="E615" t="s">
        <v>2</v>
      </c>
      <c r="F615" t="s">
        <v>1307</v>
      </c>
      <c r="G615" t="s">
        <v>28</v>
      </c>
      <c r="H615">
        <v>34233</v>
      </c>
      <c r="I615" t="s">
        <v>1308</v>
      </c>
      <c r="J615" t="s">
        <v>1309</v>
      </c>
      <c r="K615" t="s">
        <v>1310</v>
      </c>
      <c r="L615" t="s">
        <v>1311</v>
      </c>
      <c r="M615" t="s">
        <v>137</v>
      </c>
      <c r="N615">
        <v>92241</v>
      </c>
      <c r="O615" t="s">
        <v>1312</v>
      </c>
      <c r="P615" t="s">
        <v>1313</v>
      </c>
      <c r="Q615" t="s">
        <v>21</v>
      </c>
      <c r="R615">
        <v>415688</v>
      </c>
      <c r="S615" t="s">
        <v>1314</v>
      </c>
      <c r="T615" s="2">
        <v>1</v>
      </c>
      <c r="U615">
        <v>0</v>
      </c>
      <c r="V615" t="s">
        <v>260</v>
      </c>
      <c r="W615">
        <v>0</v>
      </c>
      <c r="X615">
        <v>0</v>
      </c>
      <c r="Y615">
        <v>0</v>
      </c>
      <c r="Z615" t="s">
        <v>88</v>
      </c>
      <c r="AA615" t="s">
        <v>1317</v>
      </c>
      <c r="AB615" t="s">
        <v>10</v>
      </c>
      <c r="AC615">
        <v>0</v>
      </c>
      <c r="AD615">
        <v>0</v>
      </c>
      <c r="AE615">
        <v>726182084737</v>
      </c>
      <c r="AF615">
        <v>220.68</v>
      </c>
      <c r="AG615">
        <v>0</v>
      </c>
      <c r="AH615">
        <v>124.06</v>
      </c>
      <c r="AI615">
        <v>344.74</v>
      </c>
      <c r="AJ615" t="s">
        <v>2</v>
      </c>
      <c r="AK615" t="s">
        <v>11</v>
      </c>
    </row>
    <row r="616" spans="1:37">
      <c r="A616">
        <v>257794</v>
      </c>
      <c r="B616" s="1">
        <v>45366</v>
      </c>
      <c r="C616" t="s">
        <v>1305</v>
      </c>
      <c r="D616" t="s">
        <v>1306</v>
      </c>
      <c r="E616" t="s">
        <v>2</v>
      </c>
      <c r="F616" t="s">
        <v>1307</v>
      </c>
      <c r="G616" t="s">
        <v>28</v>
      </c>
      <c r="H616">
        <v>34233</v>
      </c>
      <c r="I616" t="s">
        <v>1308</v>
      </c>
      <c r="J616" t="s">
        <v>1309</v>
      </c>
      <c r="K616" t="s">
        <v>1310</v>
      </c>
      <c r="L616" t="s">
        <v>1311</v>
      </c>
      <c r="M616" t="s">
        <v>137</v>
      </c>
      <c r="N616">
        <v>92241</v>
      </c>
      <c r="O616" t="s">
        <v>1312</v>
      </c>
      <c r="P616" t="s">
        <v>1313</v>
      </c>
      <c r="Q616" t="s">
        <v>21</v>
      </c>
      <c r="R616">
        <v>415688</v>
      </c>
      <c r="S616" t="s">
        <v>1314</v>
      </c>
      <c r="T616" s="2">
        <v>1</v>
      </c>
      <c r="U616">
        <v>0</v>
      </c>
      <c r="V616" t="s">
        <v>260</v>
      </c>
      <c r="W616">
        <v>0</v>
      </c>
      <c r="X616">
        <v>0</v>
      </c>
      <c r="Y616">
        <v>0</v>
      </c>
      <c r="Z616" t="s">
        <v>88</v>
      </c>
      <c r="AA616" t="s">
        <v>1035</v>
      </c>
      <c r="AB616" t="s">
        <v>10</v>
      </c>
      <c r="AC616">
        <v>0</v>
      </c>
      <c r="AD616">
        <v>0</v>
      </c>
      <c r="AE616">
        <v>726182084737</v>
      </c>
      <c r="AF616">
        <v>220.68</v>
      </c>
      <c r="AG616">
        <v>0</v>
      </c>
      <c r="AH616">
        <v>124.06</v>
      </c>
      <c r="AI616">
        <v>344.74</v>
      </c>
      <c r="AJ616" t="s">
        <v>2</v>
      </c>
      <c r="AK616" t="s">
        <v>11</v>
      </c>
    </row>
    <row r="617" spans="1:37">
      <c r="A617">
        <v>257795</v>
      </c>
      <c r="B617" s="1">
        <v>45366</v>
      </c>
      <c r="C617" t="s">
        <v>1318</v>
      </c>
      <c r="D617" t="s">
        <v>1319</v>
      </c>
      <c r="E617" t="s">
        <v>2</v>
      </c>
      <c r="F617" t="s">
        <v>1320</v>
      </c>
      <c r="G617" t="s">
        <v>1321</v>
      </c>
      <c r="H617">
        <v>6457</v>
      </c>
      <c r="I617" t="s">
        <v>1322</v>
      </c>
      <c r="J617" t="s">
        <v>1323</v>
      </c>
      <c r="K617" t="s">
        <v>2</v>
      </c>
      <c r="L617" t="s">
        <v>1324</v>
      </c>
      <c r="M617" t="s">
        <v>1321</v>
      </c>
      <c r="N617" t="s">
        <v>1325</v>
      </c>
      <c r="O617" t="s">
        <v>1326</v>
      </c>
      <c r="P617">
        <v>2278742</v>
      </c>
      <c r="Q617" t="s">
        <v>38</v>
      </c>
      <c r="R617">
        <v>415689</v>
      </c>
      <c r="S617" t="s">
        <v>84</v>
      </c>
      <c r="T617" s="2">
        <v>2</v>
      </c>
      <c r="U617">
        <v>0</v>
      </c>
      <c r="V617" t="s">
        <v>153</v>
      </c>
      <c r="W617">
        <v>0</v>
      </c>
      <c r="X617">
        <v>0</v>
      </c>
      <c r="Y617">
        <v>0</v>
      </c>
      <c r="Z617" t="s">
        <v>9</v>
      </c>
      <c r="AA617" t="s">
        <v>2</v>
      </c>
      <c r="AB617" t="s">
        <v>10</v>
      </c>
      <c r="AC617">
        <v>0</v>
      </c>
      <c r="AD617">
        <v>0</v>
      </c>
      <c r="AE617">
        <v>726182084760</v>
      </c>
      <c r="AF617">
        <v>141.66999999999999</v>
      </c>
      <c r="AG617">
        <v>0</v>
      </c>
      <c r="AH617">
        <v>31.29</v>
      </c>
      <c r="AI617">
        <v>172.96</v>
      </c>
      <c r="AJ617" t="s">
        <v>2</v>
      </c>
      <c r="AK617" t="s">
        <v>11</v>
      </c>
    </row>
    <row r="618" spans="1:37">
      <c r="A618">
        <v>257795</v>
      </c>
      <c r="B618" s="1">
        <v>45366</v>
      </c>
      <c r="C618" t="s">
        <v>1318</v>
      </c>
      <c r="D618" t="s">
        <v>1319</v>
      </c>
      <c r="E618" t="s">
        <v>2</v>
      </c>
      <c r="F618" t="s">
        <v>1320</v>
      </c>
      <c r="G618" t="s">
        <v>1321</v>
      </c>
      <c r="H618">
        <v>6457</v>
      </c>
      <c r="I618" t="s">
        <v>1322</v>
      </c>
      <c r="J618" t="s">
        <v>1323</v>
      </c>
      <c r="K618" t="s">
        <v>2</v>
      </c>
      <c r="L618" t="s">
        <v>1324</v>
      </c>
      <c r="M618" t="s">
        <v>1321</v>
      </c>
      <c r="N618" t="s">
        <v>1325</v>
      </c>
      <c r="O618" t="s">
        <v>1326</v>
      </c>
      <c r="P618">
        <v>2278742</v>
      </c>
      <c r="Q618" t="s">
        <v>38</v>
      </c>
      <c r="R618">
        <v>415689</v>
      </c>
      <c r="S618" t="s">
        <v>84</v>
      </c>
      <c r="T618" s="2">
        <v>2</v>
      </c>
      <c r="U618">
        <v>0</v>
      </c>
      <c r="V618" t="s">
        <v>153</v>
      </c>
      <c r="W618">
        <v>1</v>
      </c>
      <c r="X618">
        <v>1</v>
      </c>
      <c r="Y618">
        <v>0</v>
      </c>
      <c r="Z618" t="s">
        <v>1327</v>
      </c>
      <c r="AA618" t="s">
        <v>511</v>
      </c>
      <c r="AB618" t="s">
        <v>14</v>
      </c>
      <c r="AC618">
        <v>65.53</v>
      </c>
      <c r="AD618">
        <v>65.53</v>
      </c>
      <c r="AE618">
        <v>726182084760</v>
      </c>
      <c r="AF618">
        <v>141.66999999999999</v>
      </c>
      <c r="AG618">
        <v>0</v>
      </c>
      <c r="AH618">
        <v>31.29</v>
      </c>
      <c r="AI618">
        <v>172.96</v>
      </c>
      <c r="AJ618" t="s">
        <v>2</v>
      </c>
      <c r="AK618" t="s">
        <v>11</v>
      </c>
    </row>
    <row r="619" spans="1:37">
      <c r="A619">
        <v>257795</v>
      </c>
      <c r="B619" s="1">
        <v>45366</v>
      </c>
      <c r="C619" t="s">
        <v>1318</v>
      </c>
      <c r="D619" t="s">
        <v>1319</v>
      </c>
      <c r="E619" t="s">
        <v>2</v>
      </c>
      <c r="F619" t="s">
        <v>1320</v>
      </c>
      <c r="G619" t="s">
        <v>1321</v>
      </c>
      <c r="H619">
        <v>6457</v>
      </c>
      <c r="I619" t="s">
        <v>1322</v>
      </c>
      <c r="J619" t="s">
        <v>1323</v>
      </c>
      <c r="K619" t="s">
        <v>2</v>
      </c>
      <c r="L619" t="s">
        <v>1324</v>
      </c>
      <c r="M619" t="s">
        <v>1321</v>
      </c>
      <c r="N619" t="s">
        <v>1325</v>
      </c>
      <c r="O619" t="s">
        <v>1326</v>
      </c>
      <c r="P619">
        <v>2278742</v>
      </c>
      <c r="Q619" t="s">
        <v>38</v>
      </c>
      <c r="R619">
        <v>415689</v>
      </c>
      <c r="S619" t="s">
        <v>84</v>
      </c>
      <c r="T619" s="2">
        <v>2</v>
      </c>
      <c r="U619">
        <v>0</v>
      </c>
      <c r="V619" t="s">
        <v>153</v>
      </c>
      <c r="W619">
        <v>0</v>
      </c>
      <c r="X619">
        <v>0</v>
      </c>
      <c r="Y619">
        <v>0</v>
      </c>
      <c r="Z619" t="s">
        <v>88</v>
      </c>
      <c r="AA619" t="s">
        <v>107</v>
      </c>
      <c r="AB619" t="s">
        <v>10</v>
      </c>
      <c r="AC619">
        <v>0</v>
      </c>
      <c r="AD619">
        <v>0</v>
      </c>
      <c r="AE619">
        <v>726182084760</v>
      </c>
      <c r="AF619">
        <v>141.66999999999999</v>
      </c>
      <c r="AG619">
        <v>0</v>
      </c>
      <c r="AH619">
        <v>31.29</v>
      </c>
      <c r="AI619">
        <v>172.96</v>
      </c>
      <c r="AJ619" t="s">
        <v>2</v>
      </c>
      <c r="AK619" t="s">
        <v>11</v>
      </c>
    </row>
    <row r="620" spans="1:37">
      <c r="A620">
        <v>257795</v>
      </c>
      <c r="B620" s="1">
        <v>45366</v>
      </c>
      <c r="C620" t="s">
        <v>1318</v>
      </c>
      <c r="D620" t="s">
        <v>1319</v>
      </c>
      <c r="E620" t="s">
        <v>2</v>
      </c>
      <c r="F620" t="s">
        <v>1320</v>
      </c>
      <c r="G620" t="s">
        <v>1321</v>
      </c>
      <c r="H620">
        <v>6457</v>
      </c>
      <c r="I620" t="s">
        <v>1322</v>
      </c>
      <c r="J620" t="s">
        <v>1323</v>
      </c>
      <c r="K620" t="s">
        <v>2</v>
      </c>
      <c r="L620" t="s">
        <v>1324</v>
      </c>
      <c r="M620" t="s">
        <v>1321</v>
      </c>
      <c r="N620" t="s">
        <v>1325</v>
      </c>
      <c r="O620" t="s">
        <v>1326</v>
      </c>
      <c r="P620">
        <v>2278742</v>
      </c>
      <c r="Q620" t="s">
        <v>38</v>
      </c>
      <c r="R620">
        <v>415689</v>
      </c>
      <c r="S620" t="s">
        <v>84</v>
      </c>
      <c r="T620" s="2">
        <v>2</v>
      </c>
      <c r="U620">
        <v>0</v>
      </c>
      <c r="V620" t="s">
        <v>153</v>
      </c>
      <c r="W620">
        <v>1</v>
      </c>
      <c r="X620">
        <v>1</v>
      </c>
      <c r="Y620">
        <v>0</v>
      </c>
      <c r="Z620" t="s">
        <v>1328</v>
      </c>
      <c r="AA620" t="s">
        <v>908</v>
      </c>
      <c r="AB620" t="s">
        <v>14</v>
      </c>
      <c r="AC620">
        <v>76.14</v>
      </c>
      <c r="AD620">
        <v>76.14</v>
      </c>
      <c r="AE620">
        <v>726182084760</v>
      </c>
      <c r="AF620">
        <v>141.66999999999999</v>
      </c>
      <c r="AG620">
        <v>0</v>
      </c>
      <c r="AH620">
        <v>31.29</v>
      </c>
      <c r="AI620">
        <v>172.96</v>
      </c>
      <c r="AJ620" t="s">
        <v>2</v>
      </c>
      <c r="AK620" t="s">
        <v>11</v>
      </c>
    </row>
    <row r="621" spans="1:37">
      <c r="A621">
        <v>257795</v>
      </c>
      <c r="B621" s="1">
        <v>45366</v>
      </c>
      <c r="C621" t="s">
        <v>1318</v>
      </c>
      <c r="D621" t="s">
        <v>1319</v>
      </c>
      <c r="E621" t="s">
        <v>2</v>
      </c>
      <c r="F621" t="s">
        <v>1320</v>
      </c>
      <c r="G621" t="s">
        <v>1321</v>
      </c>
      <c r="H621">
        <v>6457</v>
      </c>
      <c r="I621" t="s">
        <v>1322</v>
      </c>
      <c r="J621" t="s">
        <v>1323</v>
      </c>
      <c r="K621" t="s">
        <v>2</v>
      </c>
      <c r="L621" t="s">
        <v>1324</v>
      </c>
      <c r="M621" t="s">
        <v>1321</v>
      </c>
      <c r="N621" t="s">
        <v>1325</v>
      </c>
      <c r="O621" t="s">
        <v>1326</v>
      </c>
      <c r="P621">
        <v>2278742</v>
      </c>
      <c r="Q621" t="s">
        <v>38</v>
      </c>
      <c r="R621">
        <v>415689</v>
      </c>
      <c r="S621" t="s">
        <v>84</v>
      </c>
      <c r="T621" s="2">
        <v>2</v>
      </c>
      <c r="U621">
        <v>0</v>
      </c>
      <c r="V621" t="s">
        <v>153</v>
      </c>
      <c r="W621">
        <v>0</v>
      </c>
      <c r="X621">
        <v>0</v>
      </c>
      <c r="Y621">
        <v>0</v>
      </c>
      <c r="Z621" t="s">
        <v>88</v>
      </c>
      <c r="AA621" t="s">
        <v>107</v>
      </c>
      <c r="AB621" t="s">
        <v>10</v>
      </c>
      <c r="AC621">
        <v>0</v>
      </c>
      <c r="AD621">
        <v>0</v>
      </c>
      <c r="AE621">
        <v>726182084760</v>
      </c>
      <c r="AF621">
        <v>141.66999999999999</v>
      </c>
      <c r="AG621">
        <v>0</v>
      </c>
      <c r="AH621">
        <v>31.29</v>
      </c>
      <c r="AI621">
        <v>172.96</v>
      </c>
      <c r="AJ621" t="s">
        <v>2</v>
      </c>
      <c r="AK621" t="s">
        <v>11</v>
      </c>
    </row>
    <row r="622" spans="1:37">
      <c r="A622">
        <v>257796</v>
      </c>
      <c r="B622" s="1">
        <v>45366</v>
      </c>
      <c r="C622" t="s">
        <v>705</v>
      </c>
      <c r="D622" t="s">
        <v>706</v>
      </c>
      <c r="E622" t="s">
        <v>707</v>
      </c>
      <c r="F622" t="s">
        <v>708</v>
      </c>
      <c r="G622" t="s">
        <v>579</v>
      </c>
      <c r="H622">
        <v>44310</v>
      </c>
      <c r="I622" t="s">
        <v>1329</v>
      </c>
      <c r="J622" t="s">
        <v>1330</v>
      </c>
      <c r="K622" t="s">
        <v>2</v>
      </c>
      <c r="L622" t="s">
        <v>1331</v>
      </c>
      <c r="M622" t="s">
        <v>579</v>
      </c>
      <c r="N622" t="s">
        <v>1332</v>
      </c>
      <c r="O622" t="s">
        <v>712</v>
      </c>
      <c r="P622">
        <v>2278728</v>
      </c>
      <c r="Q622" t="s">
        <v>38</v>
      </c>
      <c r="R622">
        <v>415706</v>
      </c>
      <c r="S622" t="s">
        <v>1033</v>
      </c>
      <c r="T622" s="2">
        <v>3</v>
      </c>
      <c r="U622">
        <v>0</v>
      </c>
      <c r="V622" t="s">
        <v>153</v>
      </c>
      <c r="W622">
        <v>0</v>
      </c>
      <c r="X622">
        <v>0</v>
      </c>
      <c r="Y622">
        <v>0</v>
      </c>
      <c r="Z622" t="s">
        <v>9</v>
      </c>
      <c r="AA622" t="s">
        <v>2</v>
      </c>
      <c r="AB622" t="s">
        <v>10</v>
      </c>
      <c r="AC622">
        <v>0</v>
      </c>
      <c r="AD622">
        <v>0</v>
      </c>
      <c r="AE622">
        <v>726182084726</v>
      </c>
      <c r="AF622">
        <v>257.11</v>
      </c>
      <c r="AG622">
        <v>0</v>
      </c>
      <c r="AH622">
        <v>136.83000000000001</v>
      </c>
      <c r="AI622">
        <v>393.94</v>
      </c>
      <c r="AJ622" t="s">
        <v>2</v>
      </c>
      <c r="AK622" t="s">
        <v>11</v>
      </c>
    </row>
    <row r="623" spans="1:37">
      <c r="A623">
        <v>257796</v>
      </c>
      <c r="B623" s="1">
        <v>45366</v>
      </c>
      <c r="C623" t="s">
        <v>705</v>
      </c>
      <c r="D623" t="s">
        <v>706</v>
      </c>
      <c r="E623" t="s">
        <v>707</v>
      </c>
      <c r="F623" t="s">
        <v>708</v>
      </c>
      <c r="G623" t="s">
        <v>579</v>
      </c>
      <c r="H623">
        <v>44310</v>
      </c>
      <c r="I623" t="s">
        <v>1329</v>
      </c>
      <c r="J623" t="s">
        <v>1330</v>
      </c>
      <c r="K623" t="s">
        <v>2</v>
      </c>
      <c r="L623" t="s">
        <v>1331</v>
      </c>
      <c r="M623" t="s">
        <v>579</v>
      </c>
      <c r="N623" t="s">
        <v>1332</v>
      </c>
      <c r="O623" t="s">
        <v>712</v>
      </c>
      <c r="P623">
        <v>2278728</v>
      </c>
      <c r="Q623" t="s">
        <v>38</v>
      </c>
      <c r="R623">
        <v>415706</v>
      </c>
      <c r="S623" t="s">
        <v>1033</v>
      </c>
      <c r="T623" s="2">
        <v>3</v>
      </c>
      <c r="U623">
        <v>0</v>
      </c>
      <c r="V623" t="s">
        <v>153</v>
      </c>
      <c r="W623">
        <v>3</v>
      </c>
      <c r="X623">
        <v>3</v>
      </c>
      <c r="Y623">
        <v>0</v>
      </c>
      <c r="Z623" t="s">
        <v>1333</v>
      </c>
      <c r="AA623" t="s">
        <v>1334</v>
      </c>
      <c r="AB623" t="s">
        <v>14</v>
      </c>
      <c r="AC623">
        <v>85.704400000000007</v>
      </c>
      <c r="AD623">
        <v>257.11</v>
      </c>
      <c r="AE623">
        <v>726182084726</v>
      </c>
      <c r="AF623">
        <v>257.11</v>
      </c>
      <c r="AG623">
        <v>0</v>
      </c>
      <c r="AH623">
        <v>136.83000000000001</v>
      </c>
      <c r="AI623">
        <v>393.94</v>
      </c>
      <c r="AJ623" t="s">
        <v>2</v>
      </c>
      <c r="AK623" t="s">
        <v>11</v>
      </c>
    </row>
    <row r="624" spans="1:37">
      <c r="A624">
        <v>257796</v>
      </c>
      <c r="B624" s="1">
        <v>45366</v>
      </c>
      <c r="C624" t="s">
        <v>705</v>
      </c>
      <c r="D624" t="s">
        <v>706</v>
      </c>
      <c r="E624" t="s">
        <v>707</v>
      </c>
      <c r="F624" t="s">
        <v>708</v>
      </c>
      <c r="G624" t="s">
        <v>579</v>
      </c>
      <c r="H624">
        <v>44310</v>
      </c>
      <c r="I624" t="s">
        <v>1329</v>
      </c>
      <c r="J624" t="s">
        <v>1330</v>
      </c>
      <c r="K624" t="s">
        <v>2</v>
      </c>
      <c r="L624" t="s">
        <v>1331</v>
      </c>
      <c r="M624" t="s">
        <v>579</v>
      </c>
      <c r="N624" t="s">
        <v>1332</v>
      </c>
      <c r="O624" t="s">
        <v>712</v>
      </c>
      <c r="P624">
        <v>2278728</v>
      </c>
      <c r="Q624" t="s">
        <v>38</v>
      </c>
      <c r="R624">
        <v>415706</v>
      </c>
      <c r="S624" t="s">
        <v>1033</v>
      </c>
      <c r="T624" s="2">
        <v>3</v>
      </c>
      <c r="U624">
        <v>0</v>
      </c>
      <c r="V624" t="s">
        <v>153</v>
      </c>
      <c r="W624">
        <v>0</v>
      </c>
      <c r="X624">
        <v>0</v>
      </c>
      <c r="Y624">
        <v>0</v>
      </c>
      <c r="Z624" t="s">
        <v>88</v>
      </c>
      <c r="AA624" t="s">
        <v>317</v>
      </c>
      <c r="AB624" t="s">
        <v>10</v>
      </c>
      <c r="AC624">
        <v>0</v>
      </c>
      <c r="AD624">
        <v>0</v>
      </c>
      <c r="AE624">
        <v>726182084726</v>
      </c>
      <c r="AF624">
        <v>257.11</v>
      </c>
      <c r="AG624">
        <v>0</v>
      </c>
      <c r="AH624">
        <v>136.83000000000001</v>
      </c>
      <c r="AI624">
        <v>393.94</v>
      </c>
      <c r="AJ624" t="s">
        <v>2</v>
      </c>
      <c r="AK624" t="s">
        <v>11</v>
      </c>
    </row>
    <row r="625" spans="1:37">
      <c r="A625">
        <v>257796</v>
      </c>
      <c r="B625" s="1">
        <v>45366</v>
      </c>
      <c r="C625" t="s">
        <v>705</v>
      </c>
      <c r="D625" t="s">
        <v>706</v>
      </c>
      <c r="E625" t="s">
        <v>707</v>
      </c>
      <c r="F625" t="s">
        <v>708</v>
      </c>
      <c r="G625" t="s">
        <v>579</v>
      </c>
      <c r="H625">
        <v>44310</v>
      </c>
      <c r="I625" t="s">
        <v>1329</v>
      </c>
      <c r="J625" t="s">
        <v>1330</v>
      </c>
      <c r="K625" t="s">
        <v>2</v>
      </c>
      <c r="L625" t="s">
        <v>1331</v>
      </c>
      <c r="M625" t="s">
        <v>579</v>
      </c>
      <c r="N625" t="s">
        <v>1332</v>
      </c>
      <c r="O625" t="s">
        <v>712</v>
      </c>
      <c r="P625">
        <v>2278728</v>
      </c>
      <c r="Q625" t="s">
        <v>38</v>
      </c>
      <c r="R625">
        <v>415706</v>
      </c>
      <c r="S625" t="s">
        <v>1033</v>
      </c>
      <c r="T625" s="2">
        <v>3</v>
      </c>
      <c r="U625">
        <v>0</v>
      </c>
      <c r="V625" t="s">
        <v>153</v>
      </c>
      <c r="W625">
        <v>0</v>
      </c>
      <c r="X625">
        <v>0</v>
      </c>
      <c r="Y625">
        <v>0</v>
      </c>
      <c r="Z625" t="s">
        <v>88</v>
      </c>
      <c r="AA625" t="s">
        <v>1035</v>
      </c>
      <c r="AB625" t="s">
        <v>10</v>
      </c>
      <c r="AC625">
        <v>0</v>
      </c>
      <c r="AD625">
        <v>0</v>
      </c>
      <c r="AE625">
        <v>726182084726</v>
      </c>
      <c r="AF625">
        <v>257.11</v>
      </c>
      <c r="AG625">
        <v>0</v>
      </c>
      <c r="AH625">
        <v>136.83000000000001</v>
      </c>
      <c r="AI625">
        <v>393.94</v>
      </c>
      <c r="AJ625" t="s">
        <v>2</v>
      </c>
      <c r="AK625" t="s">
        <v>11</v>
      </c>
    </row>
    <row r="626" spans="1:37">
      <c r="A626">
        <v>257796</v>
      </c>
      <c r="B626" s="1">
        <v>45366</v>
      </c>
      <c r="C626" t="s">
        <v>705</v>
      </c>
      <c r="D626" t="s">
        <v>706</v>
      </c>
      <c r="E626" t="s">
        <v>707</v>
      </c>
      <c r="F626" t="s">
        <v>708</v>
      </c>
      <c r="G626" t="s">
        <v>579</v>
      </c>
      <c r="H626">
        <v>44310</v>
      </c>
      <c r="I626" t="s">
        <v>1329</v>
      </c>
      <c r="J626" t="s">
        <v>1330</v>
      </c>
      <c r="K626" t="s">
        <v>2</v>
      </c>
      <c r="L626" t="s">
        <v>1331</v>
      </c>
      <c r="M626" t="s">
        <v>579</v>
      </c>
      <c r="N626" t="s">
        <v>1332</v>
      </c>
      <c r="O626" t="s">
        <v>712</v>
      </c>
      <c r="P626">
        <v>2278728</v>
      </c>
      <c r="Q626" t="s">
        <v>38</v>
      </c>
      <c r="R626">
        <v>415706</v>
      </c>
      <c r="S626" t="s">
        <v>1033</v>
      </c>
      <c r="T626" s="2">
        <v>3</v>
      </c>
      <c r="U626">
        <v>0</v>
      </c>
      <c r="V626" t="s">
        <v>153</v>
      </c>
      <c r="W626">
        <v>0</v>
      </c>
      <c r="X626">
        <v>0</v>
      </c>
      <c r="Y626">
        <v>0</v>
      </c>
      <c r="Z626" t="s">
        <v>88</v>
      </c>
      <c r="AA626" t="s">
        <v>1036</v>
      </c>
      <c r="AB626" t="s">
        <v>10</v>
      </c>
      <c r="AC626">
        <v>0</v>
      </c>
      <c r="AD626">
        <v>0</v>
      </c>
      <c r="AE626">
        <v>726182084726</v>
      </c>
      <c r="AF626">
        <v>257.11</v>
      </c>
      <c r="AG626">
        <v>0</v>
      </c>
      <c r="AH626">
        <v>136.83000000000001</v>
      </c>
      <c r="AI626">
        <v>393.94</v>
      </c>
      <c r="AJ626" t="s">
        <v>2</v>
      </c>
      <c r="AK626" t="s">
        <v>11</v>
      </c>
    </row>
    <row r="627" spans="1:37">
      <c r="A627">
        <v>257796</v>
      </c>
      <c r="B627" s="1">
        <v>45366</v>
      </c>
      <c r="C627" t="s">
        <v>705</v>
      </c>
      <c r="D627" t="s">
        <v>706</v>
      </c>
      <c r="E627" t="s">
        <v>707</v>
      </c>
      <c r="F627" t="s">
        <v>708</v>
      </c>
      <c r="G627" t="s">
        <v>579</v>
      </c>
      <c r="H627">
        <v>44310</v>
      </c>
      <c r="I627" t="s">
        <v>1329</v>
      </c>
      <c r="J627" t="s">
        <v>1330</v>
      </c>
      <c r="K627" t="s">
        <v>2</v>
      </c>
      <c r="L627" t="s">
        <v>1331</v>
      </c>
      <c r="M627" t="s">
        <v>579</v>
      </c>
      <c r="N627" t="s">
        <v>1332</v>
      </c>
      <c r="O627" t="s">
        <v>712</v>
      </c>
      <c r="P627">
        <v>2278728</v>
      </c>
      <c r="Q627" t="s">
        <v>38</v>
      </c>
      <c r="R627">
        <v>415706</v>
      </c>
      <c r="S627" t="s">
        <v>1033</v>
      </c>
      <c r="T627" s="2">
        <v>3</v>
      </c>
      <c r="U627">
        <v>0</v>
      </c>
      <c r="V627" t="s">
        <v>153</v>
      </c>
      <c r="W627">
        <v>0</v>
      </c>
      <c r="X627">
        <v>0</v>
      </c>
      <c r="Y627">
        <v>0</v>
      </c>
      <c r="Z627" t="s">
        <v>88</v>
      </c>
      <c r="AA627" t="e">
        <f>-SATURDAY DELIVERY</f>
        <v>#NAME?</v>
      </c>
      <c r="AB627" t="s">
        <v>10</v>
      </c>
      <c r="AC627">
        <v>0</v>
      </c>
      <c r="AD627">
        <v>0</v>
      </c>
      <c r="AE627">
        <v>726182084726</v>
      </c>
      <c r="AF627">
        <v>257.11</v>
      </c>
      <c r="AG627">
        <v>0</v>
      </c>
      <c r="AH627">
        <v>136.83000000000001</v>
      </c>
      <c r="AI627">
        <v>393.94</v>
      </c>
      <c r="AJ627" t="s">
        <v>2</v>
      </c>
      <c r="AK627" t="s">
        <v>11</v>
      </c>
    </row>
    <row r="628" spans="1:37">
      <c r="A628">
        <v>257796</v>
      </c>
      <c r="B628" s="1">
        <v>45366</v>
      </c>
      <c r="C628" t="s">
        <v>705</v>
      </c>
      <c r="D628" t="s">
        <v>706</v>
      </c>
      <c r="E628" t="s">
        <v>707</v>
      </c>
      <c r="F628" t="s">
        <v>708</v>
      </c>
      <c r="G628" t="s">
        <v>579</v>
      </c>
      <c r="H628">
        <v>44310</v>
      </c>
      <c r="I628" t="s">
        <v>1329</v>
      </c>
      <c r="J628" t="s">
        <v>1330</v>
      </c>
      <c r="K628" t="s">
        <v>2</v>
      </c>
      <c r="L628" t="s">
        <v>1331</v>
      </c>
      <c r="M628" t="s">
        <v>579</v>
      </c>
      <c r="N628" t="s">
        <v>1332</v>
      </c>
      <c r="O628" t="s">
        <v>712</v>
      </c>
      <c r="P628">
        <v>2278728</v>
      </c>
      <c r="Q628" t="s">
        <v>38</v>
      </c>
      <c r="R628">
        <v>415706</v>
      </c>
      <c r="S628" t="s">
        <v>1033</v>
      </c>
      <c r="T628" s="2">
        <v>3</v>
      </c>
      <c r="U628">
        <v>0</v>
      </c>
      <c r="V628" t="s">
        <v>153</v>
      </c>
      <c r="W628">
        <v>0</v>
      </c>
      <c r="X628">
        <v>0</v>
      </c>
      <c r="Y628">
        <v>0</v>
      </c>
      <c r="Z628" t="s">
        <v>88</v>
      </c>
      <c r="AA628" t="s">
        <v>1035</v>
      </c>
      <c r="AB628" t="s">
        <v>10</v>
      </c>
      <c r="AC628">
        <v>0</v>
      </c>
      <c r="AD628">
        <v>0</v>
      </c>
      <c r="AE628">
        <v>726182084726</v>
      </c>
      <c r="AF628">
        <v>257.11</v>
      </c>
      <c r="AG628">
        <v>0</v>
      </c>
      <c r="AH628">
        <v>136.83000000000001</v>
      </c>
      <c r="AI628">
        <v>393.94</v>
      </c>
      <c r="AJ628" t="s">
        <v>2</v>
      </c>
      <c r="AK628" t="s">
        <v>11</v>
      </c>
    </row>
    <row r="629" spans="1:37">
      <c r="A629">
        <v>257796</v>
      </c>
      <c r="B629" s="1">
        <v>45366</v>
      </c>
      <c r="C629" t="s">
        <v>705</v>
      </c>
      <c r="D629" t="s">
        <v>706</v>
      </c>
      <c r="E629" t="s">
        <v>707</v>
      </c>
      <c r="F629" t="s">
        <v>708</v>
      </c>
      <c r="G629" t="s">
        <v>579</v>
      </c>
      <c r="H629">
        <v>44310</v>
      </c>
      <c r="I629" t="s">
        <v>1329</v>
      </c>
      <c r="J629" t="s">
        <v>1330</v>
      </c>
      <c r="K629" t="s">
        <v>2</v>
      </c>
      <c r="L629" t="s">
        <v>1331</v>
      </c>
      <c r="M629" t="s">
        <v>579</v>
      </c>
      <c r="N629" t="s">
        <v>1332</v>
      </c>
      <c r="O629" t="s">
        <v>712</v>
      </c>
      <c r="P629">
        <v>2278728</v>
      </c>
      <c r="Q629" t="s">
        <v>38</v>
      </c>
      <c r="R629">
        <v>415706</v>
      </c>
      <c r="S629" t="s">
        <v>1033</v>
      </c>
      <c r="T629" s="2">
        <v>3</v>
      </c>
      <c r="U629">
        <v>0</v>
      </c>
      <c r="V629" t="s">
        <v>153</v>
      </c>
      <c r="W629">
        <v>0</v>
      </c>
      <c r="X629">
        <v>0</v>
      </c>
      <c r="Y629">
        <v>0</v>
      </c>
      <c r="Z629" t="s">
        <v>88</v>
      </c>
      <c r="AA629" t="s">
        <v>1035</v>
      </c>
      <c r="AB629" t="s">
        <v>10</v>
      </c>
      <c r="AC629">
        <v>0</v>
      </c>
      <c r="AD629">
        <v>0</v>
      </c>
      <c r="AE629">
        <v>726182084726</v>
      </c>
      <c r="AF629">
        <v>257.11</v>
      </c>
      <c r="AG629">
        <v>0</v>
      </c>
      <c r="AH629">
        <v>136.83000000000001</v>
      </c>
      <c r="AI629">
        <v>393.94</v>
      </c>
      <c r="AJ629" t="s">
        <v>2</v>
      </c>
      <c r="AK629" t="s">
        <v>11</v>
      </c>
    </row>
    <row r="630" spans="1:37">
      <c r="A630">
        <v>257796</v>
      </c>
      <c r="B630" s="1">
        <v>45366</v>
      </c>
      <c r="C630" t="s">
        <v>705</v>
      </c>
      <c r="D630" t="s">
        <v>706</v>
      </c>
      <c r="E630" t="s">
        <v>707</v>
      </c>
      <c r="F630" t="s">
        <v>708</v>
      </c>
      <c r="G630" t="s">
        <v>579</v>
      </c>
      <c r="H630">
        <v>44310</v>
      </c>
      <c r="I630" t="s">
        <v>1329</v>
      </c>
      <c r="J630" t="s">
        <v>1330</v>
      </c>
      <c r="K630" t="s">
        <v>2</v>
      </c>
      <c r="L630" t="s">
        <v>1331</v>
      </c>
      <c r="M630" t="s">
        <v>579</v>
      </c>
      <c r="N630" t="s">
        <v>1332</v>
      </c>
      <c r="O630" t="s">
        <v>712</v>
      </c>
      <c r="P630">
        <v>2278728</v>
      </c>
      <c r="Q630" t="s">
        <v>38</v>
      </c>
      <c r="R630">
        <v>415706</v>
      </c>
      <c r="S630" t="s">
        <v>1033</v>
      </c>
      <c r="T630" s="2">
        <v>3</v>
      </c>
      <c r="U630">
        <v>0</v>
      </c>
      <c r="V630" t="s">
        <v>153</v>
      </c>
      <c r="W630">
        <v>0</v>
      </c>
      <c r="X630">
        <v>0</v>
      </c>
      <c r="Y630">
        <v>0</v>
      </c>
      <c r="Z630" t="s">
        <v>88</v>
      </c>
      <c r="AA630" t="e">
        <f>-MUST SHIP TODAY</f>
        <v>#NAME?</v>
      </c>
      <c r="AB630" t="s">
        <v>10</v>
      </c>
      <c r="AC630">
        <v>0</v>
      </c>
      <c r="AD630">
        <v>0</v>
      </c>
      <c r="AE630">
        <v>726182084726</v>
      </c>
      <c r="AF630">
        <v>257.11</v>
      </c>
      <c r="AG630">
        <v>0</v>
      </c>
      <c r="AH630">
        <v>136.83000000000001</v>
      </c>
      <c r="AI630">
        <v>393.94</v>
      </c>
      <c r="AJ630" t="s">
        <v>2</v>
      </c>
      <c r="AK630" t="s">
        <v>11</v>
      </c>
    </row>
    <row r="631" spans="1:37">
      <c r="A631">
        <v>257796</v>
      </c>
      <c r="B631" s="1">
        <v>45366</v>
      </c>
      <c r="C631" t="s">
        <v>705</v>
      </c>
      <c r="D631" t="s">
        <v>706</v>
      </c>
      <c r="E631" t="s">
        <v>707</v>
      </c>
      <c r="F631" t="s">
        <v>708</v>
      </c>
      <c r="G631" t="s">
        <v>579</v>
      </c>
      <c r="H631">
        <v>44310</v>
      </c>
      <c r="I631" t="s">
        <v>1329</v>
      </c>
      <c r="J631" t="s">
        <v>1330</v>
      </c>
      <c r="K631" t="s">
        <v>2</v>
      </c>
      <c r="L631" t="s">
        <v>1331</v>
      </c>
      <c r="M631" t="s">
        <v>579</v>
      </c>
      <c r="N631" t="s">
        <v>1332</v>
      </c>
      <c r="O631" t="s">
        <v>712</v>
      </c>
      <c r="P631">
        <v>2278728</v>
      </c>
      <c r="Q631" t="s">
        <v>38</v>
      </c>
      <c r="R631">
        <v>415706</v>
      </c>
      <c r="S631" t="s">
        <v>1033</v>
      </c>
      <c r="T631" s="2">
        <v>3</v>
      </c>
      <c r="U631">
        <v>0</v>
      </c>
      <c r="V631" t="s">
        <v>153</v>
      </c>
      <c r="W631">
        <v>0</v>
      </c>
      <c r="X631">
        <v>0</v>
      </c>
      <c r="Y631">
        <v>0</v>
      </c>
      <c r="Z631" t="s">
        <v>88</v>
      </c>
      <c r="AA631" t="s">
        <v>1035</v>
      </c>
      <c r="AB631" t="s">
        <v>10</v>
      </c>
      <c r="AC631">
        <v>0</v>
      </c>
      <c r="AD631">
        <v>0</v>
      </c>
      <c r="AE631">
        <v>726182084726</v>
      </c>
      <c r="AF631">
        <v>257.11</v>
      </c>
      <c r="AG631">
        <v>0</v>
      </c>
      <c r="AH631">
        <v>136.83000000000001</v>
      </c>
      <c r="AI631">
        <v>393.94</v>
      </c>
      <c r="AJ631" t="s">
        <v>2</v>
      </c>
      <c r="AK631" t="s">
        <v>11</v>
      </c>
    </row>
    <row r="632" spans="1:37">
      <c r="A632">
        <v>257797</v>
      </c>
      <c r="B632" s="1">
        <v>45366</v>
      </c>
      <c r="C632" t="s">
        <v>1335</v>
      </c>
      <c r="D632" t="s">
        <v>1336</v>
      </c>
      <c r="E632" t="s">
        <v>2</v>
      </c>
      <c r="F632" t="s">
        <v>3</v>
      </c>
      <c r="G632" t="s">
        <v>4</v>
      </c>
      <c r="H632">
        <v>57104</v>
      </c>
      <c r="I632" t="s">
        <v>1337</v>
      </c>
      <c r="J632" t="s">
        <v>1338</v>
      </c>
      <c r="K632" t="s">
        <v>2</v>
      </c>
      <c r="L632" t="s">
        <v>1148</v>
      </c>
      <c r="M632" t="s">
        <v>587</v>
      </c>
      <c r="N632" t="s">
        <v>1339</v>
      </c>
      <c r="O632" t="s">
        <v>1340</v>
      </c>
      <c r="P632">
        <v>865903</v>
      </c>
      <c r="Q632" t="s">
        <v>6</v>
      </c>
      <c r="R632">
        <v>415559</v>
      </c>
      <c r="S632" t="s">
        <v>84</v>
      </c>
      <c r="T632" s="2">
        <v>5</v>
      </c>
      <c r="U632">
        <v>0</v>
      </c>
      <c r="V632" t="s">
        <v>260</v>
      </c>
      <c r="W632">
        <v>0</v>
      </c>
      <c r="X632">
        <v>0</v>
      </c>
      <c r="Y632">
        <v>0</v>
      </c>
      <c r="Z632" t="s">
        <v>9</v>
      </c>
      <c r="AA632" t="s">
        <v>2</v>
      </c>
      <c r="AB632" t="s">
        <v>10</v>
      </c>
      <c r="AC632">
        <v>0</v>
      </c>
      <c r="AD632">
        <v>0</v>
      </c>
      <c r="AE632">
        <v>726182084163</v>
      </c>
      <c r="AF632">
        <v>198.82</v>
      </c>
      <c r="AG632">
        <v>0</v>
      </c>
      <c r="AH632">
        <v>27.79</v>
      </c>
      <c r="AI632">
        <v>226.61</v>
      </c>
      <c r="AJ632" t="s">
        <v>2</v>
      </c>
      <c r="AK632" t="s">
        <v>11</v>
      </c>
    </row>
    <row r="633" spans="1:37">
      <c r="A633">
        <v>257797</v>
      </c>
      <c r="B633" s="1">
        <v>45366</v>
      </c>
      <c r="C633" t="s">
        <v>1335</v>
      </c>
      <c r="D633" t="s">
        <v>1336</v>
      </c>
      <c r="E633" t="s">
        <v>2</v>
      </c>
      <c r="F633" t="s">
        <v>3</v>
      </c>
      <c r="G633" t="s">
        <v>4</v>
      </c>
      <c r="H633">
        <v>57104</v>
      </c>
      <c r="I633" t="s">
        <v>1337</v>
      </c>
      <c r="J633" t="s">
        <v>1338</v>
      </c>
      <c r="K633" t="s">
        <v>2</v>
      </c>
      <c r="L633" t="s">
        <v>1148</v>
      </c>
      <c r="M633" t="s">
        <v>587</v>
      </c>
      <c r="N633" t="s">
        <v>1339</v>
      </c>
      <c r="O633" t="s">
        <v>1340</v>
      </c>
      <c r="P633">
        <v>865903</v>
      </c>
      <c r="Q633" t="s">
        <v>6</v>
      </c>
      <c r="R633">
        <v>415559</v>
      </c>
      <c r="S633" t="s">
        <v>84</v>
      </c>
      <c r="T633" s="2">
        <v>5</v>
      </c>
      <c r="U633">
        <v>0</v>
      </c>
      <c r="V633" t="s">
        <v>260</v>
      </c>
      <c r="W633">
        <v>1</v>
      </c>
      <c r="X633">
        <v>1</v>
      </c>
      <c r="Y633">
        <v>0</v>
      </c>
      <c r="Z633" t="s">
        <v>1341</v>
      </c>
      <c r="AA633" t="s">
        <v>1342</v>
      </c>
      <c r="AB633" t="s">
        <v>14</v>
      </c>
      <c r="AC633">
        <v>39.35</v>
      </c>
      <c r="AD633">
        <v>39.35</v>
      </c>
      <c r="AE633">
        <v>726182084163</v>
      </c>
      <c r="AF633">
        <v>198.82</v>
      </c>
      <c r="AG633">
        <v>0</v>
      </c>
      <c r="AH633">
        <v>27.79</v>
      </c>
      <c r="AI633">
        <v>226.61</v>
      </c>
      <c r="AJ633" t="s">
        <v>2</v>
      </c>
      <c r="AK633" t="s">
        <v>11</v>
      </c>
    </row>
    <row r="634" spans="1:37">
      <c r="A634">
        <v>257797</v>
      </c>
      <c r="B634" s="1">
        <v>45366</v>
      </c>
      <c r="C634" t="s">
        <v>1335</v>
      </c>
      <c r="D634" t="s">
        <v>1336</v>
      </c>
      <c r="E634" t="s">
        <v>2</v>
      </c>
      <c r="F634" t="s">
        <v>3</v>
      </c>
      <c r="G634" t="s">
        <v>4</v>
      </c>
      <c r="H634">
        <v>57104</v>
      </c>
      <c r="I634" t="s">
        <v>1337</v>
      </c>
      <c r="J634" t="s">
        <v>1338</v>
      </c>
      <c r="K634" t="s">
        <v>2</v>
      </c>
      <c r="L634" t="s">
        <v>1148</v>
      </c>
      <c r="M634" t="s">
        <v>587</v>
      </c>
      <c r="N634" t="s">
        <v>1339</v>
      </c>
      <c r="O634" t="s">
        <v>1340</v>
      </c>
      <c r="P634">
        <v>865903</v>
      </c>
      <c r="Q634" t="s">
        <v>6</v>
      </c>
      <c r="R634">
        <v>415559</v>
      </c>
      <c r="S634" t="s">
        <v>84</v>
      </c>
      <c r="T634" s="2">
        <v>5</v>
      </c>
      <c r="U634">
        <v>0</v>
      </c>
      <c r="V634" t="s">
        <v>260</v>
      </c>
      <c r="W634">
        <v>0</v>
      </c>
      <c r="X634">
        <v>0</v>
      </c>
      <c r="Y634">
        <v>0</v>
      </c>
      <c r="Z634" t="s">
        <v>88</v>
      </c>
      <c r="AA634" t="s">
        <v>144</v>
      </c>
      <c r="AB634" t="s">
        <v>10</v>
      </c>
      <c r="AC634">
        <v>0</v>
      </c>
      <c r="AD634">
        <v>0</v>
      </c>
      <c r="AE634">
        <v>726182084163</v>
      </c>
      <c r="AF634">
        <v>198.82</v>
      </c>
      <c r="AG634">
        <v>0</v>
      </c>
      <c r="AH634">
        <v>27.79</v>
      </c>
      <c r="AI634">
        <v>226.61</v>
      </c>
      <c r="AJ634" t="s">
        <v>2</v>
      </c>
      <c r="AK634" t="s">
        <v>11</v>
      </c>
    </row>
    <row r="635" spans="1:37">
      <c r="A635">
        <v>257797</v>
      </c>
      <c r="B635" s="1">
        <v>45366</v>
      </c>
      <c r="C635" t="s">
        <v>1335</v>
      </c>
      <c r="D635" t="s">
        <v>1336</v>
      </c>
      <c r="E635" t="s">
        <v>2</v>
      </c>
      <c r="F635" t="s">
        <v>3</v>
      </c>
      <c r="G635" t="s">
        <v>4</v>
      </c>
      <c r="H635">
        <v>57104</v>
      </c>
      <c r="I635" t="s">
        <v>1337</v>
      </c>
      <c r="J635" t="s">
        <v>1338</v>
      </c>
      <c r="K635" t="s">
        <v>2</v>
      </c>
      <c r="L635" t="s">
        <v>1148</v>
      </c>
      <c r="M635" t="s">
        <v>587</v>
      </c>
      <c r="N635" t="s">
        <v>1339</v>
      </c>
      <c r="O635" t="s">
        <v>1340</v>
      </c>
      <c r="P635">
        <v>865903</v>
      </c>
      <c r="Q635" t="s">
        <v>6</v>
      </c>
      <c r="R635">
        <v>415559</v>
      </c>
      <c r="S635" t="s">
        <v>84</v>
      </c>
      <c r="T635" s="2">
        <v>5</v>
      </c>
      <c r="U635">
        <v>0</v>
      </c>
      <c r="V635" t="s">
        <v>260</v>
      </c>
      <c r="W635">
        <v>1</v>
      </c>
      <c r="X635">
        <v>1</v>
      </c>
      <c r="Y635">
        <v>0</v>
      </c>
      <c r="Z635" t="s">
        <v>1343</v>
      </c>
      <c r="AA635" t="s">
        <v>1344</v>
      </c>
      <c r="AB635" t="s">
        <v>14</v>
      </c>
      <c r="AC635">
        <v>34.799999999999997</v>
      </c>
      <c r="AD635">
        <v>34.799999999999997</v>
      </c>
      <c r="AE635">
        <v>726182084163</v>
      </c>
      <c r="AF635">
        <v>198.82</v>
      </c>
      <c r="AG635">
        <v>0</v>
      </c>
      <c r="AH635">
        <v>27.79</v>
      </c>
      <c r="AI635">
        <v>226.61</v>
      </c>
      <c r="AJ635" t="s">
        <v>2</v>
      </c>
      <c r="AK635" t="s">
        <v>11</v>
      </c>
    </row>
    <row r="636" spans="1:37">
      <c r="A636">
        <v>257797</v>
      </c>
      <c r="B636" s="1">
        <v>45366</v>
      </c>
      <c r="C636" t="s">
        <v>1335</v>
      </c>
      <c r="D636" t="s">
        <v>1336</v>
      </c>
      <c r="E636" t="s">
        <v>2</v>
      </c>
      <c r="F636" t="s">
        <v>3</v>
      </c>
      <c r="G636" t="s">
        <v>4</v>
      </c>
      <c r="H636">
        <v>57104</v>
      </c>
      <c r="I636" t="s">
        <v>1337</v>
      </c>
      <c r="J636" t="s">
        <v>1338</v>
      </c>
      <c r="K636" t="s">
        <v>2</v>
      </c>
      <c r="L636" t="s">
        <v>1148</v>
      </c>
      <c r="M636" t="s">
        <v>587</v>
      </c>
      <c r="N636" t="s">
        <v>1339</v>
      </c>
      <c r="O636" t="s">
        <v>1340</v>
      </c>
      <c r="P636">
        <v>865903</v>
      </c>
      <c r="Q636" t="s">
        <v>6</v>
      </c>
      <c r="R636">
        <v>415559</v>
      </c>
      <c r="S636" t="s">
        <v>84</v>
      </c>
      <c r="T636" s="2">
        <v>5</v>
      </c>
      <c r="U636">
        <v>0</v>
      </c>
      <c r="V636" t="s">
        <v>260</v>
      </c>
      <c r="W636">
        <v>0</v>
      </c>
      <c r="X636">
        <v>0</v>
      </c>
      <c r="Y636">
        <v>0</v>
      </c>
      <c r="Z636" t="s">
        <v>88</v>
      </c>
      <c r="AA636" t="s">
        <v>144</v>
      </c>
      <c r="AB636" t="s">
        <v>10</v>
      </c>
      <c r="AC636">
        <v>0</v>
      </c>
      <c r="AD636">
        <v>0</v>
      </c>
      <c r="AE636">
        <v>726182084163</v>
      </c>
      <c r="AF636">
        <v>198.82</v>
      </c>
      <c r="AG636">
        <v>0</v>
      </c>
      <c r="AH636">
        <v>27.79</v>
      </c>
      <c r="AI636">
        <v>226.61</v>
      </c>
      <c r="AJ636" t="s">
        <v>2</v>
      </c>
      <c r="AK636" t="s">
        <v>11</v>
      </c>
    </row>
    <row r="637" spans="1:37">
      <c r="A637">
        <v>257797</v>
      </c>
      <c r="B637" s="1">
        <v>45366</v>
      </c>
      <c r="C637" t="s">
        <v>1335</v>
      </c>
      <c r="D637" t="s">
        <v>1336</v>
      </c>
      <c r="E637" t="s">
        <v>2</v>
      </c>
      <c r="F637" t="s">
        <v>3</v>
      </c>
      <c r="G637" t="s">
        <v>4</v>
      </c>
      <c r="H637">
        <v>57104</v>
      </c>
      <c r="I637" t="s">
        <v>1337</v>
      </c>
      <c r="J637" t="s">
        <v>1338</v>
      </c>
      <c r="K637" t="s">
        <v>2</v>
      </c>
      <c r="L637" t="s">
        <v>1148</v>
      </c>
      <c r="M637" t="s">
        <v>587</v>
      </c>
      <c r="N637" t="s">
        <v>1339</v>
      </c>
      <c r="O637" t="s">
        <v>1340</v>
      </c>
      <c r="P637">
        <v>865903</v>
      </c>
      <c r="Q637" t="s">
        <v>6</v>
      </c>
      <c r="R637">
        <v>415559</v>
      </c>
      <c r="S637" t="s">
        <v>84</v>
      </c>
      <c r="T637" s="2">
        <v>5</v>
      </c>
      <c r="U637">
        <v>0</v>
      </c>
      <c r="V637" t="s">
        <v>260</v>
      </c>
      <c r="W637">
        <v>1</v>
      </c>
      <c r="X637">
        <v>1</v>
      </c>
      <c r="Y637">
        <v>0</v>
      </c>
      <c r="Z637" t="s">
        <v>1345</v>
      </c>
      <c r="AA637" t="s">
        <v>1346</v>
      </c>
      <c r="AB637" t="s">
        <v>14</v>
      </c>
      <c r="AC637">
        <v>39.35</v>
      </c>
      <c r="AD637">
        <v>39.35</v>
      </c>
      <c r="AE637">
        <v>726182084163</v>
      </c>
      <c r="AF637">
        <v>198.82</v>
      </c>
      <c r="AG637">
        <v>0</v>
      </c>
      <c r="AH637">
        <v>27.79</v>
      </c>
      <c r="AI637">
        <v>226.61</v>
      </c>
      <c r="AJ637" t="s">
        <v>2</v>
      </c>
      <c r="AK637" t="s">
        <v>11</v>
      </c>
    </row>
    <row r="638" spans="1:37">
      <c r="A638">
        <v>257797</v>
      </c>
      <c r="B638" s="1">
        <v>45366</v>
      </c>
      <c r="C638" t="s">
        <v>1335</v>
      </c>
      <c r="D638" t="s">
        <v>1336</v>
      </c>
      <c r="E638" t="s">
        <v>2</v>
      </c>
      <c r="F638" t="s">
        <v>3</v>
      </c>
      <c r="G638" t="s">
        <v>4</v>
      </c>
      <c r="H638">
        <v>57104</v>
      </c>
      <c r="I638" t="s">
        <v>1337</v>
      </c>
      <c r="J638" t="s">
        <v>1338</v>
      </c>
      <c r="K638" t="s">
        <v>2</v>
      </c>
      <c r="L638" t="s">
        <v>1148</v>
      </c>
      <c r="M638" t="s">
        <v>587</v>
      </c>
      <c r="N638" t="s">
        <v>1339</v>
      </c>
      <c r="O638" t="s">
        <v>1340</v>
      </c>
      <c r="P638">
        <v>865903</v>
      </c>
      <c r="Q638" t="s">
        <v>6</v>
      </c>
      <c r="R638">
        <v>415559</v>
      </c>
      <c r="S638" t="s">
        <v>84</v>
      </c>
      <c r="T638" s="2">
        <v>5</v>
      </c>
      <c r="U638">
        <v>0</v>
      </c>
      <c r="V638" t="s">
        <v>260</v>
      </c>
      <c r="W638">
        <v>0</v>
      </c>
      <c r="X638">
        <v>0</v>
      </c>
      <c r="Y638">
        <v>0</v>
      </c>
      <c r="Z638" t="s">
        <v>88</v>
      </c>
      <c r="AA638" t="s">
        <v>144</v>
      </c>
      <c r="AB638" t="s">
        <v>10</v>
      </c>
      <c r="AC638">
        <v>0</v>
      </c>
      <c r="AD638">
        <v>0</v>
      </c>
      <c r="AE638">
        <v>726182084163</v>
      </c>
      <c r="AF638">
        <v>198.82</v>
      </c>
      <c r="AG638">
        <v>0</v>
      </c>
      <c r="AH638">
        <v>27.79</v>
      </c>
      <c r="AI638">
        <v>226.61</v>
      </c>
      <c r="AJ638" t="s">
        <v>2</v>
      </c>
      <c r="AK638" t="s">
        <v>11</v>
      </c>
    </row>
    <row r="639" spans="1:37">
      <c r="A639">
        <v>257797</v>
      </c>
      <c r="B639" s="1">
        <v>45366</v>
      </c>
      <c r="C639" t="s">
        <v>1335</v>
      </c>
      <c r="D639" t="s">
        <v>1336</v>
      </c>
      <c r="E639" t="s">
        <v>2</v>
      </c>
      <c r="F639" t="s">
        <v>3</v>
      </c>
      <c r="G639" t="s">
        <v>4</v>
      </c>
      <c r="H639">
        <v>57104</v>
      </c>
      <c r="I639" t="s">
        <v>1337</v>
      </c>
      <c r="J639" t="s">
        <v>1338</v>
      </c>
      <c r="K639" t="s">
        <v>2</v>
      </c>
      <c r="L639" t="s">
        <v>1148</v>
      </c>
      <c r="M639" t="s">
        <v>587</v>
      </c>
      <c r="N639" t="s">
        <v>1339</v>
      </c>
      <c r="O639" t="s">
        <v>1340</v>
      </c>
      <c r="P639">
        <v>865903</v>
      </c>
      <c r="Q639" t="s">
        <v>6</v>
      </c>
      <c r="R639">
        <v>415559</v>
      </c>
      <c r="S639" t="s">
        <v>84</v>
      </c>
      <c r="T639" s="2">
        <v>5</v>
      </c>
      <c r="U639">
        <v>0</v>
      </c>
      <c r="V639" t="s">
        <v>260</v>
      </c>
      <c r="W639">
        <v>1</v>
      </c>
      <c r="X639">
        <v>1</v>
      </c>
      <c r="Y639">
        <v>0</v>
      </c>
      <c r="Z639" t="s">
        <v>1347</v>
      </c>
      <c r="AA639" t="s">
        <v>1348</v>
      </c>
      <c r="AB639" t="s">
        <v>14</v>
      </c>
      <c r="AC639">
        <v>42.66</v>
      </c>
      <c r="AD639">
        <v>42.66</v>
      </c>
      <c r="AE639">
        <v>726182084163</v>
      </c>
      <c r="AF639">
        <v>198.82</v>
      </c>
      <c r="AG639">
        <v>0</v>
      </c>
      <c r="AH639">
        <v>27.79</v>
      </c>
      <c r="AI639">
        <v>226.61</v>
      </c>
      <c r="AJ639" t="s">
        <v>2</v>
      </c>
      <c r="AK639" t="s">
        <v>11</v>
      </c>
    </row>
    <row r="640" spans="1:37">
      <c r="A640">
        <v>257797</v>
      </c>
      <c r="B640" s="1">
        <v>45366</v>
      </c>
      <c r="C640" t="s">
        <v>1335</v>
      </c>
      <c r="D640" t="s">
        <v>1336</v>
      </c>
      <c r="E640" t="s">
        <v>2</v>
      </c>
      <c r="F640" t="s">
        <v>3</v>
      </c>
      <c r="G640" t="s">
        <v>4</v>
      </c>
      <c r="H640">
        <v>57104</v>
      </c>
      <c r="I640" t="s">
        <v>1337</v>
      </c>
      <c r="J640" t="s">
        <v>1338</v>
      </c>
      <c r="K640" t="s">
        <v>2</v>
      </c>
      <c r="L640" t="s">
        <v>1148</v>
      </c>
      <c r="M640" t="s">
        <v>587</v>
      </c>
      <c r="N640" t="s">
        <v>1339</v>
      </c>
      <c r="O640" t="s">
        <v>1340</v>
      </c>
      <c r="P640">
        <v>865903</v>
      </c>
      <c r="Q640" t="s">
        <v>6</v>
      </c>
      <c r="R640">
        <v>415559</v>
      </c>
      <c r="S640" t="s">
        <v>84</v>
      </c>
      <c r="T640" s="2">
        <v>5</v>
      </c>
      <c r="U640">
        <v>0</v>
      </c>
      <c r="V640" t="s">
        <v>260</v>
      </c>
      <c r="W640">
        <v>0</v>
      </c>
      <c r="X640">
        <v>0</v>
      </c>
      <c r="Y640">
        <v>0</v>
      </c>
      <c r="Z640" t="s">
        <v>88</v>
      </c>
      <c r="AA640" t="s">
        <v>144</v>
      </c>
      <c r="AB640" t="s">
        <v>10</v>
      </c>
      <c r="AC640">
        <v>0</v>
      </c>
      <c r="AD640">
        <v>0</v>
      </c>
      <c r="AE640">
        <v>726182084163</v>
      </c>
      <c r="AF640">
        <v>198.82</v>
      </c>
      <c r="AG640">
        <v>0</v>
      </c>
      <c r="AH640">
        <v>27.79</v>
      </c>
      <c r="AI640">
        <v>226.61</v>
      </c>
      <c r="AJ640" t="s">
        <v>2</v>
      </c>
      <c r="AK640" t="s">
        <v>11</v>
      </c>
    </row>
    <row r="641" spans="1:37">
      <c r="A641">
        <v>257797</v>
      </c>
      <c r="B641" s="1">
        <v>45366</v>
      </c>
      <c r="C641" t="s">
        <v>1335</v>
      </c>
      <c r="D641" t="s">
        <v>1336</v>
      </c>
      <c r="E641" t="s">
        <v>2</v>
      </c>
      <c r="F641" t="s">
        <v>3</v>
      </c>
      <c r="G641" t="s">
        <v>4</v>
      </c>
      <c r="H641">
        <v>57104</v>
      </c>
      <c r="I641" t="s">
        <v>1337</v>
      </c>
      <c r="J641" t="s">
        <v>1338</v>
      </c>
      <c r="K641" t="s">
        <v>2</v>
      </c>
      <c r="L641" t="s">
        <v>1148</v>
      </c>
      <c r="M641" t="s">
        <v>587</v>
      </c>
      <c r="N641" t="s">
        <v>1339</v>
      </c>
      <c r="O641" t="s">
        <v>1340</v>
      </c>
      <c r="P641">
        <v>865903</v>
      </c>
      <c r="Q641" t="s">
        <v>6</v>
      </c>
      <c r="R641">
        <v>415559</v>
      </c>
      <c r="S641" t="s">
        <v>84</v>
      </c>
      <c r="T641" s="2">
        <v>5</v>
      </c>
      <c r="U641">
        <v>0</v>
      </c>
      <c r="V641" t="s">
        <v>260</v>
      </c>
      <c r="W641">
        <v>1</v>
      </c>
      <c r="X641">
        <v>1</v>
      </c>
      <c r="Y641">
        <v>0</v>
      </c>
      <c r="Z641" t="s">
        <v>1349</v>
      </c>
      <c r="AA641" t="s">
        <v>1350</v>
      </c>
      <c r="AB641" t="s">
        <v>14</v>
      </c>
      <c r="AC641">
        <v>42.66</v>
      </c>
      <c r="AD641">
        <v>42.66</v>
      </c>
      <c r="AE641">
        <v>726182084163</v>
      </c>
      <c r="AF641">
        <v>198.82</v>
      </c>
      <c r="AG641">
        <v>0</v>
      </c>
      <c r="AH641">
        <v>27.79</v>
      </c>
      <c r="AI641">
        <v>226.61</v>
      </c>
      <c r="AJ641" t="s">
        <v>2</v>
      </c>
      <c r="AK641" t="s">
        <v>11</v>
      </c>
    </row>
    <row r="642" spans="1:37">
      <c r="A642">
        <v>257797</v>
      </c>
      <c r="B642" s="1">
        <v>45366</v>
      </c>
      <c r="C642" t="s">
        <v>1335</v>
      </c>
      <c r="D642" t="s">
        <v>1336</v>
      </c>
      <c r="E642" t="s">
        <v>2</v>
      </c>
      <c r="F642" t="s">
        <v>3</v>
      </c>
      <c r="G642" t="s">
        <v>4</v>
      </c>
      <c r="H642">
        <v>57104</v>
      </c>
      <c r="I642" t="s">
        <v>1337</v>
      </c>
      <c r="J642" t="s">
        <v>1338</v>
      </c>
      <c r="K642" t="s">
        <v>2</v>
      </c>
      <c r="L642" t="s">
        <v>1148</v>
      </c>
      <c r="M642" t="s">
        <v>587</v>
      </c>
      <c r="N642" t="s">
        <v>1339</v>
      </c>
      <c r="O642" t="s">
        <v>1340</v>
      </c>
      <c r="P642">
        <v>865903</v>
      </c>
      <c r="Q642" t="s">
        <v>6</v>
      </c>
      <c r="R642">
        <v>415559</v>
      </c>
      <c r="S642" t="s">
        <v>84</v>
      </c>
      <c r="T642" s="2">
        <v>5</v>
      </c>
      <c r="U642">
        <v>0</v>
      </c>
      <c r="V642" t="s">
        <v>260</v>
      </c>
      <c r="W642">
        <v>0</v>
      </c>
      <c r="X642">
        <v>0</v>
      </c>
      <c r="Y642">
        <v>0</v>
      </c>
      <c r="Z642" t="s">
        <v>88</v>
      </c>
      <c r="AA642" t="s">
        <v>144</v>
      </c>
      <c r="AB642" t="s">
        <v>10</v>
      </c>
      <c r="AC642">
        <v>0</v>
      </c>
      <c r="AD642">
        <v>0</v>
      </c>
      <c r="AE642">
        <v>726182084163</v>
      </c>
      <c r="AF642">
        <v>198.82</v>
      </c>
      <c r="AG642">
        <v>0</v>
      </c>
      <c r="AH642">
        <v>27.79</v>
      </c>
      <c r="AI642">
        <v>226.61</v>
      </c>
      <c r="AJ642" t="s">
        <v>2</v>
      </c>
      <c r="AK642" t="s">
        <v>11</v>
      </c>
    </row>
    <row r="643" spans="1:37">
      <c r="A643">
        <v>257798</v>
      </c>
      <c r="B643" s="1">
        <v>45366</v>
      </c>
      <c r="C643" t="s">
        <v>1335</v>
      </c>
      <c r="D643" t="s">
        <v>1336</v>
      </c>
      <c r="E643" t="s">
        <v>2</v>
      </c>
      <c r="F643" t="s">
        <v>3</v>
      </c>
      <c r="G643" t="s">
        <v>4</v>
      </c>
      <c r="H643">
        <v>57104</v>
      </c>
      <c r="I643" t="s">
        <v>1351</v>
      </c>
      <c r="J643" t="s">
        <v>1352</v>
      </c>
      <c r="K643" t="s">
        <v>2</v>
      </c>
      <c r="L643" t="s">
        <v>1353</v>
      </c>
      <c r="M643" t="s">
        <v>28</v>
      </c>
      <c r="N643" t="s">
        <v>1354</v>
      </c>
      <c r="O643" t="s">
        <v>1340</v>
      </c>
      <c r="P643">
        <v>865901</v>
      </c>
      <c r="Q643" t="s">
        <v>6</v>
      </c>
      <c r="R643">
        <v>415555</v>
      </c>
      <c r="S643" t="s">
        <v>84</v>
      </c>
      <c r="T643" s="2">
        <v>4</v>
      </c>
      <c r="U643">
        <v>0</v>
      </c>
      <c r="V643" t="s">
        <v>260</v>
      </c>
      <c r="W643">
        <v>0</v>
      </c>
      <c r="X643">
        <v>0</v>
      </c>
      <c r="Y643">
        <v>0</v>
      </c>
      <c r="Z643" t="s">
        <v>9</v>
      </c>
      <c r="AA643" t="s">
        <v>2</v>
      </c>
      <c r="AB643" t="s">
        <v>10</v>
      </c>
      <c r="AC643">
        <v>0</v>
      </c>
      <c r="AD643">
        <v>0</v>
      </c>
      <c r="AE643">
        <v>726182084910</v>
      </c>
      <c r="AF643">
        <v>205.44</v>
      </c>
      <c r="AG643">
        <v>0</v>
      </c>
      <c r="AH643">
        <v>64.040000000000006</v>
      </c>
      <c r="AI643">
        <v>269.48</v>
      </c>
      <c r="AJ643" t="s">
        <v>2</v>
      </c>
      <c r="AK643" t="s">
        <v>11</v>
      </c>
    </row>
    <row r="644" spans="1:37">
      <c r="A644">
        <v>257798</v>
      </c>
      <c r="B644" s="1">
        <v>45366</v>
      </c>
      <c r="C644" t="s">
        <v>1335</v>
      </c>
      <c r="D644" t="s">
        <v>1336</v>
      </c>
      <c r="E644" t="s">
        <v>2</v>
      </c>
      <c r="F644" t="s">
        <v>3</v>
      </c>
      <c r="G644" t="s">
        <v>4</v>
      </c>
      <c r="H644">
        <v>57104</v>
      </c>
      <c r="I644" t="s">
        <v>1351</v>
      </c>
      <c r="J644" t="s">
        <v>1352</v>
      </c>
      <c r="K644" t="s">
        <v>2</v>
      </c>
      <c r="L644" t="s">
        <v>1353</v>
      </c>
      <c r="M644" t="s">
        <v>28</v>
      </c>
      <c r="N644" t="s">
        <v>1354</v>
      </c>
      <c r="O644" t="s">
        <v>1340</v>
      </c>
      <c r="P644">
        <v>865901</v>
      </c>
      <c r="Q644" t="s">
        <v>6</v>
      </c>
      <c r="R644">
        <v>415555</v>
      </c>
      <c r="S644" t="s">
        <v>84</v>
      </c>
      <c r="T644" s="2">
        <v>4</v>
      </c>
      <c r="U644">
        <v>0</v>
      </c>
      <c r="V644" t="s">
        <v>260</v>
      </c>
      <c r="W644">
        <v>1</v>
      </c>
      <c r="X644">
        <v>1</v>
      </c>
      <c r="Y644">
        <v>0</v>
      </c>
      <c r="Z644" t="s">
        <v>1355</v>
      </c>
      <c r="AA644" t="s">
        <v>1356</v>
      </c>
      <c r="AB644" t="s">
        <v>14</v>
      </c>
      <c r="AC644">
        <v>21.52</v>
      </c>
      <c r="AD644">
        <v>21.52</v>
      </c>
      <c r="AE644">
        <v>726182084910</v>
      </c>
      <c r="AF644">
        <v>205.44</v>
      </c>
      <c r="AG644">
        <v>0</v>
      </c>
      <c r="AH644">
        <v>64.040000000000006</v>
      </c>
      <c r="AI644">
        <v>269.48</v>
      </c>
      <c r="AJ644" t="s">
        <v>2</v>
      </c>
      <c r="AK644" t="s">
        <v>11</v>
      </c>
    </row>
    <row r="645" spans="1:37">
      <c r="A645">
        <v>257798</v>
      </c>
      <c r="B645" s="1">
        <v>45366</v>
      </c>
      <c r="C645" t="s">
        <v>1335</v>
      </c>
      <c r="D645" t="s">
        <v>1336</v>
      </c>
      <c r="E645" t="s">
        <v>2</v>
      </c>
      <c r="F645" t="s">
        <v>3</v>
      </c>
      <c r="G645" t="s">
        <v>4</v>
      </c>
      <c r="H645">
        <v>57104</v>
      </c>
      <c r="I645" t="s">
        <v>1351</v>
      </c>
      <c r="J645" t="s">
        <v>1352</v>
      </c>
      <c r="K645" t="s">
        <v>2</v>
      </c>
      <c r="L645" t="s">
        <v>1353</v>
      </c>
      <c r="M645" t="s">
        <v>28</v>
      </c>
      <c r="N645" t="s">
        <v>1354</v>
      </c>
      <c r="O645" t="s">
        <v>1340</v>
      </c>
      <c r="P645">
        <v>865901</v>
      </c>
      <c r="Q645" t="s">
        <v>6</v>
      </c>
      <c r="R645">
        <v>415555</v>
      </c>
      <c r="S645" t="s">
        <v>84</v>
      </c>
      <c r="T645" s="2">
        <v>4</v>
      </c>
      <c r="U645">
        <v>0</v>
      </c>
      <c r="V645" t="s">
        <v>260</v>
      </c>
      <c r="W645">
        <v>0</v>
      </c>
      <c r="X645">
        <v>0</v>
      </c>
      <c r="Y645">
        <v>0</v>
      </c>
      <c r="Z645" t="s">
        <v>88</v>
      </c>
      <c r="AA645" t="s">
        <v>317</v>
      </c>
      <c r="AB645" t="s">
        <v>10</v>
      </c>
      <c r="AC645">
        <v>0</v>
      </c>
      <c r="AD645">
        <v>0</v>
      </c>
      <c r="AE645">
        <v>726182084910</v>
      </c>
      <c r="AF645">
        <v>205.44</v>
      </c>
      <c r="AG645">
        <v>0</v>
      </c>
      <c r="AH645">
        <v>64.040000000000006</v>
      </c>
      <c r="AI645">
        <v>269.48</v>
      </c>
      <c r="AJ645" t="s">
        <v>2</v>
      </c>
      <c r="AK645" t="s">
        <v>11</v>
      </c>
    </row>
    <row r="646" spans="1:37">
      <c r="A646">
        <v>257798</v>
      </c>
      <c r="B646" s="1">
        <v>45366</v>
      </c>
      <c r="C646" t="s">
        <v>1335</v>
      </c>
      <c r="D646" t="s">
        <v>1336</v>
      </c>
      <c r="E646" t="s">
        <v>2</v>
      </c>
      <c r="F646" t="s">
        <v>3</v>
      </c>
      <c r="G646" t="s">
        <v>4</v>
      </c>
      <c r="H646">
        <v>57104</v>
      </c>
      <c r="I646" t="s">
        <v>1351</v>
      </c>
      <c r="J646" t="s">
        <v>1352</v>
      </c>
      <c r="K646" t="s">
        <v>2</v>
      </c>
      <c r="L646" t="s">
        <v>1353</v>
      </c>
      <c r="M646" t="s">
        <v>28</v>
      </c>
      <c r="N646" t="s">
        <v>1354</v>
      </c>
      <c r="O646" t="s">
        <v>1340</v>
      </c>
      <c r="P646">
        <v>865901</v>
      </c>
      <c r="Q646" t="s">
        <v>6</v>
      </c>
      <c r="R646">
        <v>415555</v>
      </c>
      <c r="S646" t="s">
        <v>84</v>
      </c>
      <c r="T646" s="2">
        <v>4</v>
      </c>
      <c r="U646">
        <v>0</v>
      </c>
      <c r="V646" t="s">
        <v>260</v>
      </c>
      <c r="W646">
        <v>1</v>
      </c>
      <c r="X646">
        <v>1</v>
      </c>
      <c r="Y646">
        <v>0</v>
      </c>
      <c r="Z646" t="s">
        <v>1357</v>
      </c>
      <c r="AA646" t="s">
        <v>1358</v>
      </c>
      <c r="AB646" t="s">
        <v>14</v>
      </c>
      <c r="AC646">
        <v>21.52</v>
      </c>
      <c r="AD646">
        <v>21.52</v>
      </c>
      <c r="AE646">
        <v>726182084910</v>
      </c>
      <c r="AF646">
        <v>205.44</v>
      </c>
      <c r="AG646">
        <v>0</v>
      </c>
      <c r="AH646">
        <v>64.040000000000006</v>
      </c>
      <c r="AI646">
        <v>269.48</v>
      </c>
      <c r="AJ646" t="s">
        <v>2</v>
      </c>
      <c r="AK646" t="s">
        <v>11</v>
      </c>
    </row>
    <row r="647" spans="1:37">
      <c r="A647">
        <v>257798</v>
      </c>
      <c r="B647" s="1">
        <v>45366</v>
      </c>
      <c r="C647" t="s">
        <v>1335</v>
      </c>
      <c r="D647" t="s">
        <v>1336</v>
      </c>
      <c r="E647" t="s">
        <v>2</v>
      </c>
      <c r="F647" t="s">
        <v>3</v>
      </c>
      <c r="G647" t="s">
        <v>4</v>
      </c>
      <c r="H647">
        <v>57104</v>
      </c>
      <c r="I647" t="s">
        <v>1351</v>
      </c>
      <c r="J647" t="s">
        <v>1352</v>
      </c>
      <c r="K647" t="s">
        <v>2</v>
      </c>
      <c r="L647" t="s">
        <v>1353</v>
      </c>
      <c r="M647" t="s">
        <v>28</v>
      </c>
      <c r="N647" t="s">
        <v>1354</v>
      </c>
      <c r="O647" t="s">
        <v>1340</v>
      </c>
      <c r="P647">
        <v>865901</v>
      </c>
      <c r="Q647" t="s">
        <v>6</v>
      </c>
      <c r="R647">
        <v>415555</v>
      </c>
      <c r="S647" t="s">
        <v>84</v>
      </c>
      <c r="T647" s="2">
        <v>4</v>
      </c>
      <c r="U647">
        <v>0</v>
      </c>
      <c r="V647" t="s">
        <v>260</v>
      </c>
      <c r="W647">
        <v>0</v>
      </c>
      <c r="X647">
        <v>0</v>
      </c>
      <c r="Y647">
        <v>0</v>
      </c>
      <c r="Z647" t="s">
        <v>88</v>
      </c>
      <c r="AA647" t="s">
        <v>317</v>
      </c>
      <c r="AB647" t="s">
        <v>10</v>
      </c>
      <c r="AC647">
        <v>0</v>
      </c>
      <c r="AD647">
        <v>0</v>
      </c>
      <c r="AE647">
        <v>726182084910</v>
      </c>
      <c r="AF647">
        <v>205.44</v>
      </c>
      <c r="AG647">
        <v>0</v>
      </c>
      <c r="AH647">
        <v>64.040000000000006</v>
      </c>
      <c r="AI647">
        <v>269.48</v>
      </c>
      <c r="AJ647" t="s">
        <v>2</v>
      </c>
      <c r="AK647" t="s">
        <v>11</v>
      </c>
    </row>
    <row r="648" spans="1:37">
      <c r="A648">
        <v>257798</v>
      </c>
      <c r="B648" s="1">
        <v>45366</v>
      </c>
      <c r="C648" t="s">
        <v>1335</v>
      </c>
      <c r="D648" t="s">
        <v>1336</v>
      </c>
      <c r="E648" t="s">
        <v>2</v>
      </c>
      <c r="F648" t="s">
        <v>3</v>
      </c>
      <c r="G648" t="s">
        <v>4</v>
      </c>
      <c r="H648">
        <v>57104</v>
      </c>
      <c r="I648" t="s">
        <v>1351</v>
      </c>
      <c r="J648" t="s">
        <v>1352</v>
      </c>
      <c r="K648" t="s">
        <v>2</v>
      </c>
      <c r="L648" t="s">
        <v>1353</v>
      </c>
      <c r="M648" t="s">
        <v>28</v>
      </c>
      <c r="N648" t="s">
        <v>1354</v>
      </c>
      <c r="O648" t="s">
        <v>1340</v>
      </c>
      <c r="P648">
        <v>865901</v>
      </c>
      <c r="Q648" t="s">
        <v>6</v>
      </c>
      <c r="R648">
        <v>415555</v>
      </c>
      <c r="S648" t="s">
        <v>84</v>
      </c>
      <c r="T648" s="2">
        <v>4</v>
      </c>
      <c r="U648">
        <v>0</v>
      </c>
      <c r="V648" t="s">
        <v>260</v>
      </c>
      <c r="W648">
        <v>1</v>
      </c>
      <c r="X648">
        <v>1</v>
      </c>
      <c r="Y648">
        <v>0</v>
      </c>
      <c r="Z648" t="s">
        <v>1359</v>
      </c>
      <c r="AA648" t="s">
        <v>1360</v>
      </c>
      <c r="AB648" t="s">
        <v>14</v>
      </c>
      <c r="AC648">
        <v>77.19</v>
      </c>
      <c r="AD648">
        <v>77.19</v>
      </c>
      <c r="AE648">
        <v>726182084910</v>
      </c>
      <c r="AF648">
        <v>205.44</v>
      </c>
      <c r="AG648">
        <v>0</v>
      </c>
      <c r="AH648">
        <v>64.040000000000006</v>
      </c>
      <c r="AI648">
        <v>269.48</v>
      </c>
      <c r="AJ648" t="s">
        <v>2</v>
      </c>
      <c r="AK648" t="s">
        <v>11</v>
      </c>
    </row>
    <row r="649" spans="1:37">
      <c r="A649">
        <v>257798</v>
      </c>
      <c r="B649" s="1">
        <v>45366</v>
      </c>
      <c r="C649" t="s">
        <v>1335</v>
      </c>
      <c r="D649" t="s">
        <v>1336</v>
      </c>
      <c r="E649" t="s">
        <v>2</v>
      </c>
      <c r="F649" t="s">
        <v>3</v>
      </c>
      <c r="G649" t="s">
        <v>4</v>
      </c>
      <c r="H649">
        <v>57104</v>
      </c>
      <c r="I649" t="s">
        <v>1351</v>
      </c>
      <c r="J649" t="s">
        <v>1352</v>
      </c>
      <c r="K649" t="s">
        <v>2</v>
      </c>
      <c r="L649" t="s">
        <v>1353</v>
      </c>
      <c r="M649" t="s">
        <v>28</v>
      </c>
      <c r="N649" t="s">
        <v>1354</v>
      </c>
      <c r="O649" t="s">
        <v>1340</v>
      </c>
      <c r="P649">
        <v>865901</v>
      </c>
      <c r="Q649" t="s">
        <v>6</v>
      </c>
      <c r="R649">
        <v>415555</v>
      </c>
      <c r="S649" t="s">
        <v>84</v>
      </c>
      <c r="T649" s="2">
        <v>4</v>
      </c>
      <c r="U649">
        <v>0</v>
      </c>
      <c r="V649" t="s">
        <v>260</v>
      </c>
      <c r="W649">
        <v>0</v>
      </c>
      <c r="X649">
        <v>0</v>
      </c>
      <c r="Y649">
        <v>0</v>
      </c>
      <c r="Z649" t="s">
        <v>88</v>
      </c>
      <c r="AA649" t="s">
        <v>317</v>
      </c>
      <c r="AB649" t="s">
        <v>10</v>
      </c>
      <c r="AC649">
        <v>0</v>
      </c>
      <c r="AD649">
        <v>0</v>
      </c>
      <c r="AE649">
        <v>726182084910</v>
      </c>
      <c r="AF649">
        <v>205.44</v>
      </c>
      <c r="AG649">
        <v>0</v>
      </c>
      <c r="AH649">
        <v>64.040000000000006</v>
      </c>
      <c r="AI649">
        <v>269.48</v>
      </c>
      <c r="AJ649" t="s">
        <v>2</v>
      </c>
      <c r="AK649" t="s">
        <v>11</v>
      </c>
    </row>
    <row r="650" spans="1:37">
      <c r="A650">
        <v>257798</v>
      </c>
      <c r="B650" s="1">
        <v>45366</v>
      </c>
      <c r="C650" t="s">
        <v>1335</v>
      </c>
      <c r="D650" t="s">
        <v>1336</v>
      </c>
      <c r="E650" t="s">
        <v>2</v>
      </c>
      <c r="F650" t="s">
        <v>3</v>
      </c>
      <c r="G650" t="s">
        <v>4</v>
      </c>
      <c r="H650">
        <v>57104</v>
      </c>
      <c r="I650" t="s">
        <v>1351</v>
      </c>
      <c r="J650" t="s">
        <v>1352</v>
      </c>
      <c r="K650" t="s">
        <v>2</v>
      </c>
      <c r="L650" t="s">
        <v>1353</v>
      </c>
      <c r="M650" t="s">
        <v>28</v>
      </c>
      <c r="N650" t="s">
        <v>1354</v>
      </c>
      <c r="O650" t="s">
        <v>1340</v>
      </c>
      <c r="P650">
        <v>865901</v>
      </c>
      <c r="Q650" t="s">
        <v>6</v>
      </c>
      <c r="R650">
        <v>415555</v>
      </c>
      <c r="S650" t="s">
        <v>84</v>
      </c>
      <c r="T650" s="2">
        <v>4</v>
      </c>
      <c r="U650">
        <v>0</v>
      </c>
      <c r="V650" t="s">
        <v>260</v>
      </c>
      <c r="W650">
        <v>1</v>
      </c>
      <c r="X650">
        <v>1</v>
      </c>
      <c r="Y650">
        <v>0</v>
      </c>
      <c r="Z650" t="s">
        <v>1361</v>
      </c>
      <c r="AA650" t="s">
        <v>1362</v>
      </c>
      <c r="AB650" t="s">
        <v>14</v>
      </c>
      <c r="AC650">
        <v>85.21</v>
      </c>
      <c r="AD650">
        <v>85.21</v>
      </c>
      <c r="AE650">
        <v>726182084910</v>
      </c>
      <c r="AF650">
        <v>205.44</v>
      </c>
      <c r="AG650">
        <v>0</v>
      </c>
      <c r="AH650">
        <v>64.040000000000006</v>
      </c>
      <c r="AI650">
        <v>269.48</v>
      </c>
      <c r="AJ650" t="s">
        <v>2</v>
      </c>
      <c r="AK650" t="s">
        <v>11</v>
      </c>
    </row>
    <row r="651" spans="1:37">
      <c r="A651">
        <v>257798</v>
      </c>
      <c r="B651" s="1">
        <v>45366</v>
      </c>
      <c r="C651" t="s">
        <v>1335</v>
      </c>
      <c r="D651" t="s">
        <v>1336</v>
      </c>
      <c r="E651" t="s">
        <v>2</v>
      </c>
      <c r="F651" t="s">
        <v>3</v>
      </c>
      <c r="G651" t="s">
        <v>4</v>
      </c>
      <c r="H651">
        <v>57104</v>
      </c>
      <c r="I651" t="s">
        <v>1351</v>
      </c>
      <c r="J651" t="s">
        <v>1352</v>
      </c>
      <c r="K651" t="s">
        <v>2</v>
      </c>
      <c r="L651" t="s">
        <v>1353</v>
      </c>
      <c r="M651" t="s">
        <v>28</v>
      </c>
      <c r="N651" t="s">
        <v>1354</v>
      </c>
      <c r="O651" t="s">
        <v>1340</v>
      </c>
      <c r="P651">
        <v>865901</v>
      </c>
      <c r="Q651" t="s">
        <v>6</v>
      </c>
      <c r="R651">
        <v>415555</v>
      </c>
      <c r="S651" t="s">
        <v>84</v>
      </c>
      <c r="T651" s="2">
        <v>4</v>
      </c>
      <c r="U651">
        <v>0</v>
      </c>
      <c r="V651" t="s">
        <v>260</v>
      </c>
      <c r="W651">
        <v>0</v>
      </c>
      <c r="X651">
        <v>0</v>
      </c>
      <c r="Y651">
        <v>0</v>
      </c>
      <c r="Z651" t="s">
        <v>88</v>
      </c>
      <c r="AA651" t="s">
        <v>317</v>
      </c>
      <c r="AB651" t="s">
        <v>10</v>
      </c>
      <c r="AC651">
        <v>0</v>
      </c>
      <c r="AD651">
        <v>0</v>
      </c>
      <c r="AE651">
        <v>726182084910</v>
      </c>
      <c r="AF651">
        <v>205.44</v>
      </c>
      <c r="AG651">
        <v>0</v>
      </c>
      <c r="AH651">
        <v>64.040000000000006</v>
      </c>
      <c r="AI651">
        <v>269.48</v>
      </c>
      <c r="AJ651" t="s">
        <v>2</v>
      </c>
      <c r="AK651" t="s">
        <v>11</v>
      </c>
    </row>
    <row r="652" spans="1:37">
      <c r="A652">
        <v>257799</v>
      </c>
      <c r="B652" s="1">
        <v>45366</v>
      </c>
      <c r="C652" t="s">
        <v>241</v>
      </c>
      <c r="D652" t="s">
        <v>242</v>
      </c>
      <c r="E652" t="s">
        <v>2</v>
      </c>
      <c r="F652" t="s">
        <v>243</v>
      </c>
      <c r="G652" t="s">
        <v>60</v>
      </c>
      <c r="H652">
        <v>1821</v>
      </c>
      <c r="I652" t="s">
        <v>1363</v>
      </c>
      <c r="J652" t="s">
        <v>1364</v>
      </c>
      <c r="K652" t="s">
        <v>2</v>
      </c>
      <c r="L652" t="s">
        <v>1365</v>
      </c>
      <c r="M652" t="s">
        <v>60</v>
      </c>
      <c r="N652" t="s">
        <v>1366</v>
      </c>
      <c r="O652" t="s">
        <v>248</v>
      </c>
      <c r="P652">
        <v>2278084</v>
      </c>
      <c r="Q652" t="s">
        <v>38</v>
      </c>
      <c r="R652">
        <v>415388</v>
      </c>
      <c r="S652" t="s">
        <v>84</v>
      </c>
      <c r="T652" s="2">
        <v>1</v>
      </c>
      <c r="U652">
        <v>0</v>
      </c>
      <c r="V652" t="s">
        <v>153</v>
      </c>
      <c r="W652">
        <v>0</v>
      </c>
      <c r="X652">
        <v>0</v>
      </c>
      <c r="Y652">
        <v>0</v>
      </c>
      <c r="Z652" t="s">
        <v>9</v>
      </c>
      <c r="AA652" t="s">
        <v>2</v>
      </c>
      <c r="AB652" t="s">
        <v>10</v>
      </c>
      <c r="AC652">
        <v>0</v>
      </c>
      <c r="AD652">
        <v>0</v>
      </c>
      <c r="AE652">
        <v>726182083248</v>
      </c>
      <c r="AF652">
        <v>39.57</v>
      </c>
      <c r="AG652">
        <v>0</v>
      </c>
      <c r="AH652">
        <v>15.19</v>
      </c>
      <c r="AI652">
        <v>54.76</v>
      </c>
      <c r="AJ652" t="s">
        <v>2</v>
      </c>
      <c r="AK652" t="s">
        <v>11</v>
      </c>
    </row>
    <row r="653" spans="1:37">
      <c r="A653">
        <v>257799</v>
      </c>
      <c r="B653" s="1">
        <v>45366</v>
      </c>
      <c r="C653" t="s">
        <v>241</v>
      </c>
      <c r="D653" t="s">
        <v>242</v>
      </c>
      <c r="E653" t="s">
        <v>2</v>
      </c>
      <c r="F653" t="s">
        <v>243</v>
      </c>
      <c r="G653" t="s">
        <v>60</v>
      </c>
      <c r="H653">
        <v>1821</v>
      </c>
      <c r="I653" t="s">
        <v>1363</v>
      </c>
      <c r="J653" t="s">
        <v>1364</v>
      </c>
      <c r="K653" t="s">
        <v>2</v>
      </c>
      <c r="L653" t="s">
        <v>1365</v>
      </c>
      <c r="M653" t="s">
        <v>60</v>
      </c>
      <c r="N653" t="s">
        <v>1366</v>
      </c>
      <c r="O653" t="s">
        <v>248</v>
      </c>
      <c r="P653">
        <v>2278084</v>
      </c>
      <c r="Q653" t="s">
        <v>38</v>
      </c>
      <c r="R653">
        <v>415388</v>
      </c>
      <c r="S653" t="s">
        <v>84</v>
      </c>
      <c r="T653" s="2">
        <v>1</v>
      </c>
      <c r="U653">
        <v>0</v>
      </c>
      <c r="V653" t="s">
        <v>153</v>
      </c>
      <c r="W653">
        <v>1</v>
      </c>
      <c r="X653">
        <v>1</v>
      </c>
      <c r="Y653">
        <v>0</v>
      </c>
      <c r="Z653" t="s">
        <v>1367</v>
      </c>
      <c r="AA653" t="s">
        <v>1368</v>
      </c>
      <c r="AB653" t="s">
        <v>14</v>
      </c>
      <c r="AC653">
        <v>39.57</v>
      </c>
      <c r="AD653">
        <v>39.57</v>
      </c>
      <c r="AE653">
        <v>726182083248</v>
      </c>
      <c r="AF653">
        <v>39.57</v>
      </c>
      <c r="AG653">
        <v>0</v>
      </c>
      <c r="AH653">
        <v>15.19</v>
      </c>
      <c r="AI653">
        <v>54.76</v>
      </c>
      <c r="AJ653" t="s">
        <v>2</v>
      </c>
      <c r="AK653" t="s">
        <v>11</v>
      </c>
    </row>
    <row r="654" spans="1:37">
      <c r="A654">
        <v>257799</v>
      </c>
      <c r="B654" s="1">
        <v>45366</v>
      </c>
      <c r="C654" t="s">
        <v>241</v>
      </c>
      <c r="D654" t="s">
        <v>242</v>
      </c>
      <c r="E654" t="s">
        <v>2</v>
      </c>
      <c r="F654" t="s">
        <v>243</v>
      </c>
      <c r="G654" t="s">
        <v>60</v>
      </c>
      <c r="H654">
        <v>1821</v>
      </c>
      <c r="I654" t="s">
        <v>1363</v>
      </c>
      <c r="J654" t="s">
        <v>1364</v>
      </c>
      <c r="K654" t="s">
        <v>2</v>
      </c>
      <c r="L654" t="s">
        <v>1365</v>
      </c>
      <c r="M654" t="s">
        <v>60</v>
      </c>
      <c r="N654" t="s">
        <v>1366</v>
      </c>
      <c r="O654" t="s">
        <v>248</v>
      </c>
      <c r="P654">
        <v>2278084</v>
      </c>
      <c r="Q654" t="s">
        <v>38</v>
      </c>
      <c r="R654">
        <v>415388</v>
      </c>
      <c r="S654" t="s">
        <v>84</v>
      </c>
      <c r="T654" s="2">
        <v>1</v>
      </c>
      <c r="U654">
        <v>0</v>
      </c>
      <c r="V654" t="s">
        <v>153</v>
      </c>
      <c r="W654">
        <v>0</v>
      </c>
      <c r="X654">
        <v>0</v>
      </c>
      <c r="Y654">
        <v>0</v>
      </c>
      <c r="Z654" t="s">
        <v>88</v>
      </c>
      <c r="AA654" t="s">
        <v>144</v>
      </c>
      <c r="AB654" t="s">
        <v>10</v>
      </c>
      <c r="AC654">
        <v>0</v>
      </c>
      <c r="AD654">
        <v>0</v>
      </c>
      <c r="AE654">
        <v>726182083248</v>
      </c>
      <c r="AF654">
        <v>39.57</v>
      </c>
      <c r="AG654">
        <v>0</v>
      </c>
      <c r="AH654">
        <v>15.19</v>
      </c>
      <c r="AI654">
        <v>54.76</v>
      </c>
      <c r="AJ654" t="s">
        <v>2</v>
      </c>
      <c r="AK654" t="s">
        <v>11</v>
      </c>
    </row>
    <row r="655" spans="1:37">
      <c r="A655">
        <v>257800</v>
      </c>
      <c r="B655" s="1">
        <v>45366</v>
      </c>
      <c r="C655" t="s">
        <v>1369</v>
      </c>
      <c r="D655" t="s">
        <v>1370</v>
      </c>
      <c r="E655" t="s">
        <v>2</v>
      </c>
      <c r="F655" t="s">
        <v>1371</v>
      </c>
      <c r="G655" t="s">
        <v>579</v>
      </c>
      <c r="H655">
        <v>45240</v>
      </c>
      <c r="I655" t="s">
        <v>1372</v>
      </c>
      <c r="J655" t="s">
        <v>1373</v>
      </c>
      <c r="K655" t="s">
        <v>2</v>
      </c>
      <c r="L655" t="s">
        <v>1374</v>
      </c>
      <c r="M655" t="s">
        <v>575</v>
      </c>
      <c r="N655" t="s">
        <v>1375</v>
      </c>
      <c r="O655" t="s">
        <v>1376</v>
      </c>
      <c r="P655" t="s">
        <v>1377</v>
      </c>
      <c r="Q655" t="s">
        <v>6</v>
      </c>
      <c r="R655">
        <v>415461</v>
      </c>
      <c r="S655" t="s">
        <v>84</v>
      </c>
      <c r="T655" s="2">
        <v>1</v>
      </c>
      <c r="U655">
        <v>0</v>
      </c>
      <c r="V655" t="s">
        <v>260</v>
      </c>
      <c r="W655">
        <v>0</v>
      </c>
      <c r="X655">
        <v>0</v>
      </c>
      <c r="Y655">
        <v>0</v>
      </c>
      <c r="Z655" t="s">
        <v>9</v>
      </c>
      <c r="AA655" t="s">
        <v>2</v>
      </c>
      <c r="AB655" t="s">
        <v>10</v>
      </c>
      <c r="AC655">
        <v>0</v>
      </c>
      <c r="AD655">
        <v>0</v>
      </c>
      <c r="AE655">
        <v>726182083627</v>
      </c>
      <c r="AF655">
        <v>77.44</v>
      </c>
      <c r="AG655">
        <v>0</v>
      </c>
      <c r="AH655">
        <v>17.54</v>
      </c>
      <c r="AI655">
        <v>94.98</v>
      </c>
      <c r="AJ655" t="s">
        <v>2</v>
      </c>
      <c r="AK655" t="s">
        <v>11</v>
      </c>
    </row>
    <row r="656" spans="1:37">
      <c r="A656">
        <v>257800</v>
      </c>
      <c r="B656" s="1">
        <v>45366</v>
      </c>
      <c r="C656" t="s">
        <v>1369</v>
      </c>
      <c r="D656" t="s">
        <v>1370</v>
      </c>
      <c r="E656" t="s">
        <v>2</v>
      </c>
      <c r="F656" t="s">
        <v>1371</v>
      </c>
      <c r="G656" t="s">
        <v>579</v>
      </c>
      <c r="H656">
        <v>45240</v>
      </c>
      <c r="I656" t="s">
        <v>1372</v>
      </c>
      <c r="J656" t="s">
        <v>1373</v>
      </c>
      <c r="K656" t="s">
        <v>2</v>
      </c>
      <c r="L656" t="s">
        <v>1374</v>
      </c>
      <c r="M656" t="s">
        <v>575</v>
      </c>
      <c r="N656" t="s">
        <v>1375</v>
      </c>
      <c r="O656" t="s">
        <v>1376</v>
      </c>
      <c r="P656" t="s">
        <v>1377</v>
      </c>
      <c r="Q656" t="s">
        <v>6</v>
      </c>
      <c r="R656">
        <v>415461</v>
      </c>
      <c r="S656" t="s">
        <v>84</v>
      </c>
      <c r="T656" s="2">
        <v>1</v>
      </c>
      <c r="U656">
        <v>0</v>
      </c>
      <c r="V656" t="s">
        <v>260</v>
      </c>
      <c r="W656">
        <v>1</v>
      </c>
      <c r="X656">
        <v>1</v>
      </c>
      <c r="Y656">
        <v>0</v>
      </c>
      <c r="Z656" t="s">
        <v>1378</v>
      </c>
      <c r="AA656" t="s">
        <v>1379</v>
      </c>
      <c r="AB656" t="s">
        <v>14</v>
      </c>
      <c r="AC656">
        <v>77.435599999999994</v>
      </c>
      <c r="AD656">
        <v>77.44</v>
      </c>
      <c r="AE656">
        <v>726182083627</v>
      </c>
      <c r="AF656">
        <v>77.44</v>
      </c>
      <c r="AG656">
        <v>0</v>
      </c>
      <c r="AH656">
        <v>17.54</v>
      </c>
      <c r="AI656">
        <v>94.98</v>
      </c>
      <c r="AJ656" t="s">
        <v>2</v>
      </c>
      <c r="AK656" t="s">
        <v>11</v>
      </c>
    </row>
    <row r="657" spans="1:37">
      <c r="A657">
        <v>257800</v>
      </c>
      <c r="B657" s="1">
        <v>45366</v>
      </c>
      <c r="C657" t="s">
        <v>1369</v>
      </c>
      <c r="D657" t="s">
        <v>1370</v>
      </c>
      <c r="E657" t="s">
        <v>2</v>
      </c>
      <c r="F657" t="s">
        <v>1371</v>
      </c>
      <c r="G657" t="s">
        <v>579</v>
      </c>
      <c r="H657">
        <v>45240</v>
      </c>
      <c r="I657" t="s">
        <v>1372</v>
      </c>
      <c r="J657" t="s">
        <v>1373</v>
      </c>
      <c r="K657" t="s">
        <v>2</v>
      </c>
      <c r="L657" t="s">
        <v>1374</v>
      </c>
      <c r="M657" t="s">
        <v>575</v>
      </c>
      <c r="N657" t="s">
        <v>1375</v>
      </c>
      <c r="O657" t="s">
        <v>1376</v>
      </c>
      <c r="P657" t="s">
        <v>1377</v>
      </c>
      <c r="Q657" t="s">
        <v>6</v>
      </c>
      <c r="R657">
        <v>415461</v>
      </c>
      <c r="S657" t="s">
        <v>84</v>
      </c>
      <c r="T657" s="2">
        <v>1</v>
      </c>
      <c r="U657">
        <v>0</v>
      </c>
      <c r="V657" t="s">
        <v>260</v>
      </c>
      <c r="W657">
        <v>0</v>
      </c>
      <c r="X657">
        <v>0</v>
      </c>
      <c r="Y657">
        <v>0</v>
      </c>
      <c r="Z657" t="s">
        <v>88</v>
      </c>
      <c r="AA657" t="s">
        <v>1380</v>
      </c>
      <c r="AB657" t="s">
        <v>10</v>
      </c>
      <c r="AC657">
        <v>0</v>
      </c>
      <c r="AD657">
        <v>0</v>
      </c>
      <c r="AE657">
        <v>726182083627</v>
      </c>
      <c r="AF657">
        <v>77.44</v>
      </c>
      <c r="AG657">
        <v>0</v>
      </c>
      <c r="AH657">
        <v>17.54</v>
      </c>
      <c r="AI657">
        <v>94.98</v>
      </c>
      <c r="AJ657" t="s">
        <v>2</v>
      </c>
      <c r="AK657" t="s">
        <v>11</v>
      </c>
    </row>
    <row r="658" spans="1:37">
      <c r="A658">
        <v>257801</v>
      </c>
      <c r="B658" s="1">
        <v>45366</v>
      </c>
      <c r="C658" t="s">
        <v>424</v>
      </c>
      <c r="D658" t="s">
        <v>425</v>
      </c>
      <c r="E658" t="s">
        <v>426</v>
      </c>
      <c r="F658" t="s">
        <v>427</v>
      </c>
      <c r="G658" t="s">
        <v>103</v>
      </c>
      <c r="H658">
        <v>10013</v>
      </c>
      <c r="I658" t="s">
        <v>1381</v>
      </c>
      <c r="J658" t="s">
        <v>1382</v>
      </c>
      <c r="K658" t="s">
        <v>2</v>
      </c>
      <c r="L658" t="s">
        <v>1255</v>
      </c>
      <c r="M658" t="s">
        <v>35</v>
      </c>
      <c r="N658">
        <v>63043</v>
      </c>
      <c r="O658" t="s">
        <v>431</v>
      </c>
      <c r="P658">
        <v>1054830</v>
      </c>
      <c r="Q658" t="s">
        <v>21</v>
      </c>
      <c r="R658">
        <v>415320</v>
      </c>
      <c r="S658" t="s">
        <v>84</v>
      </c>
      <c r="T658" s="2">
        <v>2</v>
      </c>
      <c r="U658">
        <v>0</v>
      </c>
      <c r="V658" t="s">
        <v>260</v>
      </c>
      <c r="W658">
        <v>0</v>
      </c>
      <c r="X658">
        <v>0</v>
      </c>
      <c r="Y658">
        <v>0</v>
      </c>
      <c r="Z658" t="s">
        <v>9</v>
      </c>
      <c r="AA658" t="s">
        <v>2</v>
      </c>
      <c r="AB658" t="s">
        <v>10</v>
      </c>
      <c r="AC658">
        <v>0</v>
      </c>
      <c r="AD658">
        <v>0</v>
      </c>
      <c r="AE658">
        <v>726182084704</v>
      </c>
      <c r="AF658">
        <v>1451.55</v>
      </c>
      <c r="AG658">
        <v>0</v>
      </c>
      <c r="AH658">
        <v>74.06</v>
      </c>
      <c r="AI658">
        <v>1525.61</v>
      </c>
      <c r="AJ658" t="s">
        <v>2</v>
      </c>
      <c r="AK658" t="s">
        <v>11</v>
      </c>
    </row>
    <row r="659" spans="1:37">
      <c r="A659">
        <v>257801</v>
      </c>
      <c r="B659" s="1">
        <v>45366</v>
      </c>
      <c r="C659" t="s">
        <v>424</v>
      </c>
      <c r="D659" t="s">
        <v>425</v>
      </c>
      <c r="E659" t="s">
        <v>426</v>
      </c>
      <c r="F659" t="s">
        <v>427</v>
      </c>
      <c r="G659" t="s">
        <v>103</v>
      </c>
      <c r="H659">
        <v>10013</v>
      </c>
      <c r="I659" t="s">
        <v>1381</v>
      </c>
      <c r="J659" t="s">
        <v>1382</v>
      </c>
      <c r="K659" t="s">
        <v>2</v>
      </c>
      <c r="L659" t="s">
        <v>1255</v>
      </c>
      <c r="M659" t="s">
        <v>35</v>
      </c>
      <c r="N659">
        <v>63043</v>
      </c>
      <c r="O659" t="s">
        <v>431</v>
      </c>
      <c r="P659">
        <v>1054830</v>
      </c>
      <c r="Q659" t="s">
        <v>21</v>
      </c>
      <c r="R659">
        <v>415320</v>
      </c>
      <c r="S659" t="s">
        <v>84</v>
      </c>
      <c r="T659" s="2">
        <v>2</v>
      </c>
      <c r="U659">
        <v>0</v>
      </c>
      <c r="V659" t="s">
        <v>260</v>
      </c>
      <c r="W659">
        <v>1</v>
      </c>
      <c r="X659">
        <v>1</v>
      </c>
      <c r="Y659">
        <v>0</v>
      </c>
      <c r="Z659" t="s">
        <v>1383</v>
      </c>
      <c r="AA659" t="s">
        <v>1384</v>
      </c>
      <c r="AB659" t="s">
        <v>14</v>
      </c>
      <c r="AC659">
        <v>1050.0299</v>
      </c>
      <c r="AD659">
        <v>1050.03</v>
      </c>
      <c r="AE659">
        <v>726182084704</v>
      </c>
      <c r="AF659">
        <v>1451.55</v>
      </c>
      <c r="AG659">
        <v>0</v>
      </c>
      <c r="AH659">
        <v>74.06</v>
      </c>
      <c r="AI659">
        <v>1525.61</v>
      </c>
      <c r="AJ659" t="s">
        <v>2</v>
      </c>
      <c r="AK659" t="s">
        <v>11</v>
      </c>
    </row>
    <row r="660" spans="1:37">
      <c r="A660">
        <v>257801</v>
      </c>
      <c r="B660" s="1">
        <v>45366</v>
      </c>
      <c r="C660" t="s">
        <v>424</v>
      </c>
      <c r="D660" t="s">
        <v>425</v>
      </c>
      <c r="E660" t="s">
        <v>426</v>
      </c>
      <c r="F660" t="s">
        <v>427</v>
      </c>
      <c r="G660" t="s">
        <v>103</v>
      </c>
      <c r="H660">
        <v>10013</v>
      </c>
      <c r="I660" t="s">
        <v>1381</v>
      </c>
      <c r="J660" t="s">
        <v>1382</v>
      </c>
      <c r="K660" t="s">
        <v>2</v>
      </c>
      <c r="L660" t="s">
        <v>1255</v>
      </c>
      <c r="M660" t="s">
        <v>35</v>
      </c>
      <c r="N660">
        <v>63043</v>
      </c>
      <c r="O660" t="s">
        <v>431</v>
      </c>
      <c r="P660">
        <v>1054830</v>
      </c>
      <c r="Q660" t="s">
        <v>21</v>
      </c>
      <c r="R660">
        <v>415320</v>
      </c>
      <c r="S660" t="s">
        <v>84</v>
      </c>
      <c r="T660" s="2">
        <v>2</v>
      </c>
      <c r="U660">
        <v>0</v>
      </c>
      <c r="V660" t="s">
        <v>260</v>
      </c>
      <c r="W660">
        <v>0</v>
      </c>
      <c r="X660">
        <v>0</v>
      </c>
      <c r="Y660">
        <v>0</v>
      </c>
      <c r="Z660" t="s">
        <v>88</v>
      </c>
      <c r="AA660" t="s">
        <v>1302</v>
      </c>
      <c r="AB660" t="s">
        <v>10</v>
      </c>
      <c r="AC660">
        <v>0</v>
      </c>
      <c r="AD660">
        <v>0</v>
      </c>
      <c r="AE660">
        <v>726182084704</v>
      </c>
      <c r="AF660">
        <v>1451.55</v>
      </c>
      <c r="AG660">
        <v>0</v>
      </c>
      <c r="AH660">
        <v>74.06</v>
      </c>
      <c r="AI660">
        <v>1525.61</v>
      </c>
      <c r="AJ660" t="s">
        <v>2</v>
      </c>
      <c r="AK660" t="s">
        <v>11</v>
      </c>
    </row>
    <row r="661" spans="1:37">
      <c r="A661">
        <v>257801</v>
      </c>
      <c r="B661" s="1">
        <v>45366</v>
      </c>
      <c r="C661" t="s">
        <v>424</v>
      </c>
      <c r="D661" t="s">
        <v>425</v>
      </c>
      <c r="E661" t="s">
        <v>426</v>
      </c>
      <c r="F661" t="s">
        <v>427</v>
      </c>
      <c r="G661" t="s">
        <v>103</v>
      </c>
      <c r="H661">
        <v>10013</v>
      </c>
      <c r="I661" t="s">
        <v>1381</v>
      </c>
      <c r="J661" t="s">
        <v>1382</v>
      </c>
      <c r="K661" t="s">
        <v>2</v>
      </c>
      <c r="L661" t="s">
        <v>1255</v>
      </c>
      <c r="M661" t="s">
        <v>35</v>
      </c>
      <c r="N661">
        <v>63043</v>
      </c>
      <c r="O661" t="s">
        <v>431</v>
      </c>
      <c r="P661">
        <v>1054830</v>
      </c>
      <c r="Q661" t="s">
        <v>21</v>
      </c>
      <c r="R661">
        <v>415320</v>
      </c>
      <c r="S661" t="s">
        <v>84</v>
      </c>
      <c r="T661" s="2">
        <v>2</v>
      </c>
      <c r="U661">
        <v>0</v>
      </c>
      <c r="V661" t="s">
        <v>260</v>
      </c>
      <c r="W661">
        <v>1</v>
      </c>
      <c r="X661">
        <v>1</v>
      </c>
      <c r="Y661">
        <v>0</v>
      </c>
      <c r="Z661" t="s">
        <v>1385</v>
      </c>
      <c r="AA661" t="s">
        <v>1386</v>
      </c>
      <c r="AB661" t="s">
        <v>14</v>
      </c>
      <c r="AC661">
        <v>401.52100000000002</v>
      </c>
      <c r="AD661">
        <v>401.52</v>
      </c>
      <c r="AE661">
        <v>726182084704</v>
      </c>
      <c r="AF661">
        <v>1451.55</v>
      </c>
      <c r="AG661">
        <v>0</v>
      </c>
      <c r="AH661">
        <v>74.06</v>
      </c>
      <c r="AI661">
        <v>1525.61</v>
      </c>
      <c r="AJ661" t="s">
        <v>2</v>
      </c>
      <c r="AK661" t="s">
        <v>11</v>
      </c>
    </row>
    <row r="662" spans="1:37">
      <c r="A662">
        <v>257801</v>
      </c>
      <c r="B662" s="1">
        <v>45366</v>
      </c>
      <c r="C662" t="s">
        <v>424</v>
      </c>
      <c r="D662" t="s">
        <v>425</v>
      </c>
      <c r="E662" t="s">
        <v>426</v>
      </c>
      <c r="F662" t="s">
        <v>427</v>
      </c>
      <c r="G662" t="s">
        <v>103</v>
      </c>
      <c r="H662">
        <v>10013</v>
      </c>
      <c r="I662" t="s">
        <v>1381</v>
      </c>
      <c r="J662" t="s">
        <v>1382</v>
      </c>
      <c r="K662" t="s">
        <v>2</v>
      </c>
      <c r="L662" t="s">
        <v>1255</v>
      </c>
      <c r="M662" t="s">
        <v>35</v>
      </c>
      <c r="N662">
        <v>63043</v>
      </c>
      <c r="O662" t="s">
        <v>431</v>
      </c>
      <c r="P662">
        <v>1054830</v>
      </c>
      <c r="Q662" t="s">
        <v>21</v>
      </c>
      <c r="R662">
        <v>415320</v>
      </c>
      <c r="S662" t="s">
        <v>84</v>
      </c>
      <c r="T662" s="2">
        <v>2</v>
      </c>
      <c r="U662">
        <v>0</v>
      </c>
      <c r="V662" t="s">
        <v>260</v>
      </c>
      <c r="W662">
        <v>0</v>
      </c>
      <c r="X662">
        <v>0</v>
      </c>
      <c r="Y662">
        <v>0</v>
      </c>
      <c r="Z662" t="s">
        <v>88</v>
      </c>
      <c r="AA662" t="s">
        <v>1302</v>
      </c>
      <c r="AB662" t="s">
        <v>10</v>
      </c>
      <c r="AC662">
        <v>0</v>
      </c>
      <c r="AD662">
        <v>0</v>
      </c>
      <c r="AE662">
        <v>726182084704</v>
      </c>
      <c r="AF662">
        <v>1451.55</v>
      </c>
      <c r="AG662">
        <v>0</v>
      </c>
      <c r="AH662">
        <v>74.06</v>
      </c>
      <c r="AI662">
        <v>1525.61</v>
      </c>
      <c r="AJ662" t="s">
        <v>2</v>
      </c>
      <c r="AK662" t="s">
        <v>11</v>
      </c>
    </row>
    <row r="663" spans="1:37">
      <c r="A663">
        <v>257801</v>
      </c>
      <c r="B663" s="1">
        <v>45366</v>
      </c>
      <c r="C663" t="s">
        <v>424</v>
      </c>
      <c r="D663" t="s">
        <v>425</v>
      </c>
      <c r="E663" t="s">
        <v>426</v>
      </c>
      <c r="F663" t="s">
        <v>427</v>
      </c>
      <c r="G663" t="s">
        <v>103</v>
      </c>
      <c r="H663">
        <v>10013</v>
      </c>
      <c r="I663" t="s">
        <v>1381</v>
      </c>
      <c r="J663" t="s">
        <v>1382</v>
      </c>
      <c r="K663" t="s">
        <v>2</v>
      </c>
      <c r="L663" t="s">
        <v>1255</v>
      </c>
      <c r="M663" t="s">
        <v>35</v>
      </c>
      <c r="N663">
        <v>63043</v>
      </c>
      <c r="O663" t="s">
        <v>431</v>
      </c>
      <c r="P663">
        <v>1054830</v>
      </c>
      <c r="Q663" t="s">
        <v>21</v>
      </c>
      <c r="R663">
        <v>415320</v>
      </c>
      <c r="S663" t="s">
        <v>84</v>
      </c>
      <c r="T663" s="2">
        <v>2</v>
      </c>
      <c r="U663">
        <v>0</v>
      </c>
      <c r="V663" t="s">
        <v>260</v>
      </c>
      <c r="W663">
        <v>0</v>
      </c>
      <c r="X663">
        <v>0</v>
      </c>
      <c r="Y663">
        <v>0</v>
      </c>
      <c r="Z663" t="s">
        <v>88</v>
      </c>
      <c r="AA663" t="s">
        <v>2</v>
      </c>
      <c r="AB663" t="s">
        <v>10</v>
      </c>
      <c r="AC663">
        <v>0</v>
      </c>
      <c r="AD663">
        <v>0</v>
      </c>
      <c r="AE663">
        <v>726182084704</v>
      </c>
      <c r="AF663">
        <v>1451.55</v>
      </c>
      <c r="AG663">
        <v>0</v>
      </c>
      <c r="AH663">
        <v>74.06</v>
      </c>
      <c r="AI663">
        <v>1525.61</v>
      </c>
      <c r="AJ663" t="s">
        <v>2</v>
      </c>
      <c r="AK663" t="s">
        <v>11</v>
      </c>
    </row>
    <row r="664" spans="1:37">
      <c r="A664">
        <v>257801</v>
      </c>
      <c r="B664" s="1">
        <v>45366</v>
      </c>
      <c r="C664" t="s">
        <v>424</v>
      </c>
      <c r="D664" t="s">
        <v>425</v>
      </c>
      <c r="E664" t="s">
        <v>426</v>
      </c>
      <c r="F664" t="s">
        <v>427</v>
      </c>
      <c r="G664" t="s">
        <v>103</v>
      </c>
      <c r="H664">
        <v>10013</v>
      </c>
      <c r="I664" t="s">
        <v>1381</v>
      </c>
      <c r="J664" t="s">
        <v>1382</v>
      </c>
      <c r="K664" t="s">
        <v>2</v>
      </c>
      <c r="L664" t="s">
        <v>1255</v>
      </c>
      <c r="M664" t="s">
        <v>35</v>
      </c>
      <c r="N664">
        <v>63043</v>
      </c>
      <c r="O664" t="s">
        <v>431</v>
      </c>
      <c r="P664">
        <v>1054830</v>
      </c>
      <c r="Q664" t="s">
        <v>21</v>
      </c>
      <c r="R664">
        <v>415320</v>
      </c>
      <c r="S664" t="s">
        <v>84</v>
      </c>
      <c r="T664" s="2">
        <v>2</v>
      </c>
      <c r="U664">
        <v>0</v>
      </c>
      <c r="V664" t="s">
        <v>260</v>
      </c>
      <c r="W664">
        <v>0</v>
      </c>
      <c r="X664">
        <v>0</v>
      </c>
      <c r="Y664">
        <v>0</v>
      </c>
      <c r="Z664" t="s">
        <v>88</v>
      </c>
      <c r="AA664" t="s">
        <v>1387</v>
      </c>
      <c r="AB664" t="s">
        <v>10</v>
      </c>
      <c r="AC664">
        <v>0</v>
      </c>
      <c r="AD664">
        <v>0</v>
      </c>
      <c r="AE664">
        <v>726182084704</v>
      </c>
      <c r="AF664">
        <v>1451.55</v>
      </c>
      <c r="AG664">
        <v>0</v>
      </c>
      <c r="AH664">
        <v>74.06</v>
      </c>
      <c r="AI664">
        <v>1525.61</v>
      </c>
      <c r="AJ664" t="s">
        <v>2</v>
      </c>
      <c r="AK664" t="s">
        <v>11</v>
      </c>
    </row>
    <row r="665" spans="1:37">
      <c r="A665">
        <v>257802</v>
      </c>
      <c r="B665" s="1">
        <v>45366</v>
      </c>
      <c r="C665" t="s">
        <v>489</v>
      </c>
      <c r="D665" t="s">
        <v>490</v>
      </c>
      <c r="E665" t="s">
        <v>491</v>
      </c>
      <c r="F665" t="s">
        <v>492</v>
      </c>
      <c r="G665" t="s">
        <v>493</v>
      </c>
      <c r="H665">
        <v>20794</v>
      </c>
      <c r="I665" t="s">
        <v>1388</v>
      </c>
      <c r="J665" t="s">
        <v>1389</v>
      </c>
      <c r="K665" t="s">
        <v>2</v>
      </c>
      <c r="L665" t="s">
        <v>1390</v>
      </c>
      <c r="M665" t="s">
        <v>493</v>
      </c>
      <c r="N665" t="s">
        <v>1391</v>
      </c>
      <c r="O665" t="s">
        <v>499</v>
      </c>
      <c r="P665">
        <v>2276027</v>
      </c>
      <c r="Q665" t="s">
        <v>38</v>
      </c>
      <c r="R665">
        <v>414495</v>
      </c>
      <c r="S665" t="s">
        <v>84</v>
      </c>
      <c r="T665" s="2">
        <v>1</v>
      </c>
      <c r="U665">
        <v>0</v>
      </c>
      <c r="V665" t="s">
        <v>153</v>
      </c>
      <c r="W665">
        <v>0</v>
      </c>
      <c r="X665">
        <v>0</v>
      </c>
      <c r="Y665">
        <v>0</v>
      </c>
      <c r="Z665" t="s">
        <v>9</v>
      </c>
      <c r="AA665" t="s">
        <v>2</v>
      </c>
      <c r="AB665" t="s">
        <v>10</v>
      </c>
      <c r="AC665">
        <v>0</v>
      </c>
      <c r="AD665">
        <v>0</v>
      </c>
      <c r="AE665">
        <v>726182084417</v>
      </c>
      <c r="AF665">
        <v>79.150000000000006</v>
      </c>
      <c r="AG665">
        <v>0</v>
      </c>
      <c r="AH665">
        <v>16.88</v>
      </c>
      <c r="AI665">
        <v>96.03</v>
      </c>
      <c r="AJ665" t="s">
        <v>2</v>
      </c>
      <c r="AK665" t="s">
        <v>11</v>
      </c>
    </row>
    <row r="666" spans="1:37">
      <c r="A666">
        <v>257802</v>
      </c>
      <c r="B666" s="1">
        <v>45366</v>
      </c>
      <c r="C666" t="s">
        <v>489</v>
      </c>
      <c r="D666" t="s">
        <v>490</v>
      </c>
      <c r="E666" t="s">
        <v>491</v>
      </c>
      <c r="F666" t="s">
        <v>492</v>
      </c>
      <c r="G666" t="s">
        <v>493</v>
      </c>
      <c r="H666">
        <v>20794</v>
      </c>
      <c r="I666" t="s">
        <v>1388</v>
      </c>
      <c r="J666" t="s">
        <v>1389</v>
      </c>
      <c r="K666" t="s">
        <v>2</v>
      </c>
      <c r="L666" t="s">
        <v>1390</v>
      </c>
      <c r="M666" t="s">
        <v>493</v>
      </c>
      <c r="N666" t="s">
        <v>1391</v>
      </c>
      <c r="O666" t="s">
        <v>499</v>
      </c>
      <c r="P666">
        <v>2276027</v>
      </c>
      <c r="Q666" t="s">
        <v>38</v>
      </c>
      <c r="R666">
        <v>414495</v>
      </c>
      <c r="S666" t="s">
        <v>84</v>
      </c>
      <c r="T666" s="2">
        <v>1</v>
      </c>
      <c r="U666">
        <v>0</v>
      </c>
      <c r="V666" t="s">
        <v>153</v>
      </c>
      <c r="W666">
        <v>1</v>
      </c>
      <c r="X666">
        <v>1</v>
      </c>
      <c r="Y666">
        <v>0</v>
      </c>
      <c r="Z666" t="s">
        <v>1392</v>
      </c>
      <c r="AA666" t="s">
        <v>1393</v>
      </c>
      <c r="AB666" t="s">
        <v>14</v>
      </c>
      <c r="AC666">
        <v>79.150000000000006</v>
      </c>
      <c r="AD666">
        <v>79.150000000000006</v>
      </c>
      <c r="AE666">
        <v>726182084417</v>
      </c>
      <c r="AF666">
        <v>79.150000000000006</v>
      </c>
      <c r="AG666">
        <v>0</v>
      </c>
      <c r="AH666">
        <v>16.88</v>
      </c>
      <c r="AI666">
        <v>96.03</v>
      </c>
      <c r="AJ666" t="s">
        <v>2</v>
      </c>
      <c r="AK666" t="s">
        <v>11</v>
      </c>
    </row>
    <row r="667" spans="1:37">
      <c r="A667">
        <v>257802</v>
      </c>
      <c r="B667" s="1">
        <v>45366</v>
      </c>
      <c r="C667" t="s">
        <v>489</v>
      </c>
      <c r="D667" t="s">
        <v>490</v>
      </c>
      <c r="E667" t="s">
        <v>491</v>
      </c>
      <c r="F667" t="s">
        <v>492</v>
      </c>
      <c r="G667" t="s">
        <v>493</v>
      </c>
      <c r="H667">
        <v>20794</v>
      </c>
      <c r="I667" t="s">
        <v>1388</v>
      </c>
      <c r="J667" t="s">
        <v>1389</v>
      </c>
      <c r="K667" t="s">
        <v>2</v>
      </c>
      <c r="L667" t="s">
        <v>1390</v>
      </c>
      <c r="M667" t="s">
        <v>493</v>
      </c>
      <c r="N667" t="s">
        <v>1391</v>
      </c>
      <c r="O667" t="s">
        <v>499</v>
      </c>
      <c r="P667">
        <v>2276027</v>
      </c>
      <c r="Q667" t="s">
        <v>38</v>
      </c>
      <c r="R667">
        <v>414495</v>
      </c>
      <c r="S667" t="s">
        <v>84</v>
      </c>
      <c r="T667" s="2">
        <v>1</v>
      </c>
      <c r="U667">
        <v>0</v>
      </c>
      <c r="V667" t="s">
        <v>153</v>
      </c>
      <c r="W667">
        <v>0</v>
      </c>
      <c r="X667">
        <v>0</v>
      </c>
      <c r="Y667">
        <v>0</v>
      </c>
      <c r="Z667" t="s">
        <v>88</v>
      </c>
      <c r="AA667" t="s">
        <v>144</v>
      </c>
      <c r="AB667" t="s">
        <v>10</v>
      </c>
      <c r="AC667">
        <v>0</v>
      </c>
      <c r="AD667">
        <v>0</v>
      </c>
      <c r="AE667">
        <v>726182084417</v>
      </c>
      <c r="AF667">
        <v>79.150000000000006</v>
      </c>
      <c r="AG667">
        <v>0</v>
      </c>
      <c r="AH667">
        <v>16.88</v>
      </c>
      <c r="AI667">
        <v>96.03</v>
      </c>
      <c r="AJ667" t="s">
        <v>2</v>
      </c>
      <c r="AK667" t="s">
        <v>11</v>
      </c>
    </row>
    <row r="668" spans="1:37">
      <c r="A668">
        <v>257803</v>
      </c>
      <c r="B668" s="1">
        <v>45366</v>
      </c>
      <c r="C668" t="s">
        <v>159</v>
      </c>
      <c r="D668" t="s">
        <v>160</v>
      </c>
      <c r="E668" t="s">
        <v>161</v>
      </c>
      <c r="F668" t="s">
        <v>162</v>
      </c>
      <c r="G668" t="s">
        <v>163</v>
      </c>
      <c r="H668">
        <v>80239</v>
      </c>
      <c r="I668" t="s">
        <v>1394</v>
      </c>
      <c r="J668" t="s">
        <v>1395</v>
      </c>
      <c r="K668" t="s">
        <v>2</v>
      </c>
      <c r="L668" t="s">
        <v>1396</v>
      </c>
      <c r="M668" t="s">
        <v>163</v>
      </c>
      <c r="N668" t="s">
        <v>1397</v>
      </c>
      <c r="O668" t="s">
        <v>168</v>
      </c>
      <c r="P668">
        <v>2278034</v>
      </c>
      <c r="Q668" t="s">
        <v>38</v>
      </c>
      <c r="R668">
        <v>415451</v>
      </c>
      <c r="S668" t="s">
        <v>84</v>
      </c>
      <c r="T668" s="2">
        <v>1</v>
      </c>
      <c r="U668">
        <v>0</v>
      </c>
      <c r="V668" t="s">
        <v>153</v>
      </c>
      <c r="W668">
        <v>0</v>
      </c>
      <c r="X668">
        <v>0</v>
      </c>
      <c r="Y668">
        <v>0</v>
      </c>
      <c r="Z668" t="s">
        <v>9</v>
      </c>
      <c r="AA668" t="s">
        <v>2</v>
      </c>
      <c r="AB668" t="s">
        <v>10</v>
      </c>
      <c r="AC668">
        <v>0</v>
      </c>
      <c r="AD668">
        <v>0</v>
      </c>
      <c r="AE668">
        <v>726182085012</v>
      </c>
      <c r="AF668">
        <v>70</v>
      </c>
      <c r="AG668">
        <v>0</v>
      </c>
      <c r="AH668">
        <v>24.51</v>
      </c>
      <c r="AI668">
        <v>94.51</v>
      </c>
      <c r="AJ668" t="s">
        <v>2</v>
      </c>
      <c r="AK668" t="s">
        <v>11</v>
      </c>
    </row>
    <row r="669" spans="1:37">
      <c r="A669">
        <v>257803</v>
      </c>
      <c r="B669" s="1">
        <v>45366</v>
      </c>
      <c r="C669" t="s">
        <v>159</v>
      </c>
      <c r="D669" t="s">
        <v>160</v>
      </c>
      <c r="E669" t="s">
        <v>161</v>
      </c>
      <c r="F669" t="s">
        <v>162</v>
      </c>
      <c r="G669" t="s">
        <v>163</v>
      </c>
      <c r="H669">
        <v>80239</v>
      </c>
      <c r="I669" t="s">
        <v>1394</v>
      </c>
      <c r="J669" t="s">
        <v>1395</v>
      </c>
      <c r="K669" t="s">
        <v>2</v>
      </c>
      <c r="L669" t="s">
        <v>1396</v>
      </c>
      <c r="M669" t="s">
        <v>163</v>
      </c>
      <c r="N669" t="s">
        <v>1397</v>
      </c>
      <c r="O669" t="s">
        <v>168</v>
      </c>
      <c r="P669">
        <v>2278034</v>
      </c>
      <c r="Q669" t="s">
        <v>38</v>
      </c>
      <c r="R669">
        <v>415451</v>
      </c>
      <c r="S669" t="s">
        <v>84</v>
      </c>
      <c r="T669" s="2">
        <v>1</v>
      </c>
      <c r="U669">
        <v>0</v>
      </c>
      <c r="V669" t="s">
        <v>153</v>
      </c>
      <c r="W669">
        <v>1</v>
      </c>
      <c r="X669">
        <v>1</v>
      </c>
      <c r="Y669">
        <v>0</v>
      </c>
      <c r="Z669" t="s">
        <v>1398</v>
      </c>
      <c r="AA669" t="s">
        <v>1399</v>
      </c>
      <c r="AB669" t="s">
        <v>14</v>
      </c>
      <c r="AC669">
        <v>70.0047</v>
      </c>
      <c r="AD669">
        <v>70</v>
      </c>
      <c r="AE669">
        <v>726182085012</v>
      </c>
      <c r="AF669">
        <v>70</v>
      </c>
      <c r="AG669">
        <v>0</v>
      </c>
      <c r="AH669">
        <v>24.51</v>
      </c>
      <c r="AI669">
        <v>94.51</v>
      </c>
      <c r="AJ669" t="s">
        <v>2</v>
      </c>
      <c r="AK669" t="s">
        <v>11</v>
      </c>
    </row>
    <row r="670" spans="1:37">
      <c r="A670">
        <v>257803</v>
      </c>
      <c r="B670" s="1">
        <v>45366</v>
      </c>
      <c r="C670" t="s">
        <v>159</v>
      </c>
      <c r="D670" t="s">
        <v>160</v>
      </c>
      <c r="E670" t="s">
        <v>161</v>
      </c>
      <c r="F670" t="s">
        <v>162</v>
      </c>
      <c r="G670" t="s">
        <v>163</v>
      </c>
      <c r="H670">
        <v>80239</v>
      </c>
      <c r="I670" t="s">
        <v>1394</v>
      </c>
      <c r="J670" t="s">
        <v>1395</v>
      </c>
      <c r="K670" t="s">
        <v>2</v>
      </c>
      <c r="L670" t="s">
        <v>1396</v>
      </c>
      <c r="M670" t="s">
        <v>163</v>
      </c>
      <c r="N670" t="s">
        <v>1397</v>
      </c>
      <c r="O670" t="s">
        <v>168</v>
      </c>
      <c r="P670">
        <v>2278034</v>
      </c>
      <c r="Q670" t="s">
        <v>38</v>
      </c>
      <c r="R670">
        <v>415451</v>
      </c>
      <c r="S670" t="s">
        <v>84</v>
      </c>
      <c r="T670" s="2">
        <v>1</v>
      </c>
      <c r="U670">
        <v>0</v>
      </c>
      <c r="V670" t="s">
        <v>153</v>
      </c>
      <c r="W670">
        <v>0</v>
      </c>
      <c r="X670">
        <v>0</v>
      </c>
      <c r="Y670">
        <v>0</v>
      </c>
      <c r="Z670" t="s">
        <v>88</v>
      </c>
      <c r="AA670" t="s">
        <v>144</v>
      </c>
      <c r="AB670" t="s">
        <v>10</v>
      </c>
      <c r="AC670">
        <v>0</v>
      </c>
      <c r="AD670">
        <v>0</v>
      </c>
      <c r="AE670">
        <v>726182085012</v>
      </c>
      <c r="AF670">
        <v>70</v>
      </c>
      <c r="AG670">
        <v>0</v>
      </c>
      <c r="AH670">
        <v>24.51</v>
      </c>
      <c r="AI670">
        <v>94.51</v>
      </c>
      <c r="AJ670" t="s">
        <v>2</v>
      </c>
      <c r="AK670" t="s">
        <v>11</v>
      </c>
    </row>
    <row r="671" spans="1:37">
      <c r="A671">
        <v>257804</v>
      </c>
      <c r="B671" s="1">
        <v>45366</v>
      </c>
      <c r="C671" t="s">
        <v>1318</v>
      </c>
      <c r="D671" t="s">
        <v>1319</v>
      </c>
      <c r="E671" t="s">
        <v>2</v>
      </c>
      <c r="F671" t="s">
        <v>1320</v>
      </c>
      <c r="G671" t="s">
        <v>1321</v>
      </c>
      <c r="H671">
        <v>6457</v>
      </c>
      <c r="I671" t="s">
        <v>1400</v>
      </c>
      <c r="J671" t="s">
        <v>1401</v>
      </c>
      <c r="K671" t="s">
        <v>2</v>
      </c>
      <c r="L671" t="s">
        <v>1324</v>
      </c>
      <c r="M671" t="s">
        <v>1321</v>
      </c>
      <c r="N671" t="s">
        <v>1402</v>
      </c>
      <c r="O671" t="s">
        <v>1326</v>
      </c>
      <c r="P671">
        <v>2278216</v>
      </c>
      <c r="Q671" t="s">
        <v>38</v>
      </c>
      <c r="R671">
        <v>415465</v>
      </c>
      <c r="S671" t="s">
        <v>84</v>
      </c>
      <c r="T671" s="2">
        <v>2</v>
      </c>
      <c r="U671">
        <v>0</v>
      </c>
      <c r="V671" t="s">
        <v>153</v>
      </c>
      <c r="W671">
        <v>0</v>
      </c>
      <c r="X671">
        <v>0</v>
      </c>
      <c r="Y671">
        <v>0</v>
      </c>
      <c r="Z671" t="s">
        <v>9</v>
      </c>
      <c r="AA671" t="s">
        <v>2</v>
      </c>
      <c r="AB671" t="s">
        <v>10</v>
      </c>
      <c r="AC671">
        <v>0</v>
      </c>
      <c r="AD671">
        <v>0</v>
      </c>
      <c r="AE671">
        <v>726182085045</v>
      </c>
      <c r="AF671">
        <v>308.17</v>
      </c>
      <c r="AG671">
        <v>0</v>
      </c>
      <c r="AH671">
        <v>36.31</v>
      </c>
      <c r="AI671">
        <v>344.48</v>
      </c>
      <c r="AJ671" t="s">
        <v>2</v>
      </c>
      <c r="AK671" t="s">
        <v>11</v>
      </c>
    </row>
    <row r="672" spans="1:37">
      <c r="A672">
        <v>257804</v>
      </c>
      <c r="B672" s="1">
        <v>45366</v>
      </c>
      <c r="C672" t="s">
        <v>1318</v>
      </c>
      <c r="D672" t="s">
        <v>1319</v>
      </c>
      <c r="E672" t="s">
        <v>2</v>
      </c>
      <c r="F672" t="s">
        <v>1320</v>
      </c>
      <c r="G672" t="s">
        <v>1321</v>
      </c>
      <c r="H672">
        <v>6457</v>
      </c>
      <c r="I672" t="s">
        <v>1400</v>
      </c>
      <c r="J672" t="s">
        <v>1401</v>
      </c>
      <c r="K672" t="s">
        <v>2</v>
      </c>
      <c r="L672" t="s">
        <v>1324</v>
      </c>
      <c r="M672" t="s">
        <v>1321</v>
      </c>
      <c r="N672" t="s">
        <v>1402</v>
      </c>
      <c r="O672" t="s">
        <v>1326</v>
      </c>
      <c r="P672">
        <v>2278216</v>
      </c>
      <c r="Q672" t="s">
        <v>38</v>
      </c>
      <c r="R672">
        <v>415465</v>
      </c>
      <c r="S672" t="s">
        <v>84</v>
      </c>
      <c r="T672" s="2">
        <v>2</v>
      </c>
      <c r="U672">
        <v>0</v>
      </c>
      <c r="V672" t="s">
        <v>153</v>
      </c>
      <c r="W672">
        <v>1</v>
      </c>
      <c r="X672">
        <v>1</v>
      </c>
      <c r="Y672">
        <v>0</v>
      </c>
      <c r="Z672" t="s">
        <v>1403</v>
      </c>
      <c r="AA672" t="s">
        <v>1404</v>
      </c>
      <c r="AB672" t="s">
        <v>14</v>
      </c>
      <c r="AC672">
        <v>172.63</v>
      </c>
      <c r="AD672">
        <v>172.63</v>
      </c>
      <c r="AE672">
        <v>726182085045</v>
      </c>
      <c r="AF672">
        <v>308.17</v>
      </c>
      <c r="AG672">
        <v>0</v>
      </c>
      <c r="AH672">
        <v>36.31</v>
      </c>
      <c r="AI672">
        <v>344.48</v>
      </c>
      <c r="AJ672" t="s">
        <v>2</v>
      </c>
      <c r="AK672" t="s">
        <v>11</v>
      </c>
    </row>
    <row r="673" spans="1:37">
      <c r="A673">
        <v>257804</v>
      </c>
      <c r="B673" s="1">
        <v>45366</v>
      </c>
      <c r="C673" t="s">
        <v>1318</v>
      </c>
      <c r="D673" t="s">
        <v>1319</v>
      </c>
      <c r="E673" t="s">
        <v>2</v>
      </c>
      <c r="F673" t="s">
        <v>1320</v>
      </c>
      <c r="G673" t="s">
        <v>1321</v>
      </c>
      <c r="H673">
        <v>6457</v>
      </c>
      <c r="I673" t="s">
        <v>1400</v>
      </c>
      <c r="J673" t="s">
        <v>1401</v>
      </c>
      <c r="K673" t="s">
        <v>2</v>
      </c>
      <c r="L673" t="s">
        <v>1324</v>
      </c>
      <c r="M673" t="s">
        <v>1321</v>
      </c>
      <c r="N673" t="s">
        <v>1402</v>
      </c>
      <c r="O673" t="s">
        <v>1326</v>
      </c>
      <c r="P673">
        <v>2278216</v>
      </c>
      <c r="Q673" t="s">
        <v>38</v>
      </c>
      <c r="R673">
        <v>415465</v>
      </c>
      <c r="S673" t="s">
        <v>84</v>
      </c>
      <c r="T673" s="2">
        <v>2</v>
      </c>
      <c r="U673">
        <v>0</v>
      </c>
      <c r="V673" t="s">
        <v>153</v>
      </c>
      <c r="W673">
        <v>0</v>
      </c>
      <c r="X673">
        <v>0</v>
      </c>
      <c r="Y673">
        <v>0</v>
      </c>
      <c r="Z673" t="s">
        <v>88</v>
      </c>
      <c r="AA673" t="s">
        <v>298</v>
      </c>
      <c r="AB673" t="s">
        <v>10</v>
      </c>
      <c r="AC673">
        <v>0</v>
      </c>
      <c r="AD673">
        <v>0</v>
      </c>
      <c r="AE673">
        <v>726182085045</v>
      </c>
      <c r="AF673">
        <v>308.17</v>
      </c>
      <c r="AG673">
        <v>0</v>
      </c>
      <c r="AH673">
        <v>36.31</v>
      </c>
      <c r="AI673">
        <v>344.48</v>
      </c>
      <c r="AJ673" t="s">
        <v>2</v>
      </c>
      <c r="AK673" t="s">
        <v>11</v>
      </c>
    </row>
    <row r="674" spans="1:37">
      <c r="A674">
        <v>257804</v>
      </c>
      <c r="B674" s="1">
        <v>45366</v>
      </c>
      <c r="C674" t="s">
        <v>1318</v>
      </c>
      <c r="D674" t="s">
        <v>1319</v>
      </c>
      <c r="E674" t="s">
        <v>2</v>
      </c>
      <c r="F674" t="s">
        <v>1320</v>
      </c>
      <c r="G674" t="s">
        <v>1321</v>
      </c>
      <c r="H674">
        <v>6457</v>
      </c>
      <c r="I674" t="s">
        <v>1400</v>
      </c>
      <c r="J674" t="s">
        <v>1401</v>
      </c>
      <c r="K674" t="s">
        <v>2</v>
      </c>
      <c r="L674" t="s">
        <v>1324</v>
      </c>
      <c r="M674" t="s">
        <v>1321</v>
      </c>
      <c r="N674" t="s">
        <v>1402</v>
      </c>
      <c r="O674" t="s">
        <v>1326</v>
      </c>
      <c r="P674">
        <v>2278216</v>
      </c>
      <c r="Q674" t="s">
        <v>38</v>
      </c>
      <c r="R674">
        <v>415465</v>
      </c>
      <c r="S674" t="s">
        <v>84</v>
      </c>
      <c r="T674" s="2">
        <v>2</v>
      </c>
      <c r="U674">
        <v>0</v>
      </c>
      <c r="V674" t="s">
        <v>153</v>
      </c>
      <c r="W674">
        <v>1</v>
      </c>
      <c r="X674">
        <v>1</v>
      </c>
      <c r="Y674">
        <v>0</v>
      </c>
      <c r="Z674" t="s">
        <v>1405</v>
      </c>
      <c r="AA674" t="s">
        <v>1406</v>
      </c>
      <c r="AB674" t="s">
        <v>14</v>
      </c>
      <c r="AC674">
        <v>135.54</v>
      </c>
      <c r="AD674">
        <v>135.54</v>
      </c>
      <c r="AE674">
        <v>726182085045</v>
      </c>
      <c r="AF674">
        <v>308.17</v>
      </c>
      <c r="AG674">
        <v>0</v>
      </c>
      <c r="AH674">
        <v>36.31</v>
      </c>
      <c r="AI674">
        <v>344.48</v>
      </c>
      <c r="AJ674" t="s">
        <v>2</v>
      </c>
      <c r="AK674" t="s">
        <v>11</v>
      </c>
    </row>
    <row r="675" spans="1:37">
      <c r="A675">
        <v>257804</v>
      </c>
      <c r="B675" s="1">
        <v>45366</v>
      </c>
      <c r="C675" t="s">
        <v>1318</v>
      </c>
      <c r="D675" t="s">
        <v>1319</v>
      </c>
      <c r="E675" t="s">
        <v>2</v>
      </c>
      <c r="F675" t="s">
        <v>1320</v>
      </c>
      <c r="G675" t="s">
        <v>1321</v>
      </c>
      <c r="H675">
        <v>6457</v>
      </c>
      <c r="I675" t="s">
        <v>1400</v>
      </c>
      <c r="J675" t="s">
        <v>1401</v>
      </c>
      <c r="K675" t="s">
        <v>2</v>
      </c>
      <c r="L675" t="s">
        <v>1324</v>
      </c>
      <c r="M675" t="s">
        <v>1321</v>
      </c>
      <c r="N675" t="s">
        <v>1402</v>
      </c>
      <c r="O675" t="s">
        <v>1326</v>
      </c>
      <c r="P675">
        <v>2278216</v>
      </c>
      <c r="Q675" t="s">
        <v>38</v>
      </c>
      <c r="R675">
        <v>415465</v>
      </c>
      <c r="S675" t="s">
        <v>84</v>
      </c>
      <c r="T675" s="2">
        <v>2</v>
      </c>
      <c r="U675">
        <v>0</v>
      </c>
      <c r="V675" t="s">
        <v>153</v>
      </c>
      <c r="W675">
        <v>0</v>
      </c>
      <c r="X675">
        <v>0</v>
      </c>
      <c r="Y675">
        <v>0</v>
      </c>
      <c r="Z675" t="s">
        <v>88</v>
      </c>
      <c r="AA675" t="s">
        <v>298</v>
      </c>
      <c r="AB675" t="s">
        <v>10</v>
      </c>
      <c r="AC675">
        <v>0</v>
      </c>
      <c r="AD675">
        <v>0</v>
      </c>
      <c r="AE675">
        <v>726182085045</v>
      </c>
      <c r="AF675">
        <v>308.17</v>
      </c>
      <c r="AG675">
        <v>0</v>
      </c>
      <c r="AH675">
        <v>36.31</v>
      </c>
      <c r="AI675">
        <v>344.48</v>
      </c>
      <c r="AJ675" t="s">
        <v>2</v>
      </c>
      <c r="AK675" t="s">
        <v>11</v>
      </c>
    </row>
    <row r="676" spans="1:37">
      <c r="A676">
        <v>257805</v>
      </c>
      <c r="B676" s="1">
        <v>45366</v>
      </c>
      <c r="C676" t="s">
        <v>1407</v>
      </c>
      <c r="D676" t="s">
        <v>1408</v>
      </c>
      <c r="E676" t="s">
        <v>2</v>
      </c>
      <c r="F676" t="s">
        <v>1409</v>
      </c>
      <c r="G676" t="s">
        <v>255</v>
      </c>
      <c r="H676">
        <v>60630</v>
      </c>
      <c r="I676" t="s">
        <v>1407</v>
      </c>
      <c r="J676" t="s">
        <v>1408</v>
      </c>
      <c r="K676" t="s">
        <v>2</v>
      </c>
      <c r="L676" t="s">
        <v>1409</v>
      </c>
      <c r="M676" t="s">
        <v>255</v>
      </c>
      <c r="N676">
        <v>60630</v>
      </c>
      <c r="O676" t="s">
        <v>1410</v>
      </c>
      <c r="P676">
        <v>88127</v>
      </c>
      <c r="Q676" t="s">
        <v>6</v>
      </c>
      <c r="R676">
        <v>415306</v>
      </c>
      <c r="S676" t="s">
        <v>418</v>
      </c>
      <c r="T676" s="2">
        <v>1</v>
      </c>
      <c r="U676">
        <v>0</v>
      </c>
      <c r="V676" t="s">
        <v>1034</v>
      </c>
      <c r="W676">
        <v>0</v>
      </c>
      <c r="X676">
        <v>0</v>
      </c>
      <c r="Y676">
        <v>0</v>
      </c>
      <c r="Z676" t="s">
        <v>9</v>
      </c>
      <c r="AA676" t="s">
        <v>2</v>
      </c>
      <c r="AB676" t="s">
        <v>10</v>
      </c>
      <c r="AC676">
        <v>0</v>
      </c>
      <c r="AD676">
        <v>0</v>
      </c>
      <c r="AE676" t="s">
        <v>2</v>
      </c>
      <c r="AF676">
        <v>194.86</v>
      </c>
      <c r="AG676">
        <v>0</v>
      </c>
      <c r="AH676">
        <v>0</v>
      </c>
      <c r="AI676">
        <v>194.86</v>
      </c>
      <c r="AJ676" t="s">
        <v>2</v>
      </c>
      <c r="AK676" t="s">
        <v>11</v>
      </c>
    </row>
    <row r="677" spans="1:37">
      <c r="A677">
        <v>257805</v>
      </c>
      <c r="B677" s="1">
        <v>45366</v>
      </c>
      <c r="C677" t="s">
        <v>1407</v>
      </c>
      <c r="D677" t="s">
        <v>1408</v>
      </c>
      <c r="E677" t="s">
        <v>2</v>
      </c>
      <c r="F677" t="s">
        <v>1409</v>
      </c>
      <c r="G677" t="s">
        <v>255</v>
      </c>
      <c r="H677">
        <v>60630</v>
      </c>
      <c r="I677" t="s">
        <v>1407</v>
      </c>
      <c r="J677" t="s">
        <v>1408</v>
      </c>
      <c r="K677" t="s">
        <v>2</v>
      </c>
      <c r="L677" t="s">
        <v>1409</v>
      </c>
      <c r="M677" t="s">
        <v>255</v>
      </c>
      <c r="N677">
        <v>60630</v>
      </c>
      <c r="O677" t="s">
        <v>1410</v>
      </c>
      <c r="P677">
        <v>88127</v>
      </c>
      <c r="Q677" t="s">
        <v>6</v>
      </c>
      <c r="R677">
        <v>415306</v>
      </c>
      <c r="S677" t="s">
        <v>418</v>
      </c>
      <c r="T677" s="2">
        <v>1</v>
      </c>
      <c r="U677">
        <v>0</v>
      </c>
      <c r="V677" t="s">
        <v>1034</v>
      </c>
      <c r="W677">
        <v>1</v>
      </c>
      <c r="X677">
        <v>1</v>
      </c>
      <c r="Y677">
        <v>0</v>
      </c>
      <c r="Z677" t="s">
        <v>1411</v>
      </c>
      <c r="AA677" t="s">
        <v>1412</v>
      </c>
      <c r="AB677" t="s">
        <v>14</v>
      </c>
      <c r="AC677">
        <v>194.86279999999999</v>
      </c>
      <c r="AD677">
        <v>194.86</v>
      </c>
      <c r="AE677" t="s">
        <v>2</v>
      </c>
      <c r="AF677">
        <v>194.86</v>
      </c>
      <c r="AG677">
        <v>0</v>
      </c>
      <c r="AH677">
        <v>0</v>
      </c>
      <c r="AI677">
        <v>194.86</v>
      </c>
      <c r="AJ677" t="s">
        <v>2</v>
      </c>
      <c r="AK677" t="s">
        <v>11</v>
      </c>
    </row>
    <row r="678" spans="1:37">
      <c r="A678">
        <v>257805</v>
      </c>
      <c r="B678" s="1">
        <v>45366</v>
      </c>
      <c r="C678" t="s">
        <v>1407</v>
      </c>
      <c r="D678" t="s">
        <v>1408</v>
      </c>
      <c r="E678" t="s">
        <v>2</v>
      </c>
      <c r="F678" t="s">
        <v>1409</v>
      </c>
      <c r="G678" t="s">
        <v>255</v>
      </c>
      <c r="H678">
        <v>60630</v>
      </c>
      <c r="I678" t="s">
        <v>1407</v>
      </c>
      <c r="J678" t="s">
        <v>1408</v>
      </c>
      <c r="K678" t="s">
        <v>2</v>
      </c>
      <c r="L678" t="s">
        <v>1409</v>
      </c>
      <c r="M678" t="s">
        <v>255</v>
      </c>
      <c r="N678">
        <v>60630</v>
      </c>
      <c r="O678" t="s">
        <v>1410</v>
      </c>
      <c r="P678">
        <v>88127</v>
      </c>
      <c r="Q678" t="s">
        <v>6</v>
      </c>
      <c r="R678">
        <v>415306</v>
      </c>
      <c r="S678" t="s">
        <v>418</v>
      </c>
      <c r="T678" s="2">
        <v>1</v>
      </c>
      <c r="U678">
        <v>0</v>
      </c>
      <c r="V678" t="s">
        <v>1034</v>
      </c>
      <c r="W678">
        <v>0</v>
      </c>
      <c r="X678">
        <v>0</v>
      </c>
      <c r="Y678">
        <v>0</v>
      </c>
      <c r="Z678" t="s">
        <v>88</v>
      </c>
      <c r="AA678" t="s">
        <v>144</v>
      </c>
      <c r="AB678" t="s">
        <v>10</v>
      </c>
      <c r="AC678">
        <v>0</v>
      </c>
      <c r="AD678">
        <v>0</v>
      </c>
      <c r="AE678" t="s">
        <v>2</v>
      </c>
      <c r="AF678">
        <v>194.86</v>
      </c>
      <c r="AG678">
        <v>0</v>
      </c>
      <c r="AH678">
        <v>0</v>
      </c>
      <c r="AI678">
        <v>194.86</v>
      </c>
      <c r="AJ678" t="s">
        <v>2</v>
      </c>
      <c r="AK678" t="s">
        <v>11</v>
      </c>
    </row>
    <row r="679" spans="1:37">
      <c r="A679">
        <v>257805</v>
      </c>
      <c r="B679" s="1">
        <v>45366</v>
      </c>
      <c r="C679" t="s">
        <v>1407</v>
      </c>
      <c r="D679" t="s">
        <v>1408</v>
      </c>
      <c r="E679" t="s">
        <v>2</v>
      </c>
      <c r="F679" t="s">
        <v>1409</v>
      </c>
      <c r="G679" t="s">
        <v>255</v>
      </c>
      <c r="H679">
        <v>60630</v>
      </c>
      <c r="I679" t="s">
        <v>1407</v>
      </c>
      <c r="J679" t="s">
        <v>1408</v>
      </c>
      <c r="K679" t="s">
        <v>2</v>
      </c>
      <c r="L679" t="s">
        <v>1409</v>
      </c>
      <c r="M679" t="s">
        <v>255</v>
      </c>
      <c r="N679">
        <v>60630</v>
      </c>
      <c r="O679" t="s">
        <v>1410</v>
      </c>
      <c r="P679">
        <v>88127</v>
      </c>
      <c r="Q679" t="s">
        <v>6</v>
      </c>
      <c r="R679">
        <v>415306</v>
      </c>
      <c r="S679" t="s">
        <v>418</v>
      </c>
      <c r="T679" s="2">
        <v>1</v>
      </c>
      <c r="U679">
        <v>0</v>
      </c>
      <c r="V679" t="s">
        <v>1034</v>
      </c>
      <c r="W679">
        <v>0</v>
      </c>
      <c r="X679">
        <v>0</v>
      </c>
      <c r="Y679">
        <v>0</v>
      </c>
      <c r="Z679" t="s">
        <v>88</v>
      </c>
      <c r="AA679" t="s">
        <v>423</v>
      </c>
      <c r="AB679" t="s">
        <v>10</v>
      </c>
      <c r="AC679">
        <v>0</v>
      </c>
      <c r="AD679">
        <v>0</v>
      </c>
      <c r="AE679" t="s">
        <v>2</v>
      </c>
      <c r="AF679">
        <v>194.86</v>
      </c>
      <c r="AG679">
        <v>0</v>
      </c>
      <c r="AH679">
        <v>0</v>
      </c>
      <c r="AI679">
        <v>194.86</v>
      </c>
      <c r="AJ679" t="s">
        <v>2</v>
      </c>
      <c r="AK679" t="s">
        <v>11</v>
      </c>
    </row>
    <row r="680" spans="1:37">
      <c r="A680">
        <v>257806</v>
      </c>
      <c r="B680" s="1">
        <v>45366</v>
      </c>
      <c r="C680" t="s">
        <v>1413</v>
      </c>
      <c r="D680" t="s">
        <v>1414</v>
      </c>
      <c r="E680" t="s">
        <v>2</v>
      </c>
      <c r="F680" t="s">
        <v>558</v>
      </c>
      <c r="G680" t="s">
        <v>28</v>
      </c>
      <c r="H680">
        <v>32809</v>
      </c>
      <c r="I680" t="s">
        <v>1415</v>
      </c>
      <c r="J680" t="s">
        <v>1416</v>
      </c>
      <c r="K680" t="s">
        <v>1275</v>
      </c>
      <c r="L680" t="s">
        <v>1417</v>
      </c>
      <c r="M680" t="s">
        <v>28</v>
      </c>
      <c r="N680">
        <v>32809</v>
      </c>
      <c r="O680" t="s">
        <v>1418</v>
      </c>
      <c r="P680">
        <v>2272761</v>
      </c>
      <c r="Q680" t="s">
        <v>38</v>
      </c>
      <c r="R680">
        <v>413410</v>
      </c>
      <c r="S680" t="s">
        <v>84</v>
      </c>
      <c r="T680" s="2">
        <v>5</v>
      </c>
      <c r="U680">
        <v>0</v>
      </c>
      <c r="V680" t="s">
        <v>153</v>
      </c>
      <c r="W680">
        <v>0</v>
      </c>
      <c r="X680">
        <v>0</v>
      </c>
      <c r="Y680">
        <v>0</v>
      </c>
      <c r="Z680" t="s">
        <v>9</v>
      </c>
      <c r="AA680" t="s">
        <v>2</v>
      </c>
      <c r="AB680" t="s">
        <v>10</v>
      </c>
      <c r="AC680">
        <v>0</v>
      </c>
      <c r="AD680">
        <v>0</v>
      </c>
      <c r="AE680">
        <v>726182083579</v>
      </c>
      <c r="AF680">
        <v>270.06</v>
      </c>
      <c r="AG680">
        <v>0</v>
      </c>
      <c r="AH680">
        <v>0</v>
      </c>
      <c r="AI680">
        <v>270.06</v>
      </c>
      <c r="AJ680" t="s">
        <v>2</v>
      </c>
      <c r="AK680" t="s">
        <v>11</v>
      </c>
    </row>
    <row r="681" spans="1:37">
      <c r="A681">
        <v>257806</v>
      </c>
      <c r="B681" s="1">
        <v>45366</v>
      </c>
      <c r="C681" t="s">
        <v>1413</v>
      </c>
      <c r="D681" t="s">
        <v>1414</v>
      </c>
      <c r="E681" t="s">
        <v>2</v>
      </c>
      <c r="F681" t="s">
        <v>558</v>
      </c>
      <c r="G681" t="s">
        <v>28</v>
      </c>
      <c r="H681">
        <v>32809</v>
      </c>
      <c r="I681" t="s">
        <v>1415</v>
      </c>
      <c r="J681" t="s">
        <v>1416</v>
      </c>
      <c r="K681" t="s">
        <v>1275</v>
      </c>
      <c r="L681" t="s">
        <v>1417</v>
      </c>
      <c r="M681" t="s">
        <v>28</v>
      </c>
      <c r="N681">
        <v>32809</v>
      </c>
      <c r="O681" t="s">
        <v>1418</v>
      </c>
      <c r="P681">
        <v>2272761</v>
      </c>
      <c r="Q681" t="s">
        <v>38</v>
      </c>
      <c r="R681">
        <v>413410</v>
      </c>
      <c r="S681" t="s">
        <v>84</v>
      </c>
      <c r="T681" s="2">
        <v>5</v>
      </c>
      <c r="U681">
        <v>0</v>
      </c>
      <c r="V681" t="s">
        <v>153</v>
      </c>
      <c r="W681">
        <v>0</v>
      </c>
      <c r="X681">
        <v>0</v>
      </c>
      <c r="Y681">
        <v>0</v>
      </c>
      <c r="Z681" t="s">
        <v>88</v>
      </c>
      <c r="AA681" t="s">
        <v>311</v>
      </c>
      <c r="AB681" t="s">
        <v>10</v>
      </c>
      <c r="AC681">
        <v>0</v>
      </c>
      <c r="AD681">
        <v>0</v>
      </c>
      <c r="AE681">
        <v>726182083579</v>
      </c>
      <c r="AF681">
        <v>270.06</v>
      </c>
      <c r="AG681">
        <v>0</v>
      </c>
      <c r="AH681">
        <v>0</v>
      </c>
      <c r="AI681">
        <v>270.06</v>
      </c>
      <c r="AJ681" t="s">
        <v>2</v>
      </c>
      <c r="AK681" t="s">
        <v>11</v>
      </c>
    </row>
    <row r="682" spans="1:37">
      <c r="A682">
        <v>257806</v>
      </c>
      <c r="B682" s="1">
        <v>45366</v>
      </c>
      <c r="C682" t="s">
        <v>1413</v>
      </c>
      <c r="D682" t="s">
        <v>1414</v>
      </c>
      <c r="E682" t="s">
        <v>2</v>
      </c>
      <c r="F682" t="s">
        <v>558</v>
      </c>
      <c r="G682" t="s">
        <v>28</v>
      </c>
      <c r="H682">
        <v>32809</v>
      </c>
      <c r="I682" t="s">
        <v>1415</v>
      </c>
      <c r="J682" t="s">
        <v>1416</v>
      </c>
      <c r="K682" t="s">
        <v>1275</v>
      </c>
      <c r="L682" t="s">
        <v>1417</v>
      </c>
      <c r="M682" t="s">
        <v>28</v>
      </c>
      <c r="N682">
        <v>32809</v>
      </c>
      <c r="O682" t="s">
        <v>1418</v>
      </c>
      <c r="P682">
        <v>2272761</v>
      </c>
      <c r="Q682" t="s">
        <v>38</v>
      </c>
      <c r="R682">
        <v>413410</v>
      </c>
      <c r="S682" t="s">
        <v>84</v>
      </c>
      <c r="T682" s="2">
        <v>5</v>
      </c>
      <c r="U682">
        <v>0</v>
      </c>
      <c r="V682" t="s">
        <v>153</v>
      </c>
      <c r="W682">
        <v>5</v>
      </c>
      <c r="X682">
        <v>5</v>
      </c>
      <c r="Y682">
        <v>0</v>
      </c>
      <c r="Z682" t="s">
        <v>1419</v>
      </c>
      <c r="AA682" t="s">
        <v>1420</v>
      </c>
      <c r="AB682" t="s">
        <v>14</v>
      </c>
      <c r="AC682">
        <v>54.012</v>
      </c>
      <c r="AD682">
        <v>270.06</v>
      </c>
      <c r="AE682">
        <v>726182083579</v>
      </c>
      <c r="AF682">
        <v>270.06</v>
      </c>
      <c r="AG682">
        <v>0</v>
      </c>
      <c r="AH682">
        <v>0</v>
      </c>
      <c r="AI682">
        <v>270.06</v>
      </c>
      <c r="AJ682" t="s">
        <v>2</v>
      </c>
      <c r="AK682" t="s">
        <v>11</v>
      </c>
    </row>
    <row r="683" spans="1:37">
      <c r="A683">
        <v>257806</v>
      </c>
      <c r="B683" s="1">
        <v>45366</v>
      </c>
      <c r="C683" t="s">
        <v>1413</v>
      </c>
      <c r="D683" t="s">
        <v>1414</v>
      </c>
      <c r="E683" t="s">
        <v>2</v>
      </c>
      <c r="F683" t="s">
        <v>558</v>
      </c>
      <c r="G683" t="s">
        <v>28</v>
      </c>
      <c r="H683">
        <v>32809</v>
      </c>
      <c r="I683" t="s">
        <v>1415</v>
      </c>
      <c r="J683" t="s">
        <v>1416</v>
      </c>
      <c r="K683" t="s">
        <v>1275</v>
      </c>
      <c r="L683" t="s">
        <v>1417</v>
      </c>
      <c r="M683" t="s">
        <v>28</v>
      </c>
      <c r="N683">
        <v>32809</v>
      </c>
      <c r="O683" t="s">
        <v>1418</v>
      </c>
      <c r="P683">
        <v>2272761</v>
      </c>
      <c r="Q683" t="s">
        <v>38</v>
      </c>
      <c r="R683">
        <v>413410</v>
      </c>
      <c r="S683" t="s">
        <v>84</v>
      </c>
      <c r="T683" s="2">
        <v>5</v>
      </c>
      <c r="U683">
        <v>0</v>
      </c>
      <c r="V683" t="s">
        <v>153</v>
      </c>
      <c r="W683">
        <v>0</v>
      </c>
      <c r="X683">
        <v>0</v>
      </c>
      <c r="Y683">
        <v>0</v>
      </c>
      <c r="Z683" t="s">
        <v>88</v>
      </c>
      <c r="AA683" t="s">
        <v>213</v>
      </c>
      <c r="AB683" t="s">
        <v>10</v>
      </c>
      <c r="AC683">
        <v>0</v>
      </c>
      <c r="AD683">
        <v>0</v>
      </c>
      <c r="AE683">
        <v>726182083579</v>
      </c>
      <c r="AF683">
        <v>270.06</v>
      </c>
      <c r="AG683">
        <v>0</v>
      </c>
      <c r="AH683">
        <v>0</v>
      </c>
      <c r="AI683">
        <v>270.06</v>
      </c>
      <c r="AJ683" t="s">
        <v>2</v>
      </c>
      <c r="AK683" t="s">
        <v>11</v>
      </c>
    </row>
    <row r="684" spans="1:37">
      <c r="A684">
        <v>257806</v>
      </c>
      <c r="B684" s="1">
        <v>45366</v>
      </c>
      <c r="C684" t="s">
        <v>1413</v>
      </c>
      <c r="D684" t="s">
        <v>1414</v>
      </c>
      <c r="E684" t="s">
        <v>2</v>
      </c>
      <c r="F684" t="s">
        <v>558</v>
      </c>
      <c r="G684" t="s">
        <v>28</v>
      </c>
      <c r="H684">
        <v>32809</v>
      </c>
      <c r="I684" t="s">
        <v>1415</v>
      </c>
      <c r="J684" t="s">
        <v>1416</v>
      </c>
      <c r="K684" t="s">
        <v>1275</v>
      </c>
      <c r="L684" t="s">
        <v>1417</v>
      </c>
      <c r="M684" t="s">
        <v>28</v>
      </c>
      <c r="N684">
        <v>32809</v>
      </c>
      <c r="O684" t="s">
        <v>1418</v>
      </c>
      <c r="P684">
        <v>2272761</v>
      </c>
      <c r="Q684" t="s">
        <v>38</v>
      </c>
      <c r="R684">
        <v>413410</v>
      </c>
      <c r="S684" t="s">
        <v>84</v>
      </c>
      <c r="T684" s="2">
        <v>5</v>
      </c>
      <c r="U684">
        <v>0</v>
      </c>
      <c r="V684" t="s">
        <v>153</v>
      </c>
      <c r="W684">
        <v>0</v>
      </c>
      <c r="X684">
        <v>0</v>
      </c>
      <c r="Y684">
        <v>0</v>
      </c>
      <c r="Z684" t="s">
        <v>88</v>
      </c>
      <c r="AA684" t="e">
        <f>-ALL STRIPING IS NON</f>
        <v>#NAME?</v>
      </c>
      <c r="AB684" t="s">
        <v>10</v>
      </c>
      <c r="AC684">
        <v>0</v>
      </c>
      <c r="AD684">
        <v>0</v>
      </c>
      <c r="AE684">
        <v>726182083579</v>
      </c>
      <c r="AF684">
        <v>270.06</v>
      </c>
      <c r="AG684">
        <v>0</v>
      </c>
      <c r="AH684">
        <v>0</v>
      </c>
      <c r="AI684">
        <v>270.06</v>
      </c>
      <c r="AJ684" t="s">
        <v>2</v>
      </c>
      <c r="AK684" t="s">
        <v>11</v>
      </c>
    </row>
    <row r="685" spans="1:37">
      <c r="A685">
        <v>257806</v>
      </c>
      <c r="B685" s="1">
        <v>45366</v>
      </c>
      <c r="C685" t="s">
        <v>1413</v>
      </c>
      <c r="D685" t="s">
        <v>1414</v>
      </c>
      <c r="E685" t="s">
        <v>2</v>
      </c>
      <c r="F685" t="s">
        <v>558</v>
      </c>
      <c r="G685" t="s">
        <v>28</v>
      </c>
      <c r="H685">
        <v>32809</v>
      </c>
      <c r="I685" t="s">
        <v>1415</v>
      </c>
      <c r="J685" t="s">
        <v>1416</v>
      </c>
      <c r="K685" t="s">
        <v>1275</v>
      </c>
      <c r="L685" t="s">
        <v>1417</v>
      </c>
      <c r="M685" t="s">
        <v>28</v>
      </c>
      <c r="N685">
        <v>32809</v>
      </c>
      <c r="O685" t="s">
        <v>1418</v>
      </c>
      <c r="P685">
        <v>2272761</v>
      </c>
      <c r="Q685" t="s">
        <v>38</v>
      </c>
      <c r="R685">
        <v>413410</v>
      </c>
      <c r="S685" t="s">
        <v>84</v>
      </c>
      <c r="T685" s="2">
        <v>5</v>
      </c>
      <c r="U685">
        <v>0</v>
      </c>
      <c r="V685" t="s">
        <v>153</v>
      </c>
      <c r="W685">
        <v>0</v>
      </c>
      <c r="X685">
        <v>0</v>
      </c>
      <c r="Y685">
        <v>0</v>
      </c>
      <c r="Z685" t="s">
        <v>88</v>
      </c>
      <c r="AA685" t="e">
        <f>-CANCELABLE NON RETURNABLE</f>
        <v>#NAME?</v>
      </c>
      <c r="AB685" t="s">
        <v>10</v>
      </c>
      <c r="AC685">
        <v>0</v>
      </c>
      <c r="AD685">
        <v>0</v>
      </c>
      <c r="AE685">
        <v>726182083579</v>
      </c>
      <c r="AF685">
        <v>270.06</v>
      </c>
      <c r="AG685">
        <v>0</v>
      </c>
      <c r="AH685">
        <v>0</v>
      </c>
      <c r="AI685">
        <v>270.06</v>
      </c>
      <c r="AJ685" t="s">
        <v>2</v>
      </c>
      <c r="AK685" t="s">
        <v>11</v>
      </c>
    </row>
    <row r="686" spans="1:37">
      <c r="A686">
        <v>257806</v>
      </c>
      <c r="B686" s="1">
        <v>45366</v>
      </c>
      <c r="C686" t="s">
        <v>1413</v>
      </c>
      <c r="D686" t="s">
        <v>1414</v>
      </c>
      <c r="E686" t="s">
        <v>2</v>
      </c>
      <c r="F686" t="s">
        <v>558</v>
      </c>
      <c r="G686" t="s">
        <v>28</v>
      </c>
      <c r="H686">
        <v>32809</v>
      </c>
      <c r="I686" t="s">
        <v>1415</v>
      </c>
      <c r="J686" t="s">
        <v>1416</v>
      </c>
      <c r="K686" t="s">
        <v>1275</v>
      </c>
      <c r="L686" t="s">
        <v>1417</v>
      </c>
      <c r="M686" t="s">
        <v>28</v>
      </c>
      <c r="N686">
        <v>32809</v>
      </c>
      <c r="O686" t="s">
        <v>1418</v>
      </c>
      <c r="P686">
        <v>2272761</v>
      </c>
      <c r="Q686" t="s">
        <v>38</v>
      </c>
      <c r="R686">
        <v>413410</v>
      </c>
      <c r="S686" t="s">
        <v>84</v>
      </c>
      <c r="T686" s="2">
        <v>5</v>
      </c>
      <c r="U686">
        <v>0</v>
      </c>
      <c r="V686" t="s">
        <v>153</v>
      </c>
      <c r="W686">
        <v>0</v>
      </c>
      <c r="X686">
        <v>0</v>
      </c>
      <c r="Y686">
        <v>0</v>
      </c>
      <c r="Z686" t="s">
        <v>88</v>
      </c>
      <c r="AA686" t="s">
        <v>1035</v>
      </c>
      <c r="AB686" t="s">
        <v>10</v>
      </c>
      <c r="AC686">
        <v>0</v>
      </c>
      <c r="AD686">
        <v>0</v>
      </c>
      <c r="AE686">
        <v>726182083579</v>
      </c>
      <c r="AF686">
        <v>270.06</v>
      </c>
      <c r="AG686">
        <v>0</v>
      </c>
      <c r="AH686">
        <v>0</v>
      </c>
      <c r="AI686">
        <v>270.06</v>
      </c>
      <c r="AJ686" t="s">
        <v>2</v>
      </c>
      <c r="AK686" t="s">
        <v>11</v>
      </c>
    </row>
    <row r="687" spans="1:37">
      <c r="A687">
        <v>257806</v>
      </c>
      <c r="B687" s="1">
        <v>45366</v>
      </c>
      <c r="C687" t="s">
        <v>1413</v>
      </c>
      <c r="D687" t="s">
        <v>1414</v>
      </c>
      <c r="E687" t="s">
        <v>2</v>
      </c>
      <c r="F687" t="s">
        <v>558</v>
      </c>
      <c r="G687" t="s">
        <v>28</v>
      </c>
      <c r="H687">
        <v>32809</v>
      </c>
      <c r="I687" t="s">
        <v>1415</v>
      </c>
      <c r="J687" t="s">
        <v>1416</v>
      </c>
      <c r="K687" t="s">
        <v>1275</v>
      </c>
      <c r="L687" t="s">
        <v>1417</v>
      </c>
      <c r="M687" t="s">
        <v>28</v>
      </c>
      <c r="N687">
        <v>32809</v>
      </c>
      <c r="O687" t="s">
        <v>1418</v>
      </c>
      <c r="P687">
        <v>2272761</v>
      </c>
      <c r="Q687" t="s">
        <v>38</v>
      </c>
      <c r="R687">
        <v>413410</v>
      </c>
      <c r="S687" t="s">
        <v>84</v>
      </c>
      <c r="T687" s="2">
        <v>5</v>
      </c>
      <c r="U687">
        <v>0</v>
      </c>
      <c r="V687" t="s">
        <v>153</v>
      </c>
      <c r="W687">
        <v>0</v>
      </c>
      <c r="X687">
        <v>0</v>
      </c>
      <c r="Y687">
        <v>0</v>
      </c>
      <c r="Z687" t="s">
        <v>88</v>
      </c>
      <c r="AA687" t="e">
        <f>-NO PREMASK REQUESTED FOR</f>
        <v>#NAME?</v>
      </c>
      <c r="AB687" t="s">
        <v>10</v>
      </c>
      <c r="AC687">
        <v>0</v>
      </c>
      <c r="AD687">
        <v>0</v>
      </c>
      <c r="AE687">
        <v>726182083579</v>
      </c>
      <c r="AF687">
        <v>270.06</v>
      </c>
      <c r="AG687">
        <v>0</v>
      </c>
      <c r="AH687">
        <v>0</v>
      </c>
      <c r="AI687">
        <v>270.06</v>
      </c>
      <c r="AJ687" t="s">
        <v>2</v>
      </c>
      <c r="AK687" t="s">
        <v>11</v>
      </c>
    </row>
    <row r="688" spans="1:37">
      <c r="A688">
        <v>257806</v>
      </c>
      <c r="B688" s="1">
        <v>45366</v>
      </c>
      <c r="C688" t="s">
        <v>1413</v>
      </c>
      <c r="D688" t="s">
        <v>1414</v>
      </c>
      <c r="E688" t="s">
        <v>2</v>
      </c>
      <c r="F688" t="s">
        <v>558</v>
      </c>
      <c r="G688" t="s">
        <v>28</v>
      </c>
      <c r="H688">
        <v>32809</v>
      </c>
      <c r="I688" t="s">
        <v>1415</v>
      </c>
      <c r="J688" t="s">
        <v>1416</v>
      </c>
      <c r="K688" t="s">
        <v>1275</v>
      </c>
      <c r="L688" t="s">
        <v>1417</v>
      </c>
      <c r="M688" t="s">
        <v>28</v>
      </c>
      <c r="N688">
        <v>32809</v>
      </c>
      <c r="O688" t="s">
        <v>1418</v>
      </c>
      <c r="P688">
        <v>2272761</v>
      </c>
      <c r="Q688" t="s">
        <v>38</v>
      </c>
      <c r="R688">
        <v>413410</v>
      </c>
      <c r="S688" t="s">
        <v>84</v>
      </c>
      <c r="T688" s="2">
        <v>5</v>
      </c>
      <c r="U688">
        <v>0</v>
      </c>
      <c r="V688" t="s">
        <v>153</v>
      </c>
      <c r="W688">
        <v>0</v>
      </c>
      <c r="X688">
        <v>0</v>
      </c>
      <c r="Y688">
        <v>0</v>
      </c>
      <c r="Z688" t="s">
        <v>88</v>
      </c>
      <c r="AA688" t="e">
        <f>-STRIPES ON THIS ORDER</f>
        <v>#NAME?</v>
      </c>
      <c r="AB688" t="s">
        <v>10</v>
      </c>
      <c r="AC688">
        <v>0</v>
      </c>
      <c r="AD688">
        <v>0</v>
      </c>
      <c r="AE688">
        <v>726182083579</v>
      </c>
      <c r="AF688">
        <v>270.06</v>
      </c>
      <c r="AG688">
        <v>0</v>
      </c>
      <c r="AH688">
        <v>0</v>
      </c>
      <c r="AI688">
        <v>270.06</v>
      </c>
      <c r="AJ688" t="s">
        <v>2</v>
      </c>
      <c r="AK688" t="s">
        <v>11</v>
      </c>
    </row>
    <row r="689" spans="1:37">
      <c r="A689">
        <v>257806</v>
      </c>
      <c r="B689" s="1">
        <v>45366</v>
      </c>
      <c r="C689" t="s">
        <v>1413</v>
      </c>
      <c r="D689" t="s">
        <v>1414</v>
      </c>
      <c r="E689" t="s">
        <v>2</v>
      </c>
      <c r="F689" t="s">
        <v>558</v>
      </c>
      <c r="G689" t="s">
        <v>28</v>
      </c>
      <c r="H689">
        <v>32809</v>
      </c>
      <c r="I689" t="s">
        <v>1415</v>
      </c>
      <c r="J689" t="s">
        <v>1416</v>
      </c>
      <c r="K689" t="s">
        <v>1275</v>
      </c>
      <c r="L689" t="s">
        <v>1417</v>
      </c>
      <c r="M689" t="s">
        <v>28</v>
      </c>
      <c r="N689">
        <v>32809</v>
      </c>
      <c r="O689" t="s">
        <v>1418</v>
      </c>
      <c r="P689">
        <v>2272761</v>
      </c>
      <c r="Q689" t="s">
        <v>38</v>
      </c>
      <c r="R689">
        <v>413410</v>
      </c>
      <c r="S689" t="s">
        <v>84</v>
      </c>
      <c r="T689" s="2">
        <v>5</v>
      </c>
      <c r="U689">
        <v>0</v>
      </c>
      <c r="V689" t="s">
        <v>153</v>
      </c>
      <c r="W689">
        <v>0</v>
      </c>
      <c r="X689">
        <v>0</v>
      </c>
      <c r="Y689">
        <v>0</v>
      </c>
      <c r="Z689" t="s">
        <v>88</v>
      </c>
      <c r="AA689" t="e">
        <f>-SPLICE FREE REQUIRED</f>
        <v>#NAME?</v>
      </c>
      <c r="AB689" t="s">
        <v>10</v>
      </c>
      <c r="AC689">
        <v>0</v>
      </c>
      <c r="AD689">
        <v>0</v>
      </c>
      <c r="AE689">
        <v>726182083579</v>
      </c>
      <c r="AF689">
        <v>270.06</v>
      </c>
      <c r="AG689">
        <v>0</v>
      </c>
      <c r="AH689">
        <v>0</v>
      </c>
      <c r="AI689">
        <v>270.06</v>
      </c>
      <c r="AJ689" t="s">
        <v>2</v>
      </c>
      <c r="AK689" t="s">
        <v>11</v>
      </c>
    </row>
    <row r="690" spans="1:37">
      <c r="A690">
        <v>257806</v>
      </c>
      <c r="B690" s="1">
        <v>45366</v>
      </c>
      <c r="C690" t="s">
        <v>1413</v>
      </c>
      <c r="D690" t="s">
        <v>1414</v>
      </c>
      <c r="E690" t="s">
        <v>2</v>
      </c>
      <c r="F690" t="s">
        <v>558</v>
      </c>
      <c r="G690" t="s">
        <v>28</v>
      </c>
      <c r="H690">
        <v>32809</v>
      </c>
      <c r="I690" t="s">
        <v>1415</v>
      </c>
      <c r="J690" t="s">
        <v>1416</v>
      </c>
      <c r="K690" t="s">
        <v>1275</v>
      </c>
      <c r="L690" t="s">
        <v>1417</v>
      </c>
      <c r="M690" t="s">
        <v>28</v>
      </c>
      <c r="N690">
        <v>32809</v>
      </c>
      <c r="O690" t="s">
        <v>1418</v>
      </c>
      <c r="P690">
        <v>2272761</v>
      </c>
      <c r="Q690" t="s">
        <v>38</v>
      </c>
      <c r="R690">
        <v>413410</v>
      </c>
      <c r="S690" t="s">
        <v>84</v>
      </c>
      <c r="T690" s="2">
        <v>5</v>
      </c>
      <c r="U690">
        <v>0</v>
      </c>
      <c r="V690" t="s">
        <v>153</v>
      </c>
      <c r="W690">
        <v>0</v>
      </c>
      <c r="X690">
        <v>0</v>
      </c>
      <c r="Y690">
        <v>0</v>
      </c>
      <c r="Z690" t="s">
        <v>88</v>
      </c>
      <c r="AA690" t="s">
        <v>1035</v>
      </c>
      <c r="AB690" t="s">
        <v>10</v>
      </c>
      <c r="AC690">
        <v>0</v>
      </c>
      <c r="AD690">
        <v>0</v>
      </c>
      <c r="AE690">
        <v>726182083579</v>
      </c>
      <c r="AF690">
        <v>270.06</v>
      </c>
      <c r="AG690">
        <v>0</v>
      </c>
      <c r="AH690">
        <v>0</v>
      </c>
      <c r="AI690">
        <v>270.06</v>
      </c>
      <c r="AJ690" t="s">
        <v>2</v>
      </c>
      <c r="AK690" t="s">
        <v>11</v>
      </c>
    </row>
    <row r="691" spans="1:37">
      <c r="A691">
        <v>257806</v>
      </c>
      <c r="B691" s="1">
        <v>45366</v>
      </c>
      <c r="C691" t="s">
        <v>1413</v>
      </c>
      <c r="D691" t="s">
        <v>1414</v>
      </c>
      <c r="E691" t="s">
        <v>2</v>
      </c>
      <c r="F691" t="s">
        <v>558</v>
      </c>
      <c r="G691" t="s">
        <v>28</v>
      </c>
      <c r="H691">
        <v>32809</v>
      </c>
      <c r="I691" t="s">
        <v>1415</v>
      </c>
      <c r="J691" t="s">
        <v>1416</v>
      </c>
      <c r="K691" t="s">
        <v>1275</v>
      </c>
      <c r="L691" t="s">
        <v>1417</v>
      </c>
      <c r="M691" t="s">
        <v>28</v>
      </c>
      <c r="N691">
        <v>32809</v>
      </c>
      <c r="O691" t="s">
        <v>1418</v>
      </c>
      <c r="P691">
        <v>2272761</v>
      </c>
      <c r="Q691" t="s">
        <v>38</v>
      </c>
      <c r="R691">
        <v>413410</v>
      </c>
      <c r="S691" t="s">
        <v>84</v>
      </c>
      <c r="T691" s="2">
        <v>5</v>
      </c>
      <c r="U691">
        <v>0</v>
      </c>
      <c r="V691" t="s">
        <v>153</v>
      </c>
      <c r="W691">
        <v>0</v>
      </c>
      <c r="X691">
        <v>0</v>
      </c>
      <c r="Y691">
        <v>0</v>
      </c>
      <c r="Z691" t="s">
        <v>88</v>
      </c>
      <c r="AA691" t="s">
        <v>1421</v>
      </c>
      <c r="AB691" t="s">
        <v>10</v>
      </c>
      <c r="AC691">
        <v>0</v>
      </c>
      <c r="AD691">
        <v>0</v>
      </c>
      <c r="AE691">
        <v>726182083579</v>
      </c>
      <c r="AF691">
        <v>270.06</v>
      </c>
      <c r="AG691">
        <v>0</v>
      </c>
      <c r="AH691">
        <v>0</v>
      </c>
      <c r="AI691">
        <v>270.06</v>
      </c>
      <c r="AJ691" t="s">
        <v>2</v>
      </c>
      <c r="AK691" t="s">
        <v>11</v>
      </c>
    </row>
    <row r="692" spans="1:37">
      <c r="A692">
        <v>257806</v>
      </c>
      <c r="B692" s="1">
        <v>45366</v>
      </c>
      <c r="C692" t="s">
        <v>1413</v>
      </c>
      <c r="D692" t="s">
        <v>1414</v>
      </c>
      <c r="E692" t="s">
        <v>2</v>
      </c>
      <c r="F692" t="s">
        <v>558</v>
      </c>
      <c r="G692" t="s">
        <v>28</v>
      </c>
      <c r="H692">
        <v>32809</v>
      </c>
      <c r="I692" t="s">
        <v>1415</v>
      </c>
      <c r="J692" t="s">
        <v>1416</v>
      </c>
      <c r="K692" t="s">
        <v>1275</v>
      </c>
      <c r="L692" t="s">
        <v>1417</v>
      </c>
      <c r="M692" t="s">
        <v>28</v>
      </c>
      <c r="N692">
        <v>32809</v>
      </c>
      <c r="O692" t="s">
        <v>1418</v>
      </c>
      <c r="P692">
        <v>2272761</v>
      </c>
      <c r="Q692" t="s">
        <v>38</v>
      </c>
      <c r="R692">
        <v>413410</v>
      </c>
      <c r="S692" t="s">
        <v>84</v>
      </c>
      <c r="T692" s="2">
        <v>5</v>
      </c>
      <c r="U692">
        <v>0</v>
      </c>
      <c r="V692" t="s">
        <v>153</v>
      </c>
      <c r="W692">
        <v>0</v>
      </c>
      <c r="X692">
        <v>0</v>
      </c>
      <c r="Y692">
        <v>0</v>
      </c>
      <c r="Z692" t="s">
        <v>88</v>
      </c>
      <c r="AA692" t="s">
        <v>1422</v>
      </c>
      <c r="AB692" t="s">
        <v>10</v>
      </c>
      <c r="AC692">
        <v>0</v>
      </c>
      <c r="AD692">
        <v>0</v>
      </c>
      <c r="AE692">
        <v>726182083579</v>
      </c>
      <c r="AF692">
        <v>270.06</v>
      </c>
      <c r="AG692">
        <v>0</v>
      </c>
      <c r="AH692">
        <v>0</v>
      </c>
      <c r="AI692">
        <v>270.06</v>
      </c>
      <c r="AJ692" t="s">
        <v>2</v>
      </c>
      <c r="AK692" t="s">
        <v>11</v>
      </c>
    </row>
    <row r="693" spans="1:37">
      <c r="A693">
        <v>257806</v>
      </c>
      <c r="B693" s="1">
        <v>45366</v>
      </c>
      <c r="C693" t="s">
        <v>1413</v>
      </c>
      <c r="D693" t="s">
        <v>1414</v>
      </c>
      <c r="E693" t="s">
        <v>2</v>
      </c>
      <c r="F693" t="s">
        <v>558</v>
      </c>
      <c r="G693" t="s">
        <v>28</v>
      </c>
      <c r="H693">
        <v>32809</v>
      </c>
      <c r="I693" t="s">
        <v>1415</v>
      </c>
      <c r="J693" t="s">
        <v>1416</v>
      </c>
      <c r="K693" t="s">
        <v>1275</v>
      </c>
      <c r="L693" t="s">
        <v>1417</v>
      </c>
      <c r="M693" t="s">
        <v>28</v>
      </c>
      <c r="N693">
        <v>32809</v>
      </c>
      <c r="O693" t="s">
        <v>1418</v>
      </c>
      <c r="P693">
        <v>2272761</v>
      </c>
      <c r="Q693" t="s">
        <v>38</v>
      </c>
      <c r="R693">
        <v>413410</v>
      </c>
      <c r="S693" t="s">
        <v>84</v>
      </c>
      <c r="T693" s="2">
        <v>5</v>
      </c>
      <c r="U693">
        <v>0</v>
      </c>
      <c r="V693" t="s">
        <v>153</v>
      </c>
      <c r="W693">
        <v>0</v>
      </c>
      <c r="X693">
        <v>0</v>
      </c>
      <c r="Y693">
        <v>0</v>
      </c>
      <c r="Z693" t="s">
        <v>88</v>
      </c>
      <c r="AA693" t="s">
        <v>266</v>
      </c>
      <c r="AB693" t="s">
        <v>10</v>
      </c>
      <c r="AC693">
        <v>0</v>
      </c>
      <c r="AD693">
        <v>0</v>
      </c>
      <c r="AE693">
        <v>726182083579</v>
      </c>
      <c r="AF693">
        <v>270.06</v>
      </c>
      <c r="AG693">
        <v>0</v>
      </c>
      <c r="AH693">
        <v>0</v>
      </c>
      <c r="AI693">
        <v>270.06</v>
      </c>
      <c r="AJ693" t="s">
        <v>2</v>
      </c>
      <c r="AK693" t="s">
        <v>11</v>
      </c>
    </row>
    <row r="694" spans="1:37">
      <c r="A694">
        <v>257806</v>
      </c>
      <c r="B694" s="1">
        <v>45366</v>
      </c>
      <c r="C694" t="s">
        <v>1413</v>
      </c>
      <c r="D694" t="s">
        <v>1414</v>
      </c>
      <c r="E694" t="s">
        <v>2</v>
      </c>
      <c r="F694" t="s">
        <v>558</v>
      </c>
      <c r="G694" t="s">
        <v>28</v>
      </c>
      <c r="H694">
        <v>32809</v>
      </c>
      <c r="I694" t="s">
        <v>1415</v>
      </c>
      <c r="J694" t="s">
        <v>1416</v>
      </c>
      <c r="K694" t="s">
        <v>1275</v>
      </c>
      <c r="L694" t="s">
        <v>1417</v>
      </c>
      <c r="M694" t="s">
        <v>28</v>
      </c>
      <c r="N694">
        <v>32809</v>
      </c>
      <c r="O694" t="s">
        <v>1418</v>
      </c>
      <c r="P694">
        <v>2272761</v>
      </c>
      <c r="Q694" t="s">
        <v>38</v>
      </c>
      <c r="R694">
        <v>413410</v>
      </c>
      <c r="S694" t="s">
        <v>84</v>
      </c>
      <c r="T694" s="2">
        <v>5</v>
      </c>
      <c r="U694">
        <v>0</v>
      </c>
      <c r="V694" t="s">
        <v>153</v>
      </c>
      <c r="W694">
        <v>0</v>
      </c>
      <c r="X694">
        <v>0</v>
      </c>
      <c r="Y694">
        <v>0</v>
      </c>
      <c r="Z694" t="s">
        <v>88</v>
      </c>
      <c r="AA694" t="s">
        <v>1423</v>
      </c>
      <c r="AB694" t="s">
        <v>10</v>
      </c>
      <c r="AC694">
        <v>0</v>
      </c>
      <c r="AD694">
        <v>0</v>
      </c>
      <c r="AE694">
        <v>726182083579</v>
      </c>
      <c r="AF694">
        <v>270.06</v>
      </c>
      <c r="AG694">
        <v>0</v>
      </c>
      <c r="AH694">
        <v>0</v>
      </c>
      <c r="AI694">
        <v>270.06</v>
      </c>
      <c r="AJ694" t="s">
        <v>2</v>
      </c>
      <c r="AK694" t="s">
        <v>11</v>
      </c>
    </row>
    <row r="695" spans="1:37">
      <c r="A695">
        <v>257807</v>
      </c>
      <c r="B695" s="1">
        <v>45366</v>
      </c>
      <c r="C695" t="s">
        <v>1424</v>
      </c>
      <c r="D695" t="s">
        <v>1425</v>
      </c>
      <c r="E695" t="s">
        <v>1426</v>
      </c>
      <c r="F695" t="s">
        <v>1427</v>
      </c>
      <c r="G695" t="s">
        <v>579</v>
      </c>
      <c r="H695">
        <v>44131</v>
      </c>
      <c r="I695" t="s">
        <v>1428</v>
      </c>
      <c r="J695" t="s">
        <v>1429</v>
      </c>
      <c r="K695" t="s">
        <v>2</v>
      </c>
      <c r="L695" t="s">
        <v>1430</v>
      </c>
      <c r="M695" t="s">
        <v>731</v>
      </c>
      <c r="N695">
        <v>15045</v>
      </c>
      <c r="O695" t="s">
        <v>1431</v>
      </c>
      <c r="P695">
        <v>468808</v>
      </c>
      <c r="Q695" t="s">
        <v>6</v>
      </c>
      <c r="R695">
        <v>413413</v>
      </c>
      <c r="S695" t="s">
        <v>84</v>
      </c>
      <c r="T695" s="2">
        <v>8</v>
      </c>
      <c r="U695">
        <v>0</v>
      </c>
      <c r="V695" t="s">
        <v>236</v>
      </c>
      <c r="W695">
        <v>0</v>
      </c>
      <c r="X695">
        <v>0</v>
      </c>
      <c r="Y695">
        <v>0</v>
      </c>
      <c r="Z695" t="s">
        <v>9</v>
      </c>
      <c r="AA695" t="s">
        <v>2</v>
      </c>
      <c r="AB695" t="s">
        <v>10</v>
      </c>
      <c r="AC695">
        <v>0</v>
      </c>
      <c r="AD695">
        <v>0</v>
      </c>
      <c r="AE695">
        <v>726182083568</v>
      </c>
      <c r="AF695">
        <v>894.3</v>
      </c>
      <c r="AG695">
        <v>0</v>
      </c>
      <c r="AH695">
        <v>30.19</v>
      </c>
      <c r="AI695">
        <v>924.49</v>
      </c>
      <c r="AJ695" t="s">
        <v>2</v>
      </c>
      <c r="AK695" t="s">
        <v>11</v>
      </c>
    </row>
    <row r="696" spans="1:37">
      <c r="A696">
        <v>257807</v>
      </c>
      <c r="B696" s="1">
        <v>45366</v>
      </c>
      <c r="C696" t="s">
        <v>1424</v>
      </c>
      <c r="D696" t="s">
        <v>1425</v>
      </c>
      <c r="E696" t="s">
        <v>1426</v>
      </c>
      <c r="F696" t="s">
        <v>1427</v>
      </c>
      <c r="G696" t="s">
        <v>579</v>
      </c>
      <c r="H696">
        <v>44131</v>
      </c>
      <c r="I696" t="s">
        <v>1428</v>
      </c>
      <c r="J696" t="s">
        <v>1429</v>
      </c>
      <c r="K696" t="s">
        <v>2</v>
      </c>
      <c r="L696" t="s">
        <v>1430</v>
      </c>
      <c r="M696" t="s">
        <v>731</v>
      </c>
      <c r="N696">
        <v>15045</v>
      </c>
      <c r="O696" t="s">
        <v>1431</v>
      </c>
      <c r="P696">
        <v>468808</v>
      </c>
      <c r="Q696" t="s">
        <v>6</v>
      </c>
      <c r="R696">
        <v>413413</v>
      </c>
      <c r="S696" t="s">
        <v>84</v>
      </c>
      <c r="T696" s="2">
        <v>8</v>
      </c>
      <c r="U696">
        <v>0</v>
      </c>
      <c r="V696" t="s">
        <v>236</v>
      </c>
      <c r="W696">
        <v>4</v>
      </c>
      <c r="X696">
        <v>4</v>
      </c>
      <c r="Y696">
        <v>0</v>
      </c>
      <c r="Z696" t="s">
        <v>1432</v>
      </c>
      <c r="AA696" t="s">
        <v>1433</v>
      </c>
      <c r="AB696" t="s">
        <v>14</v>
      </c>
      <c r="AC696">
        <v>111.7886</v>
      </c>
      <c r="AD696">
        <v>447.15</v>
      </c>
      <c r="AE696">
        <v>726182083568</v>
      </c>
      <c r="AF696">
        <v>894.3</v>
      </c>
      <c r="AG696">
        <v>0</v>
      </c>
      <c r="AH696">
        <v>30.19</v>
      </c>
      <c r="AI696">
        <v>924.49</v>
      </c>
      <c r="AJ696" t="s">
        <v>2</v>
      </c>
      <c r="AK696" t="s">
        <v>11</v>
      </c>
    </row>
    <row r="697" spans="1:37">
      <c r="A697">
        <v>257807</v>
      </c>
      <c r="B697" s="1">
        <v>45366</v>
      </c>
      <c r="C697" t="s">
        <v>1424</v>
      </c>
      <c r="D697" t="s">
        <v>1425</v>
      </c>
      <c r="E697" t="s">
        <v>1426</v>
      </c>
      <c r="F697" t="s">
        <v>1427</v>
      </c>
      <c r="G697" t="s">
        <v>579</v>
      </c>
      <c r="H697">
        <v>44131</v>
      </c>
      <c r="I697" t="s">
        <v>1428</v>
      </c>
      <c r="J697" t="s">
        <v>1429</v>
      </c>
      <c r="K697" t="s">
        <v>2</v>
      </c>
      <c r="L697" t="s">
        <v>1430</v>
      </c>
      <c r="M697" t="s">
        <v>731</v>
      </c>
      <c r="N697">
        <v>15045</v>
      </c>
      <c r="O697" t="s">
        <v>1431</v>
      </c>
      <c r="P697">
        <v>468808</v>
      </c>
      <c r="Q697" t="s">
        <v>6</v>
      </c>
      <c r="R697">
        <v>413413</v>
      </c>
      <c r="S697" t="s">
        <v>84</v>
      </c>
      <c r="T697" s="2">
        <v>8</v>
      </c>
      <c r="U697">
        <v>0</v>
      </c>
      <c r="V697" t="s">
        <v>236</v>
      </c>
      <c r="W697">
        <v>0</v>
      </c>
      <c r="X697">
        <v>0</v>
      </c>
      <c r="Y697">
        <v>0</v>
      </c>
      <c r="Z697" t="s">
        <v>88</v>
      </c>
      <c r="AA697" t="s">
        <v>213</v>
      </c>
      <c r="AB697" t="s">
        <v>10</v>
      </c>
      <c r="AC697">
        <v>0</v>
      </c>
      <c r="AD697">
        <v>0</v>
      </c>
      <c r="AE697">
        <v>726182083568</v>
      </c>
      <c r="AF697">
        <v>894.3</v>
      </c>
      <c r="AG697">
        <v>0</v>
      </c>
      <c r="AH697">
        <v>30.19</v>
      </c>
      <c r="AI697">
        <v>924.49</v>
      </c>
      <c r="AJ697" t="s">
        <v>2</v>
      </c>
      <c r="AK697" t="s">
        <v>11</v>
      </c>
    </row>
    <row r="698" spans="1:37">
      <c r="A698">
        <v>257807</v>
      </c>
      <c r="B698" s="1">
        <v>45366</v>
      </c>
      <c r="C698" t="s">
        <v>1424</v>
      </c>
      <c r="D698" t="s">
        <v>1425</v>
      </c>
      <c r="E698" t="s">
        <v>1426</v>
      </c>
      <c r="F698" t="s">
        <v>1427</v>
      </c>
      <c r="G698" t="s">
        <v>579</v>
      </c>
      <c r="H698">
        <v>44131</v>
      </c>
      <c r="I698" t="s">
        <v>1428</v>
      </c>
      <c r="J698" t="s">
        <v>1429</v>
      </c>
      <c r="K698" t="s">
        <v>2</v>
      </c>
      <c r="L698" t="s">
        <v>1430</v>
      </c>
      <c r="M698" t="s">
        <v>731</v>
      </c>
      <c r="N698">
        <v>15045</v>
      </c>
      <c r="O698" t="s">
        <v>1431</v>
      </c>
      <c r="P698">
        <v>468808</v>
      </c>
      <c r="Q698" t="s">
        <v>6</v>
      </c>
      <c r="R698">
        <v>413413</v>
      </c>
      <c r="S698" t="s">
        <v>84</v>
      </c>
      <c r="T698" s="2">
        <v>8</v>
      </c>
      <c r="U698">
        <v>0</v>
      </c>
      <c r="V698" t="s">
        <v>236</v>
      </c>
      <c r="W698">
        <v>4</v>
      </c>
      <c r="X698">
        <v>4</v>
      </c>
      <c r="Y698">
        <v>0</v>
      </c>
      <c r="Z698" t="s">
        <v>1434</v>
      </c>
      <c r="AA698" t="s">
        <v>1435</v>
      </c>
      <c r="AB698" t="s">
        <v>14</v>
      </c>
      <c r="AC698">
        <v>111.7886</v>
      </c>
      <c r="AD698">
        <v>447.15</v>
      </c>
      <c r="AE698">
        <v>726182083568</v>
      </c>
      <c r="AF698">
        <v>894.3</v>
      </c>
      <c r="AG698">
        <v>0</v>
      </c>
      <c r="AH698">
        <v>30.19</v>
      </c>
      <c r="AI698">
        <v>924.49</v>
      </c>
      <c r="AJ698" t="s">
        <v>2</v>
      </c>
      <c r="AK698" t="s">
        <v>11</v>
      </c>
    </row>
    <row r="699" spans="1:37">
      <c r="A699">
        <v>257807</v>
      </c>
      <c r="B699" s="1">
        <v>45366</v>
      </c>
      <c r="C699" t="s">
        <v>1424</v>
      </c>
      <c r="D699" t="s">
        <v>1425</v>
      </c>
      <c r="E699" t="s">
        <v>1426</v>
      </c>
      <c r="F699" t="s">
        <v>1427</v>
      </c>
      <c r="G699" t="s">
        <v>579</v>
      </c>
      <c r="H699">
        <v>44131</v>
      </c>
      <c r="I699" t="s">
        <v>1428</v>
      </c>
      <c r="J699" t="s">
        <v>1429</v>
      </c>
      <c r="K699" t="s">
        <v>2</v>
      </c>
      <c r="L699" t="s">
        <v>1430</v>
      </c>
      <c r="M699" t="s">
        <v>731</v>
      </c>
      <c r="N699">
        <v>15045</v>
      </c>
      <c r="O699" t="s">
        <v>1431</v>
      </c>
      <c r="P699">
        <v>468808</v>
      </c>
      <c r="Q699" t="s">
        <v>6</v>
      </c>
      <c r="R699">
        <v>413413</v>
      </c>
      <c r="S699" t="s">
        <v>84</v>
      </c>
      <c r="T699" s="2">
        <v>8</v>
      </c>
      <c r="U699">
        <v>0</v>
      </c>
      <c r="V699" t="s">
        <v>236</v>
      </c>
      <c r="W699">
        <v>0</v>
      </c>
      <c r="X699">
        <v>0</v>
      </c>
      <c r="Y699">
        <v>0</v>
      </c>
      <c r="Z699" t="s">
        <v>88</v>
      </c>
      <c r="AA699" t="s">
        <v>213</v>
      </c>
      <c r="AB699" t="s">
        <v>10</v>
      </c>
      <c r="AC699">
        <v>0</v>
      </c>
      <c r="AD699">
        <v>0</v>
      </c>
      <c r="AE699">
        <v>726182083568</v>
      </c>
      <c r="AF699">
        <v>894.3</v>
      </c>
      <c r="AG699">
        <v>0</v>
      </c>
      <c r="AH699">
        <v>30.19</v>
      </c>
      <c r="AI699">
        <v>924.49</v>
      </c>
      <c r="AJ699" t="s">
        <v>2</v>
      </c>
      <c r="AK699" t="s">
        <v>11</v>
      </c>
    </row>
    <row r="700" spans="1:37">
      <c r="A700">
        <v>257807</v>
      </c>
      <c r="B700" s="1">
        <v>45366</v>
      </c>
      <c r="C700" t="s">
        <v>1424</v>
      </c>
      <c r="D700" t="s">
        <v>1425</v>
      </c>
      <c r="E700" t="s">
        <v>1426</v>
      </c>
      <c r="F700" t="s">
        <v>1427</v>
      </c>
      <c r="G700" t="s">
        <v>579</v>
      </c>
      <c r="H700">
        <v>44131</v>
      </c>
      <c r="I700" t="s">
        <v>1428</v>
      </c>
      <c r="J700" t="s">
        <v>1429</v>
      </c>
      <c r="K700" t="s">
        <v>2</v>
      </c>
      <c r="L700" t="s">
        <v>1430</v>
      </c>
      <c r="M700" t="s">
        <v>731</v>
      </c>
      <c r="N700">
        <v>15045</v>
      </c>
      <c r="O700" t="s">
        <v>1431</v>
      </c>
      <c r="P700">
        <v>468808</v>
      </c>
      <c r="Q700" t="s">
        <v>6</v>
      </c>
      <c r="R700">
        <v>413413</v>
      </c>
      <c r="S700" t="s">
        <v>84</v>
      </c>
      <c r="T700" s="2">
        <v>8</v>
      </c>
      <c r="U700">
        <v>0</v>
      </c>
      <c r="V700" t="s">
        <v>236</v>
      </c>
      <c r="W700">
        <v>0</v>
      </c>
      <c r="X700">
        <v>0</v>
      </c>
      <c r="Y700">
        <v>0</v>
      </c>
      <c r="Z700" t="s">
        <v>88</v>
      </c>
      <c r="AA700" t="e">
        <f>-ALL STRIPING IS NON</f>
        <v>#NAME?</v>
      </c>
      <c r="AB700" t="s">
        <v>10</v>
      </c>
      <c r="AC700">
        <v>0</v>
      </c>
      <c r="AD700">
        <v>0</v>
      </c>
      <c r="AE700">
        <v>726182083568</v>
      </c>
      <c r="AF700">
        <v>894.3</v>
      </c>
      <c r="AG700">
        <v>0</v>
      </c>
      <c r="AH700">
        <v>30.19</v>
      </c>
      <c r="AI700">
        <v>924.49</v>
      </c>
      <c r="AJ700" t="s">
        <v>2</v>
      </c>
      <c r="AK700" t="s">
        <v>11</v>
      </c>
    </row>
    <row r="701" spans="1:37">
      <c r="A701">
        <v>257807</v>
      </c>
      <c r="B701" s="1">
        <v>45366</v>
      </c>
      <c r="C701" t="s">
        <v>1424</v>
      </c>
      <c r="D701" t="s">
        <v>1425</v>
      </c>
      <c r="E701" t="s">
        <v>1426</v>
      </c>
      <c r="F701" t="s">
        <v>1427</v>
      </c>
      <c r="G701" t="s">
        <v>579</v>
      </c>
      <c r="H701">
        <v>44131</v>
      </c>
      <c r="I701" t="s">
        <v>1428</v>
      </c>
      <c r="J701" t="s">
        <v>1429</v>
      </c>
      <c r="K701" t="s">
        <v>2</v>
      </c>
      <c r="L701" t="s">
        <v>1430</v>
      </c>
      <c r="M701" t="s">
        <v>731</v>
      </c>
      <c r="N701">
        <v>15045</v>
      </c>
      <c r="O701" t="s">
        <v>1431</v>
      </c>
      <c r="P701">
        <v>468808</v>
      </c>
      <c r="Q701" t="s">
        <v>6</v>
      </c>
      <c r="R701">
        <v>413413</v>
      </c>
      <c r="S701" t="s">
        <v>84</v>
      </c>
      <c r="T701" s="2">
        <v>8</v>
      </c>
      <c r="U701">
        <v>0</v>
      </c>
      <c r="V701" t="s">
        <v>236</v>
      </c>
      <c r="W701">
        <v>0</v>
      </c>
      <c r="X701">
        <v>0</v>
      </c>
      <c r="Y701">
        <v>0</v>
      </c>
      <c r="Z701" t="s">
        <v>88</v>
      </c>
      <c r="AA701" t="e">
        <f>-CANCELABLE NON RETURNABLE</f>
        <v>#NAME?</v>
      </c>
      <c r="AB701" t="s">
        <v>10</v>
      </c>
      <c r="AC701">
        <v>0</v>
      </c>
      <c r="AD701">
        <v>0</v>
      </c>
      <c r="AE701">
        <v>726182083568</v>
      </c>
      <c r="AF701">
        <v>894.3</v>
      </c>
      <c r="AG701">
        <v>0</v>
      </c>
      <c r="AH701">
        <v>30.19</v>
      </c>
      <c r="AI701">
        <v>924.49</v>
      </c>
      <c r="AJ701" t="s">
        <v>2</v>
      </c>
      <c r="AK701" t="s">
        <v>11</v>
      </c>
    </row>
    <row r="702" spans="1:37">
      <c r="A702">
        <v>257807</v>
      </c>
      <c r="B702" s="1">
        <v>45366</v>
      </c>
      <c r="C702" t="s">
        <v>1424</v>
      </c>
      <c r="D702" t="s">
        <v>1425</v>
      </c>
      <c r="E702" t="s">
        <v>1426</v>
      </c>
      <c r="F702" t="s">
        <v>1427</v>
      </c>
      <c r="G702" t="s">
        <v>579</v>
      </c>
      <c r="H702">
        <v>44131</v>
      </c>
      <c r="I702" t="s">
        <v>1428</v>
      </c>
      <c r="J702" t="s">
        <v>1429</v>
      </c>
      <c r="K702" t="s">
        <v>2</v>
      </c>
      <c r="L702" t="s">
        <v>1430</v>
      </c>
      <c r="M702" t="s">
        <v>731</v>
      </c>
      <c r="N702">
        <v>15045</v>
      </c>
      <c r="O702" t="s">
        <v>1431</v>
      </c>
      <c r="P702">
        <v>468808</v>
      </c>
      <c r="Q702" t="s">
        <v>6</v>
      </c>
      <c r="R702">
        <v>413413</v>
      </c>
      <c r="S702" t="s">
        <v>84</v>
      </c>
      <c r="T702" s="2">
        <v>8</v>
      </c>
      <c r="U702">
        <v>0</v>
      </c>
      <c r="V702" t="s">
        <v>236</v>
      </c>
      <c r="W702">
        <v>0</v>
      </c>
      <c r="X702">
        <v>0</v>
      </c>
      <c r="Y702">
        <v>0</v>
      </c>
      <c r="Z702" t="s">
        <v>88</v>
      </c>
      <c r="AA702" t="s">
        <v>1035</v>
      </c>
      <c r="AB702" t="s">
        <v>10</v>
      </c>
      <c r="AC702">
        <v>0</v>
      </c>
      <c r="AD702">
        <v>0</v>
      </c>
      <c r="AE702">
        <v>726182083568</v>
      </c>
      <c r="AF702">
        <v>894.3</v>
      </c>
      <c r="AG702">
        <v>0</v>
      </c>
      <c r="AH702">
        <v>30.19</v>
      </c>
      <c r="AI702">
        <v>924.49</v>
      </c>
      <c r="AJ702" t="s">
        <v>2</v>
      </c>
      <c r="AK702" t="s">
        <v>11</v>
      </c>
    </row>
    <row r="703" spans="1:37">
      <c r="A703">
        <v>257807</v>
      </c>
      <c r="B703" s="1">
        <v>45366</v>
      </c>
      <c r="C703" t="s">
        <v>1424</v>
      </c>
      <c r="D703" t="s">
        <v>1425</v>
      </c>
      <c r="E703" t="s">
        <v>1426</v>
      </c>
      <c r="F703" t="s">
        <v>1427</v>
      </c>
      <c r="G703" t="s">
        <v>579</v>
      </c>
      <c r="H703">
        <v>44131</v>
      </c>
      <c r="I703" t="s">
        <v>1428</v>
      </c>
      <c r="J703" t="s">
        <v>1429</v>
      </c>
      <c r="K703" t="s">
        <v>2</v>
      </c>
      <c r="L703" t="s">
        <v>1430</v>
      </c>
      <c r="M703" t="s">
        <v>731</v>
      </c>
      <c r="N703">
        <v>15045</v>
      </c>
      <c r="O703" t="s">
        <v>1431</v>
      </c>
      <c r="P703">
        <v>468808</v>
      </c>
      <c r="Q703" t="s">
        <v>6</v>
      </c>
      <c r="R703">
        <v>413413</v>
      </c>
      <c r="S703" t="s">
        <v>84</v>
      </c>
      <c r="T703" s="2">
        <v>8</v>
      </c>
      <c r="U703">
        <v>0</v>
      </c>
      <c r="V703" t="s">
        <v>236</v>
      </c>
      <c r="W703">
        <v>0</v>
      </c>
      <c r="X703">
        <v>0</v>
      </c>
      <c r="Y703">
        <v>0</v>
      </c>
      <c r="Z703" t="s">
        <v>88</v>
      </c>
      <c r="AA703" t="e">
        <f>-NO PREMASK REQUESTED FOR</f>
        <v>#NAME?</v>
      </c>
      <c r="AB703" t="s">
        <v>10</v>
      </c>
      <c r="AC703">
        <v>0</v>
      </c>
      <c r="AD703">
        <v>0</v>
      </c>
      <c r="AE703">
        <v>726182083568</v>
      </c>
      <c r="AF703">
        <v>894.3</v>
      </c>
      <c r="AG703">
        <v>0</v>
      </c>
      <c r="AH703">
        <v>30.19</v>
      </c>
      <c r="AI703">
        <v>924.49</v>
      </c>
      <c r="AJ703" t="s">
        <v>2</v>
      </c>
      <c r="AK703" t="s">
        <v>11</v>
      </c>
    </row>
    <row r="704" spans="1:37">
      <c r="A704">
        <v>257807</v>
      </c>
      <c r="B704" s="1">
        <v>45366</v>
      </c>
      <c r="C704" t="s">
        <v>1424</v>
      </c>
      <c r="D704" t="s">
        <v>1425</v>
      </c>
      <c r="E704" t="s">
        <v>1426</v>
      </c>
      <c r="F704" t="s">
        <v>1427</v>
      </c>
      <c r="G704" t="s">
        <v>579</v>
      </c>
      <c r="H704">
        <v>44131</v>
      </c>
      <c r="I704" t="s">
        <v>1428</v>
      </c>
      <c r="J704" t="s">
        <v>1429</v>
      </c>
      <c r="K704" t="s">
        <v>2</v>
      </c>
      <c r="L704" t="s">
        <v>1430</v>
      </c>
      <c r="M704" t="s">
        <v>731</v>
      </c>
      <c r="N704">
        <v>15045</v>
      </c>
      <c r="O704" t="s">
        <v>1431</v>
      </c>
      <c r="P704">
        <v>468808</v>
      </c>
      <c r="Q704" t="s">
        <v>6</v>
      </c>
      <c r="R704">
        <v>413413</v>
      </c>
      <c r="S704" t="s">
        <v>84</v>
      </c>
      <c r="T704" s="2">
        <v>8</v>
      </c>
      <c r="U704">
        <v>0</v>
      </c>
      <c r="V704" t="s">
        <v>236</v>
      </c>
      <c r="W704">
        <v>0</v>
      </c>
      <c r="X704">
        <v>0</v>
      </c>
      <c r="Y704">
        <v>0</v>
      </c>
      <c r="Z704" t="s">
        <v>88</v>
      </c>
      <c r="AA704" t="e">
        <f>-STRIPES ON THIS ORDER</f>
        <v>#NAME?</v>
      </c>
      <c r="AB704" t="s">
        <v>10</v>
      </c>
      <c r="AC704">
        <v>0</v>
      </c>
      <c r="AD704">
        <v>0</v>
      </c>
      <c r="AE704">
        <v>726182083568</v>
      </c>
      <c r="AF704">
        <v>894.3</v>
      </c>
      <c r="AG704">
        <v>0</v>
      </c>
      <c r="AH704">
        <v>30.19</v>
      </c>
      <c r="AI704">
        <v>924.49</v>
      </c>
      <c r="AJ704" t="s">
        <v>2</v>
      </c>
      <c r="AK704" t="s">
        <v>11</v>
      </c>
    </row>
    <row r="705" spans="1:37">
      <c r="A705">
        <v>257807</v>
      </c>
      <c r="B705" s="1">
        <v>45366</v>
      </c>
      <c r="C705" t="s">
        <v>1424</v>
      </c>
      <c r="D705" t="s">
        <v>1425</v>
      </c>
      <c r="E705" t="s">
        <v>1426</v>
      </c>
      <c r="F705" t="s">
        <v>1427</v>
      </c>
      <c r="G705" t="s">
        <v>579</v>
      </c>
      <c r="H705">
        <v>44131</v>
      </c>
      <c r="I705" t="s">
        <v>1428</v>
      </c>
      <c r="J705" t="s">
        <v>1429</v>
      </c>
      <c r="K705" t="s">
        <v>2</v>
      </c>
      <c r="L705" t="s">
        <v>1430</v>
      </c>
      <c r="M705" t="s">
        <v>731</v>
      </c>
      <c r="N705">
        <v>15045</v>
      </c>
      <c r="O705" t="s">
        <v>1431</v>
      </c>
      <c r="P705">
        <v>468808</v>
      </c>
      <c r="Q705" t="s">
        <v>6</v>
      </c>
      <c r="R705">
        <v>413413</v>
      </c>
      <c r="S705" t="s">
        <v>84</v>
      </c>
      <c r="T705" s="2">
        <v>8</v>
      </c>
      <c r="U705">
        <v>0</v>
      </c>
      <c r="V705" t="s">
        <v>236</v>
      </c>
      <c r="W705">
        <v>0</v>
      </c>
      <c r="X705">
        <v>0</v>
      </c>
      <c r="Y705">
        <v>0</v>
      </c>
      <c r="Z705" t="s">
        <v>88</v>
      </c>
      <c r="AA705" t="e">
        <f>-SPLICE FREE REQUIRED</f>
        <v>#NAME?</v>
      </c>
      <c r="AB705" t="s">
        <v>10</v>
      </c>
      <c r="AC705">
        <v>0</v>
      </c>
      <c r="AD705">
        <v>0</v>
      </c>
      <c r="AE705">
        <v>726182083568</v>
      </c>
      <c r="AF705">
        <v>894.3</v>
      </c>
      <c r="AG705">
        <v>0</v>
      </c>
      <c r="AH705">
        <v>30.19</v>
      </c>
      <c r="AI705">
        <v>924.49</v>
      </c>
      <c r="AJ705" t="s">
        <v>2</v>
      </c>
      <c r="AK705" t="s">
        <v>11</v>
      </c>
    </row>
    <row r="706" spans="1:37">
      <c r="A706">
        <v>257807</v>
      </c>
      <c r="B706" s="1">
        <v>45366</v>
      </c>
      <c r="C706" t="s">
        <v>1424</v>
      </c>
      <c r="D706" t="s">
        <v>1425</v>
      </c>
      <c r="E706" t="s">
        <v>1426</v>
      </c>
      <c r="F706" t="s">
        <v>1427</v>
      </c>
      <c r="G706" t="s">
        <v>579</v>
      </c>
      <c r="H706">
        <v>44131</v>
      </c>
      <c r="I706" t="s">
        <v>1428</v>
      </c>
      <c r="J706" t="s">
        <v>1429</v>
      </c>
      <c r="K706" t="s">
        <v>2</v>
      </c>
      <c r="L706" t="s">
        <v>1430</v>
      </c>
      <c r="M706" t="s">
        <v>731</v>
      </c>
      <c r="N706">
        <v>15045</v>
      </c>
      <c r="O706" t="s">
        <v>1431</v>
      </c>
      <c r="P706">
        <v>468808</v>
      </c>
      <c r="Q706" t="s">
        <v>6</v>
      </c>
      <c r="R706">
        <v>413413</v>
      </c>
      <c r="S706" t="s">
        <v>84</v>
      </c>
      <c r="T706" s="2">
        <v>8</v>
      </c>
      <c r="U706">
        <v>0</v>
      </c>
      <c r="V706" t="s">
        <v>236</v>
      </c>
      <c r="W706">
        <v>0</v>
      </c>
      <c r="X706">
        <v>0</v>
      </c>
      <c r="Y706">
        <v>0</v>
      </c>
      <c r="Z706" t="s">
        <v>88</v>
      </c>
      <c r="AA706" t="s">
        <v>1035</v>
      </c>
      <c r="AB706" t="s">
        <v>10</v>
      </c>
      <c r="AC706">
        <v>0</v>
      </c>
      <c r="AD706">
        <v>0</v>
      </c>
      <c r="AE706">
        <v>726182083568</v>
      </c>
      <c r="AF706">
        <v>894.3</v>
      </c>
      <c r="AG706">
        <v>0</v>
      </c>
      <c r="AH706">
        <v>30.19</v>
      </c>
      <c r="AI706">
        <v>924.49</v>
      </c>
      <c r="AJ706" t="s">
        <v>2</v>
      </c>
      <c r="AK706" t="s">
        <v>11</v>
      </c>
    </row>
    <row r="707" spans="1:37">
      <c r="A707">
        <v>257807</v>
      </c>
      <c r="B707" s="1">
        <v>45366</v>
      </c>
      <c r="C707" t="s">
        <v>1424</v>
      </c>
      <c r="D707" t="s">
        <v>1425</v>
      </c>
      <c r="E707" t="s">
        <v>1426</v>
      </c>
      <c r="F707" t="s">
        <v>1427</v>
      </c>
      <c r="G707" t="s">
        <v>579</v>
      </c>
      <c r="H707">
        <v>44131</v>
      </c>
      <c r="I707" t="s">
        <v>1428</v>
      </c>
      <c r="J707" t="s">
        <v>1429</v>
      </c>
      <c r="K707" t="s">
        <v>2</v>
      </c>
      <c r="L707" t="s">
        <v>1430</v>
      </c>
      <c r="M707" t="s">
        <v>731</v>
      </c>
      <c r="N707">
        <v>15045</v>
      </c>
      <c r="O707" t="s">
        <v>1431</v>
      </c>
      <c r="P707">
        <v>468808</v>
      </c>
      <c r="Q707" t="s">
        <v>6</v>
      </c>
      <c r="R707">
        <v>413413</v>
      </c>
      <c r="S707" t="s">
        <v>84</v>
      </c>
      <c r="T707" s="2">
        <v>8</v>
      </c>
      <c r="U707">
        <v>0</v>
      </c>
      <c r="V707" t="s">
        <v>236</v>
      </c>
      <c r="W707">
        <v>0</v>
      </c>
      <c r="X707">
        <v>0</v>
      </c>
      <c r="Y707">
        <v>0</v>
      </c>
      <c r="Z707" t="s">
        <v>88</v>
      </c>
      <c r="AA707" t="s">
        <v>1421</v>
      </c>
      <c r="AB707" t="s">
        <v>10</v>
      </c>
      <c r="AC707">
        <v>0</v>
      </c>
      <c r="AD707">
        <v>0</v>
      </c>
      <c r="AE707">
        <v>726182083568</v>
      </c>
      <c r="AF707">
        <v>894.3</v>
      </c>
      <c r="AG707">
        <v>0</v>
      </c>
      <c r="AH707">
        <v>30.19</v>
      </c>
      <c r="AI707">
        <v>924.49</v>
      </c>
      <c r="AJ707" t="s">
        <v>2</v>
      </c>
      <c r="AK707" t="s">
        <v>11</v>
      </c>
    </row>
    <row r="708" spans="1:37">
      <c r="A708">
        <v>257807</v>
      </c>
      <c r="B708" s="1">
        <v>45366</v>
      </c>
      <c r="C708" t="s">
        <v>1424</v>
      </c>
      <c r="D708" t="s">
        <v>1425</v>
      </c>
      <c r="E708" t="s">
        <v>1426</v>
      </c>
      <c r="F708" t="s">
        <v>1427</v>
      </c>
      <c r="G708" t="s">
        <v>579</v>
      </c>
      <c r="H708">
        <v>44131</v>
      </c>
      <c r="I708" t="s">
        <v>1428</v>
      </c>
      <c r="J708" t="s">
        <v>1429</v>
      </c>
      <c r="K708" t="s">
        <v>2</v>
      </c>
      <c r="L708" t="s">
        <v>1430</v>
      </c>
      <c r="M708" t="s">
        <v>731</v>
      </c>
      <c r="N708">
        <v>15045</v>
      </c>
      <c r="O708" t="s">
        <v>1431</v>
      </c>
      <c r="P708">
        <v>468808</v>
      </c>
      <c r="Q708" t="s">
        <v>6</v>
      </c>
      <c r="R708">
        <v>413413</v>
      </c>
      <c r="S708" t="s">
        <v>84</v>
      </c>
      <c r="T708" s="2">
        <v>8</v>
      </c>
      <c r="U708">
        <v>0</v>
      </c>
      <c r="V708" t="s">
        <v>236</v>
      </c>
      <c r="W708">
        <v>0</v>
      </c>
      <c r="X708">
        <v>0</v>
      </c>
      <c r="Y708">
        <v>0</v>
      </c>
      <c r="Z708" t="s">
        <v>88</v>
      </c>
      <c r="AA708" t="s">
        <v>1422</v>
      </c>
      <c r="AB708" t="s">
        <v>10</v>
      </c>
      <c r="AC708">
        <v>0</v>
      </c>
      <c r="AD708">
        <v>0</v>
      </c>
      <c r="AE708">
        <v>726182083568</v>
      </c>
      <c r="AF708">
        <v>894.3</v>
      </c>
      <c r="AG708">
        <v>0</v>
      </c>
      <c r="AH708">
        <v>30.19</v>
      </c>
      <c r="AI708">
        <v>924.49</v>
      </c>
      <c r="AJ708" t="s">
        <v>2</v>
      </c>
      <c r="AK708" t="s">
        <v>11</v>
      </c>
    </row>
    <row r="709" spans="1:37">
      <c r="A709">
        <v>257807</v>
      </c>
      <c r="B709" s="1">
        <v>45366</v>
      </c>
      <c r="C709" t="s">
        <v>1424</v>
      </c>
      <c r="D709" t="s">
        <v>1425</v>
      </c>
      <c r="E709" t="s">
        <v>1426</v>
      </c>
      <c r="F709" t="s">
        <v>1427</v>
      </c>
      <c r="G709" t="s">
        <v>579</v>
      </c>
      <c r="H709">
        <v>44131</v>
      </c>
      <c r="I709" t="s">
        <v>1428</v>
      </c>
      <c r="J709" t="s">
        <v>1429</v>
      </c>
      <c r="K709" t="s">
        <v>2</v>
      </c>
      <c r="L709" t="s">
        <v>1430</v>
      </c>
      <c r="M709" t="s">
        <v>731</v>
      </c>
      <c r="N709">
        <v>15045</v>
      </c>
      <c r="O709" t="s">
        <v>1431</v>
      </c>
      <c r="P709">
        <v>468808</v>
      </c>
      <c r="Q709" t="s">
        <v>6</v>
      </c>
      <c r="R709">
        <v>413413</v>
      </c>
      <c r="S709" t="s">
        <v>84</v>
      </c>
      <c r="T709" s="2">
        <v>8</v>
      </c>
      <c r="U709">
        <v>0</v>
      </c>
      <c r="V709" t="s">
        <v>236</v>
      </c>
      <c r="W709">
        <v>0</v>
      </c>
      <c r="X709">
        <v>0</v>
      </c>
      <c r="Y709">
        <v>0</v>
      </c>
      <c r="Z709" t="s">
        <v>88</v>
      </c>
      <c r="AA709" t="s">
        <v>1436</v>
      </c>
      <c r="AB709" t="s">
        <v>10</v>
      </c>
      <c r="AC709">
        <v>0</v>
      </c>
      <c r="AD709">
        <v>0</v>
      </c>
      <c r="AE709">
        <v>726182083568</v>
      </c>
      <c r="AF709">
        <v>894.3</v>
      </c>
      <c r="AG709">
        <v>0</v>
      </c>
      <c r="AH709">
        <v>30.19</v>
      </c>
      <c r="AI709">
        <v>924.49</v>
      </c>
      <c r="AJ709" t="s">
        <v>2</v>
      </c>
      <c r="AK709" t="s">
        <v>11</v>
      </c>
    </row>
    <row r="710" spans="1:37">
      <c r="A710">
        <v>257808</v>
      </c>
      <c r="B710" s="1">
        <v>45366</v>
      </c>
      <c r="C710" t="s">
        <v>1437</v>
      </c>
      <c r="D710" t="s">
        <v>1438</v>
      </c>
      <c r="E710" t="s">
        <v>2</v>
      </c>
      <c r="F710" t="s">
        <v>1439</v>
      </c>
      <c r="G710" t="s">
        <v>439</v>
      </c>
      <c r="H710">
        <v>67522</v>
      </c>
      <c r="I710" t="s">
        <v>1440</v>
      </c>
      <c r="J710" t="s">
        <v>1441</v>
      </c>
      <c r="K710" t="s">
        <v>2</v>
      </c>
      <c r="L710" t="s">
        <v>856</v>
      </c>
      <c r="M710" t="s">
        <v>539</v>
      </c>
      <c r="N710">
        <v>28206</v>
      </c>
      <c r="O710" t="s">
        <v>1442</v>
      </c>
      <c r="P710" t="s">
        <v>1443</v>
      </c>
      <c r="Q710" t="s">
        <v>38</v>
      </c>
      <c r="R710">
        <v>406994</v>
      </c>
      <c r="S710" t="s">
        <v>84</v>
      </c>
      <c r="T710" s="2">
        <v>7</v>
      </c>
      <c r="U710">
        <v>0</v>
      </c>
      <c r="V710" t="s">
        <v>260</v>
      </c>
      <c r="W710">
        <v>0</v>
      </c>
      <c r="X710">
        <v>0</v>
      </c>
      <c r="Y710">
        <v>0</v>
      </c>
      <c r="Z710" t="s">
        <v>9</v>
      </c>
      <c r="AA710" t="s">
        <v>2</v>
      </c>
      <c r="AB710" t="s">
        <v>10</v>
      </c>
      <c r="AC710">
        <v>0</v>
      </c>
      <c r="AD710">
        <v>0</v>
      </c>
      <c r="AE710">
        <v>726182083682</v>
      </c>
      <c r="AF710">
        <v>3200.68</v>
      </c>
      <c r="AG710">
        <v>0</v>
      </c>
      <c r="AH710">
        <v>0</v>
      </c>
      <c r="AI710">
        <v>3200.68</v>
      </c>
      <c r="AJ710" t="s">
        <v>2</v>
      </c>
      <c r="AK710" t="s">
        <v>11</v>
      </c>
    </row>
    <row r="711" spans="1:37">
      <c r="A711">
        <v>257808</v>
      </c>
      <c r="B711" s="1">
        <v>45366</v>
      </c>
      <c r="C711" t="s">
        <v>1437</v>
      </c>
      <c r="D711" t="s">
        <v>1438</v>
      </c>
      <c r="E711" t="s">
        <v>2</v>
      </c>
      <c r="F711" t="s">
        <v>1439</v>
      </c>
      <c r="G711" t="s">
        <v>439</v>
      </c>
      <c r="H711">
        <v>67522</v>
      </c>
      <c r="I711" t="s">
        <v>1440</v>
      </c>
      <c r="J711" t="s">
        <v>1441</v>
      </c>
      <c r="K711" t="s">
        <v>2</v>
      </c>
      <c r="L711" t="s">
        <v>856</v>
      </c>
      <c r="M711" t="s">
        <v>539</v>
      </c>
      <c r="N711">
        <v>28206</v>
      </c>
      <c r="O711" t="s">
        <v>1442</v>
      </c>
      <c r="P711" t="s">
        <v>1443</v>
      </c>
      <c r="Q711" t="s">
        <v>38</v>
      </c>
      <c r="R711">
        <v>406994</v>
      </c>
      <c r="S711" t="s">
        <v>84</v>
      </c>
      <c r="T711" s="2">
        <v>7</v>
      </c>
      <c r="U711">
        <v>0</v>
      </c>
      <c r="V711" t="s">
        <v>260</v>
      </c>
      <c r="W711">
        <v>16</v>
      </c>
      <c r="X711">
        <v>7</v>
      </c>
      <c r="Y711">
        <v>9</v>
      </c>
      <c r="Z711" t="s">
        <v>1444</v>
      </c>
      <c r="AA711" t="s">
        <v>1445</v>
      </c>
      <c r="AB711" t="s">
        <v>14</v>
      </c>
      <c r="AC711">
        <v>457.24</v>
      </c>
      <c r="AD711">
        <v>3200.68</v>
      </c>
      <c r="AE711">
        <v>726182083682</v>
      </c>
      <c r="AF711">
        <v>3200.68</v>
      </c>
      <c r="AG711">
        <v>0</v>
      </c>
      <c r="AH711">
        <v>0</v>
      </c>
      <c r="AI711">
        <v>3200.68</v>
      </c>
      <c r="AJ711" t="s">
        <v>2</v>
      </c>
      <c r="AK711" t="s">
        <v>11</v>
      </c>
    </row>
    <row r="712" spans="1:37">
      <c r="A712">
        <v>257808</v>
      </c>
      <c r="B712" s="1">
        <v>45366</v>
      </c>
      <c r="C712" t="s">
        <v>1437</v>
      </c>
      <c r="D712" t="s">
        <v>1438</v>
      </c>
      <c r="E712" t="s">
        <v>2</v>
      </c>
      <c r="F712" t="s">
        <v>1439</v>
      </c>
      <c r="G712" t="s">
        <v>439</v>
      </c>
      <c r="H712">
        <v>67522</v>
      </c>
      <c r="I712" t="s">
        <v>1440</v>
      </c>
      <c r="J712" t="s">
        <v>1441</v>
      </c>
      <c r="K712" t="s">
        <v>2</v>
      </c>
      <c r="L712" t="s">
        <v>856</v>
      </c>
      <c r="M712" t="s">
        <v>539</v>
      </c>
      <c r="N712">
        <v>28206</v>
      </c>
      <c r="O712" t="s">
        <v>1442</v>
      </c>
      <c r="P712" t="s">
        <v>1443</v>
      </c>
      <c r="Q712" t="s">
        <v>38</v>
      </c>
      <c r="R712">
        <v>406994</v>
      </c>
      <c r="S712" t="s">
        <v>84</v>
      </c>
      <c r="T712" s="2">
        <v>7</v>
      </c>
      <c r="U712">
        <v>0</v>
      </c>
      <c r="V712" t="s">
        <v>260</v>
      </c>
      <c r="W712">
        <v>0</v>
      </c>
      <c r="X712">
        <v>0</v>
      </c>
      <c r="Y712">
        <v>0</v>
      </c>
      <c r="Z712" t="s">
        <v>88</v>
      </c>
      <c r="AA712" t="s">
        <v>144</v>
      </c>
      <c r="AB712" t="s">
        <v>10</v>
      </c>
      <c r="AC712">
        <v>0</v>
      </c>
      <c r="AD712">
        <v>0</v>
      </c>
      <c r="AE712">
        <v>726182083682</v>
      </c>
      <c r="AF712">
        <v>3200.68</v>
      </c>
      <c r="AG712">
        <v>0</v>
      </c>
      <c r="AH712">
        <v>0</v>
      </c>
      <c r="AI712">
        <v>3200.68</v>
      </c>
      <c r="AJ712" t="s">
        <v>2</v>
      </c>
      <c r="AK712" t="s">
        <v>11</v>
      </c>
    </row>
    <row r="713" spans="1:37">
      <c r="A713">
        <v>257808</v>
      </c>
      <c r="B713" s="1">
        <v>45366</v>
      </c>
      <c r="C713" t="s">
        <v>1437</v>
      </c>
      <c r="D713" t="s">
        <v>1438</v>
      </c>
      <c r="E713" t="s">
        <v>2</v>
      </c>
      <c r="F713" t="s">
        <v>1439</v>
      </c>
      <c r="G713" t="s">
        <v>439</v>
      </c>
      <c r="H713">
        <v>67522</v>
      </c>
      <c r="I713" t="s">
        <v>1440</v>
      </c>
      <c r="J713" t="s">
        <v>1441</v>
      </c>
      <c r="K713" t="s">
        <v>2</v>
      </c>
      <c r="L713" t="s">
        <v>856</v>
      </c>
      <c r="M713" t="s">
        <v>539</v>
      </c>
      <c r="N713">
        <v>28206</v>
      </c>
      <c r="O713" t="s">
        <v>1442</v>
      </c>
      <c r="P713" t="s">
        <v>1443</v>
      </c>
      <c r="Q713" t="s">
        <v>38</v>
      </c>
      <c r="R713">
        <v>406994</v>
      </c>
      <c r="S713" t="s">
        <v>84</v>
      </c>
      <c r="T713" s="2">
        <v>7</v>
      </c>
      <c r="U713">
        <v>0</v>
      </c>
      <c r="V713" t="s">
        <v>260</v>
      </c>
      <c r="W713">
        <v>0</v>
      </c>
      <c r="X713">
        <v>0</v>
      </c>
      <c r="Y713">
        <v>0</v>
      </c>
      <c r="Z713" t="s">
        <v>88</v>
      </c>
      <c r="AA713" t="s">
        <v>1035</v>
      </c>
      <c r="AB713" t="s">
        <v>10</v>
      </c>
      <c r="AC713">
        <v>0</v>
      </c>
      <c r="AD713">
        <v>0</v>
      </c>
      <c r="AE713">
        <v>726182083682</v>
      </c>
      <c r="AF713">
        <v>3200.68</v>
      </c>
      <c r="AG713">
        <v>0</v>
      </c>
      <c r="AH713">
        <v>0</v>
      </c>
      <c r="AI713">
        <v>3200.68</v>
      </c>
      <c r="AJ713" t="s">
        <v>2</v>
      </c>
      <c r="AK713" t="s">
        <v>11</v>
      </c>
    </row>
    <row r="714" spans="1:37">
      <c r="A714">
        <v>257808</v>
      </c>
      <c r="B714" s="1">
        <v>45366</v>
      </c>
      <c r="C714" t="s">
        <v>1437</v>
      </c>
      <c r="D714" t="s">
        <v>1438</v>
      </c>
      <c r="E714" t="s">
        <v>2</v>
      </c>
      <c r="F714" t="s">
        <v>1439</v>
      </c>
      <c r="G714" t="s">
        <v>439</v>
      </c>
      <c r="H714">
        <v>67522</v>
      </c>
      <c r="I714" t="s">
        <v>1440</v>
      </c>
      <c r="J714" t="s">
        <v>1441</v>
      </c>
      <c r="K714" t="s">
        <v>2</v>
      </c>
      <c r="L714" t="s">
        <v>856</v>
      </c>
      <c r="M714" t="s">
        <v>539</v>
      </c>
      <c r="N714">
        <v>28206</v>
      </c>
      <c r="O714" t="s">
        <v>1442</v>
      </c>
      <c r="P714" t="s">
        <v>1443</v>
      </c>
      <c r="Q714" t="s">
        <v>38</v>
      </c>
      <c r="R714">
        <v>406994</v>
      </c>
      <c r="S714" t="s">
        <v>84</v>
      </c>
      <c r="T714" s="2">
        <v>7</v>
      </c>
      <c r="U714">
        <v>0</v>
      </c>
      <c r="V714" t="s">
        <v>260</v>
      </c>
      <c r="W714">
        <v>0</v>
      </c>
      <c r="X714">
        <v>0</v>
      </c>
      <c r="Y714">
        <v>0</v>
      </c>
      <c r="Z714" t="s">
        <v>88</v>
      </c>
      <c r="AA714" t="e">
        <f>-THIS ORDER IS</f>
        <v>#NAME?</v>
      </c>
      <c r="AB714" t="s">
        <v>10</v>
      </c>
      <c r="AC714">
        <v>0</v>
      </c>
      <c r="AD714">
        <v>0</v>
      </c>
      <c r="AE714">
        <v>726182083682</v>
      </c>
      <c r="AF714">
        <v>3200.68</v>
      </c>
      <c r="AG714">
        <v>0</v>
      </c>
      <c r="AH714">
        <v>0</v>
      </c>
      <c r="AI714">
        <v>3200.68</v>
      </c>
      <c r="AJ714" t="s">
        <v>2</v>
      </c>
      <c r="AK714" t="s">
        <v>11</v>
      </c>
    </row>
    <row r="715" spans="1:37">
      <c r="A715">
        <v>257808</v>
      </c>
      <c r="B715" s="1">
        <v>45366</v>
      </c>
      <c r="C715" t="s">
        <v>1437</v>
      </c>
      <c r="D715" t="s">
        <v>1438</v>
      </c>
      <c r="E715" t="s">
        <v>2</v>
      </c>
      <c r="F715" t="s">
        <v>1439</v>
      </c>
      <c r="G715" t="s">
        <v>439</v>
      </c>
      <c r="H715">
        <v>67522</v>
      </c>
      <c r="I715" t="s">
        <v>1440</v>
      </c>
      <c r="J715" t="s">
        <v>1441</v>
      </c>
      <c r="K715" t="s">
        <v>2</v>
      </c>
      <c r="L715" t="s">
        <v>856</v>
      </c>
      <c r="M715" t="s">
        <v>539</v>
      </c>
      <c r="N715">
        <v>28206</v>
      </c>
      <c r="O715" t="s">
        <v>1442</v>
      </c>
      <c r="P715" t="s">
        <v>1443</v>
      </c>
      <c r="Q715" t="s">
        <v>38</v>
      </c>
      <c r="R715">
        <v>406994</v>
      </c>
      <c r="S715" t="s">
        <v>84</v>
      </c>
      <c r="T715" s="2">
        <v>7</v>
      </c>
      <c r="U715">
        <v>0</v>
      </c>
      <c r="V715" t="s">
        <v>260</v>
      </c>
      <c r="W715">
        <v>0</v>
      </c>
      <c r="X715">
        <v>0</v>
      </c>
      <c r="Y715">
        <v>0</v>
      </c>
      <c r="Z715" t="s">
        <v>88</v>
      </c>
      <c r="AA715" t="e">
        <f>-NON CANCELABLE NON RETURNABLE</f>
        <v>#NAME?</v>
      </c>
      <c r="AB715" t="s">
        <v>10</v>
      </c>
      <c r="AC715">
        <v>0</v>
      </c>
      <c r="AD715">
        <v>0</v>
      </c>
      <c r="AE715">
        <v>726182083682</v>
      </c>
      <c r="AF715">
        <v>3200.68</v>
      </c>
      <c r="AG715">
        <v>0</v>
      </c>
      <c r="AH715">
        <v>0</v>
      </c>
      <c r="AI715">
        <v>3200.68</v>
      </c>
      <c r="AJ715" t="s">
        <v>2</v>
      </c>
      <c r="AK715" t="s">
        <v>11</v>
      </c>
    </row>
    <row r="716" spans="1:37">
      <c r="A716">
        <v>257808</v>
      </c>
      <c r="B716" s="1">
        <v>45366</v>
      </c>
      <c r="C716" t="s">
        <v>1437</v>
      </c>
      <c r="D716" t="s">
        <v>1438</v>
      </c>
      <c r="E716" t="s">
        <v>2</v>
      </c>
      <c r="F716" t="s">
        <v>1439</v>
      </c>
      <c r="G716" t="s">
        <v>439</v>
      </c>
      <c r="H716">
        <v>67522</v>
      </c>
      <c r="I716" t="s">
        <v>1440</v>
      </c>
      <c r="J716" t="s">
        <v>1441</v>
      </c>
      <c r="K716" t="s">
        <v>2</v>
      </c>
      <c r="L716" t="s">
        <v>856</v>
      </c>
      <c r="M716" t="s">
        <v>539</v>
      </c>
      <c r="N716">
        <v>28206</v>
      </c>
      <c r="O716" t="s">
        <v>1442</v>
      </c>
      <c r="P716" t="s">
        <v>1443</v>
      </c>
      <c r="Q716" t="s">
        <v>38</v>
      </c>
      <c r="R716">
        <v>406994</v>
      </c>
      <c r="S716" t="s">
        <v>84</v>
      </c>
      <c r="T716" s="2">
        <v>7</v>
      </c>
      <c r="U716">
        <v>0</v>
      </c>
      <c r="V716" t="s">
        <v>260</v>
      </c>
      <c r="W716">
        <v>0</v>
      </c>
      <c r="X716">
        <v>0</v>
      </c>
      <c r="Y716">
        <v>0</v>
      </c>
      <c r="Z716" t="s">
        <v>88</v>
      </c>
      <c r="AA716" t="s">
        <v>1035</v>
      </c>
      <c r="AB716" t="s">
        <v>10</v>
      </c>
      <c r="AC716">
        <v>0</v>
      </c>
      <c r="AD716">
        <v>0</v>
      </c>
      <c r="AE716">
        <v>726182083682</v>
      </c>
      <c r="AF716">
        <v>3200.68</v>
      </c>
      <c r="AG716">
        <v>0</v>
      </c>
      <c r="AH716">
        <v>0</v>
      </c>
      <c r="AI716">
        <v>3200.68</v>
      </c>
      <c r="AJ716" t="s">
        <v>2</v>
      </c>
      <c r="AK716" t="s">
        <v>11</v>
      </c>
    </row>
    <row r="717" spans="1:37">
      <c r="A717">
        <v>257808</v>
      </c>
      <c r="B717" s="1">
        <v>45366</v>
      </c>
      <c r="C717" t="s">
        <v>1437</v>
      </c>
      <c r="D717" t="s">
        <v>1438</v>
      </c>
      <c r="E717" t="s">
        <v>2</v>
      </c>
      <c r="F717" t="s">
        <v>1439</v>
      </c>
      <c r="G717" t="s">
        <v>439</v>
      </c>
      <c r="H717">
        <v>67522</v>
      </c>
      <c r="I717" t="s">
        <v>1440</v>
      </c>
      <c r="J717" t="s">
        <v>1441</v>
      </c>
      <c r="K717" t="s">
        <v>2</v>
      </c>
      <c r="L717" t="s">
        <v>856</v>
      </c>
      <c r="M717" t="s">
        <v>539</v>
      </c>
      <c r="N717">
        <v>28206</v>
      </c>
      <c r="O717" t="s">
        <v>1442</v>
      </c>
      <c r="P717" t="s">
        <v>1443</v>
      </c>
      <c r="Q717" t="s">
        <v>38</v>
      </c>
      <c r="R717">
        <v>406994</v>
      </c>
      <c r="S717" t="s">
        <v>84</v>
      </c>
      <c r="T717" s="2">
        <v>7</v>
      </c>
      <c r="U717">
        <v>0</v>
      </c>
      <c r="V717" t="s">
        <v>260</v>
      </c>
      <c r="W717">
        <v>0</v>
      </c>
      <c r="X717">
        <v>0</v>
      </c>
      <c r="Y717">
        <v>0</v>
      </c>
      <c r="Z717" t="s">
        <v>88</v>
      </c>
      <c r="AA717" t="s">
        <v>2</v>
      </c>
      <c r="AB717" t="s">
        <v>10</v>
      </c>
      <c r="AC717">
        <v>0</v>
      </c>
      <c r="AD717">
        <v>0</v>
      </c>
      <c r="AE717">
        <v>726182083682</v>
      </c>
      <c r="AF717">
        <v>3200.68</v>
      </c>
      <c r="AG717">
        <v>0</v>
      </c>
      <c r="AH717">
        <v>0</v>
      </c>
      <c r="AI717">
        <v>3200.68</v>
      </c>
      <c r="AJ717" t="s">
        <v>2</v>
      </c>
      <c r="AK717" t="s">
        <v>11</v>
      </c>
    </row>
    <row r="718" spans="1:37">
      <c r="A718">
        <v>257808</v>
      </c>
      <c r="B718" s="1">
        <v>45366</v>
      </c>
      <c r="C718" t="s">
        <v>1437</v>
      </c>
      <c r="D718" t="s">
        <v>1438</v>
      </c>
      <c r="E718" t="s">
        <v>2</v>
      </c>
      <c r="F718" t="s">
        <v>1439</v>
      </c>
      <c r="G718" t="s">
        <v>439</v>
      </c>
      <c r="H718">
        <v>67522</v>
      </c>
      <c r="I718" t="s">
        <v>1440</v>
      </c>
      <c r="J718" t="s">
        <v>1441</v>
      </c>
      <c r="K718" t="s">
        <v>2</v>
      </c>
      <c r="L718" t="s">
        <v>856</v>
      </c>
      <c r="M718" t="s">
        <v>539</v>
      </c>
      <c r="N718">
        <v>28206</v>
      </c>
      <c r="O718" t="s">
        <v>1442</v>
      </c>
      <c r="P718" t="s">
        <v>1443</v>
      </c>
      <c r="Q718" t="s">
        <v>38</v>
      </c>
      <c r="R718">
        <v>406994</v>
      </c>
      <c r="S718" t="s">
        <v>84</v>
      </c>
      <c r="T718" s="2">
        <v>7</v>
      </c>
      <c r="U718">
        <v>0</v>
      </c>
      <c r="V718" t="s">
        <v>260</v>
      </c>
      <c r="W718">
        <v>0</v>
      </c>
      <c r="X718">
        <v>0</v>
      </c>
      <c r="Y718">
        <v>0</v>
      </c>
      <c r="Z718" t="s">
        <v>88</v>
      </c>
      <c r="AA718" t="s">
        <v>1446</v>
      </c>
      <c r="AB718" t="s">
        <v>10</v>
      </c>
      <c r="AC718">
        <v>0</v>
      </c>
      <c r="AD718">
        <v>0</v>
      </c>
      <c r="AE718">
        <v>726182083682</v>
      </c>
      <c r="AF718">
        <v>3200.68</v>
      </c>
      <c r="AG718">
        <v>0</v>
      </c>
      <c r="AH718">
        <v>0</v>
      </c>
      <c r="AI718">
        <v>3200.68</v>
      </c>
      <c r="AJ718" t="s">
        <v>2</v>
      </c>
      <c r="AK718" t="s">
        <v>11</v>
      </c>
    </row>
    <row r="719" spans="1:37">
      <c r="A719">
        <v>257808</v>
      </c>
      <c r="B719" s="1">
        <v>45366</v>
      </c>
      <c r="C719" t="s">
        <v>1437</v>
      </c>
      <c r="D719" t="s">
        <v>1438</v>
      </c>
      <c r="E719" t="s">
        <v>2</v>
      </c>
      <c r="F719" t="s">
        <v>1439</v>
      </c>
      <c r="G719" t="s">
        <v>439</v>
      </c>
      <c r="H719">
        <v>67522</v>
      </c>
      <c r="I719" t="s">
        <v>1440</v>
      </c>
      <c r="J719" t="s">
        <v>1441</v>
      </c>
      <c r="K719" t="s">
        <v>2</v>
      </c>
      <c r="L719" t="s">
        <v>856</v>
      </c>
      <c r="M719" t="s">
        <v>539</v>
      </c>
      <c r="N719">
        <v>28206</v>
      </c>
      <c r="O719" t="s">
        <v>1442</v>
      </c>
      <c r="P719" t="s">
        <v>1443</v>
      </c>
      <c r="Q719" t="s">
        <v>38</v>
      </c>
      <c r="R719">
        <v>406994</v>
      </c>
      <c r="S719" t="s">
        <v>84</v>
      </c>
      <c r="T719" s="2">
        <v>7</v>
      </c>
      <c r="U719">
        <v>0</v>
      </c>
      <c r="V719" t="s">
        <v>260</v>
      </c>
      <c r="W719">
        <v>0</v>
      </c>
      <c r="X719">
        <v>0</v>
      </c>
      <c r="Y719">
        <v>0</v>
      </c>
      <c r="Z719" t="s">
        <v>88</v>
      </c>
      <c r="AA719" t="s">
        <v>1447</v>
      </c>
      <c r="AB719" t="s">
        <v>10</v>
      </c>
      <c r="AC719">
        <v>0</v>
      </c>
      <c r="AD719">
        <v>0</v>
      </c>
      <c r="AE719">
        <v>726182083682</v>
      </c>
      <c r="AF719">
        <v>3200.68</v>
      </c>
      <c r="AG719">
        <v>0</v>
      </c>
      <c r="AH719">
        <v>0</v>
      </c>
      <c r="AI719">
        <v>3200.68</v>
      </c>
      <c r="AJ719" t="s">
        <v>2</v>
      </c>
      <c r="AK719" t="s">
        <v>11</v>
      </c>
    </row>
    <row r="720" spans="1:37">
      <c r="A720">
        <v>257809</v>
      </c>
      <c r="B720" s="1">
        <v>45366</v>
      </c>
      <c r="C720" t="s">
        <v>303</v>
      </c>
      <c r="D720" t="s">
        <v>304</v>
      </c>
      <c r="E720" t="s">
        <v>2</v>
      </c>
      <c r="F720" t="s">
        <v>305</v>
      </c>
      <c r="G720" t="s">
        <v>173</v>
      </c>
      <c r="H720">
        <v>99212</v>
      </c>
      <c r="I720" t="s">
        <v>306</v>
      </c>
      <c r="J720" t="s">
        <v>307</v>
      </c>
      <c r="K720" t="s">
        <v>2</v>
      </c>
      <c r="L720" t="s">
        <v>305</v>
      </c>
      <c r="M720" t="s">
        <v>173</v>
      </c>
      <c r="N720">
        <v>99212</v>
      </c>
      <c r="O720" t="s">
        <v>308</v>
      </c>
      <c r="P720">
        <v>146030</v>
      </c>
      <c r="Q720" t="s">
        <v>46</v>
      </c>
      <c r="R720">
        <v>411610</v>
      </c>
      <c r="S720" t="s">
        <v>84</v>
      </c>
      <c r="T720" s="2">
        <v>15</v>
      </c>
      <c r="U720">
        <v>0</v>
      </c>
      <c r="V720" t="s">
        <v>309</v>
      </c>
      <c r="W720">
        <v>0</v>
      </c>
      <c r="X720">
        <v>0</v>
      </c>
      <c r="Y720">
        <v>0</v>
      </c>
      <c r="Z720" t="s">
        <v>9</v>
      </c>
      <c r="AA720" t="s">
        <v>2</v>
      </c>
      <c r="AB720" t="s">
        <v>10</v>
      </c>
      <c r="AC720">
        <v>0</v>
      </c>
      <c r="AD720">
        <v>0</v>
      </c>
      <c r="AE720">
        <v>726182083650</v>
      </c>
      <c r="AF720">
        <v>5259.18</v>
      </c>
      <c r="AG720">
        <v>0</v>
      </c>
      <c r="AH720">
        <v>0</v>
      </c>
      <c r="AI720">
        <v>5259.18</v>
      </c>
      <c r="AJ720" t="s">
        <v>2</v>
      </c>
      <c r="AK720" t="s">
        <v>11</v>
      </c>
    </row>
    <row r="721" spans="1:37">
      <c r="A721">
        <v>257809</v>
      </c>
      <c r="B721" s="1">
        <v>45366</v>
      </c>
      <c r="C721" t="s">
        <v>303</v>
      </c>
      <c r="D721" t="s">
        <v>304</v>
      </c>
      <c r="E721" t="s">
        <v>2</v>
      </c>
      <c r="F721" t="s">
        <v>305</v>
      </c>
      <c r="G721" t="s">
        <v>173</v>
      </c>
      <c r="H721">
        <v>99212</v>
      </c>
      <c r="I721" t="s">
        <v>306</v>
      </c>
      <c r="J721" t="s">
        <v>307</v>
      </c>
      <c r="K721" t="s">
        <v>2</v>
      </c>
      <c r="L721" t="s">
        <v>305</v>
      </c>
      <c r="M721" t="s">
        <v>173</v>
      </c>
      <c r="N721">
        <v>99212</v>
      </c>
      <c r="O721" t="s">
        <v>308</v>
      </c>
      <c r="P721">
        <v>146030</v>
      </c>
      <c r="Q721" t="s">
        <v>46</v>
      </c>
      <c r="R721">
        <v>411610</v>
      </c>
      <c r="S721" t="s">
        <v>84</v>
      </c>
      <c r="T721" s="2">
        <v>15</v>
      </c>
      <c r="U721">
        <v>0</v>
      </c>
      <c r="V721" t="s">
        <v>309</v>
      </c>
      <c r="W721">
        <v>14</v>
      </c>
      <c r="X721">
        <v>14</v>
      </c>
      <c r="Y721">
        <v>0</v>
      </c>
      <c r="Z721" t="s">
        <v>1448</v>
      </c>
      <c r="AA721" t="s">
        <v>1449</v>
      </c>
      <c r="AB721" t="s">
        <v>14</v>
      </c>
      <c r="AC721">
        <v>373.87</v>
      </c>
      <c r="AD721">
        <v>5234.18</v>
      </c>
      <c r="AE721">
        <v>726182083650</v>
      </c>
      <c r="AF721">
        <v>5259.18</v>
      </c>
      <c r="AG721">
        <v>0</v>
      </c>
      <c r="AH721">
        <v>0</v>
      </c>
      <c r="AI721">
        <v>5259.18</v>
      </c>
      <c r="AJ721" t="s">
        <v>2</v>
      </c>
      <c r="AK721" t="s">
        <v>11</v>
      </c>
    </row>
    <row r="722" spans="1:37">
      <c r="A722">
        <v>257809</v>
      </c>
      <c r="B722" s="1">
        <v>45366</v>
      </c>
      <c r="C722" t="s">
        <v>303</v>
      </c>
      <c r="D722" t="s">
        <v>304</v>
      </c>
      <c r="E722" t="s">
        <v>2</v>
      </c>
      <c r="F722" t="s">
        <v>305</v>
      </c>
      <c r="G722" t="s">
        <v>173</v>
      </c>
      <c r="H722">
        <v>99212</v>
      </c>
      <c r="I722" t="s">
        <v>306</v>
      </c>
      <c r="J722" t="s">
        <v>307</v>
      </c>
      <c r="K722" t="s">
        <v>2</v>
      </c>
      <c r="L722" t="s">
        <v>305</v>
      </c>
      <c r="M722" t="s">
        <v>173</v>
      </c>
      <c r="N722">
        <v>99212</v>
      </c>
      <c r="O722" t="s">
        <v>308</v>
      </c>
      <c r="P722">
        <v>146030</v>
      </c>
      <c r="Q722" t="s">
        <v>46</v>
      </c>
      <c r="R722">
        <v>411610</v>
      </c>
      <c r="S722" t="s">
        <v>84</v>
      </c>
      <c r="T722" s="2">
        <v>15</v>
      </c>
      <c r="U722">
        <v>0</v>
      </c>
      <c r="V722" t="s">
        <v>309</v>
      </c>
      <c r="W722">
        <v>0</v>
      </c>
      <c r="X722">
        <v>0</v>
      </c>
      <c r="Y722">
        <v>0</v>
      </c>
      <c r="Z722" t="s">
        <v>88</v>
      </c>
      <c r="AA722" t="s">
        <v>116</v>
      </c>
      <c r="AB722" t="s">
        <v>10</v>
      </c>
      <c r="AC722">
        <v>0</v>
      </c>
      <c r="AD722">
        <v>0</v>
      </c>
      <c r="AE722">
        <v>726182083650</v>
      </c>
      <c r="AF722">
        <v>5259.18</v>
      </c>
      <c r="AG722">
        <v>0</v>
      </c>
      <c r="AH722">
        <v>0</v>
      </c>
      <c r="AI722">
        <v>5259.18</v>
      </c>
      <c r="AJ722" t="s">
        <v>2</v>
      </c>
      <c r="AK722" t="s">
        <v>11</v>
      </c>
    </row>
    <row r="723" spans="1:37">
      <c r="A723">
        <v>257809</v>
      </c>
      <c r="B723" s="1">
        <v>45366</v>
      </c>
      <c r="C723" t="s">
        <v>303</v>
      </c>
      <c r="D723" t="s">
        <v>304</v>
      </c>
      <c r="E723" t="s">
        <v>2</v>
      </c>
      <c r="F723" t="s">
        <v>305</v>
      </c>
      <c r="G723" t="s">
        <v>173</v>
      </c>
      <c r="H723">
        <v>99212</v>
      </c>
      <c r="I723" t="s">
        <v>306</v>
      </c>
      <c r="J723" t="s">
        <v>307</v>
      </c>
      <c r="K723" t="s">
        <v>2</v>
      </c>
      <c r="L723" t="s">
        <v>305</v>
      </c>
      <c r="M723" t="s">
        <v>173</v>
      </c>
      <c r="N723">
        <v>99212</v>
      </c>
      <c r="O723" t="s">
        <v>308</v>
      </c>
      <c r="P723">
        <v>146030</v>
      </c>
      <c r="Q723" t="s">
        <v>46</v>
      </c>
      <c r="R723">
        <v>411610</v>
      </c>
      <c r="S723" t="s">
        <v>84</v>
      </c>
      <c r="T723" s="2">
        <v>15</v>
      </c>
      <c r="U723">
        <v>0</v>
      </c>
      <c r="V723" t="s">
        <v>309</v>
      </c>
      <c r="W723">
        <v>0</v>
      </c>
      <c r="X723">
        <v>0</v>
      </c>
      <c r="Y723">
        <v>0</v>
      </c>
      <c r="Z723" t="s">
        <v>88</v>
      </c>
      <c r="AA723" t="s">
        <v>90</v>
      </c>
      <c r="AB723" t="s">
        <v>10</v>
      </c>
      <c r="AC723">
        <v>0</v>
      </c>
      <c r="AD723">
        <v>0</v>
      </c>
      <c r="AE723">
        <v>726182083650</v>
      </c>
      <c r="AF723">
        <v>5259.18</v>
      </c>
      <c r="AG723">
        <v>0</v>
      </c>
      <c r="AH723">
        <v>0</v>
      </c>
      <c r="AI723">
        <v>5259.18</v>
      </c>
      <c r="AJ723" t="s">
        <v>2</v>
      </c>
      <c r="AK723" t="s">
        <v>11</v>
      </c>
    </row>
    <row r="724" spans="1:37">
      <c r="A724">
        <v>257809</v>
      </c>
      <c r="B724" s="1">
        <v>45366</v>
      </c>
      <c r="C724" t="s">
        <v>303</v>
      </c>
      <c r="D724" t="s">
        <v>304</v>
      </c>
      <c r="E724" t="s">
        <v>2</v>
      </c>
      <c r="F724" t="s">
        <v>305</v>
      </c>
      <c r="G724" t="s">
        <v>173</v>
      </c>
      <c r="H724">
        <v>99212</v>
      </c>
      <c r="I724" t="s">
        <v>306</v>
      </c>
      <c r="J724" t="s">
        <v>307</v>
      </c>
      <c r="K724" t="s">
        <v>2</v>
      </c>
      <c r="L724" t="s">
        <v>305</v>
      </c>
      <c r="M724" t="s">
        <v>173</v>
      </c>
      <c r="N724">
        <v>99212</v>
      </c>
      <c r="O724" t="s">
        <v>308</v>
      </c>
      <c r="P724">
        <v>146030</v>
      </c>
      <c r="Q724" t="s">
        <v>46</v>
      </c>
      <c r="R724">
        <v>411610</v>
      </c>
      <c r="S724" t="s">
        <v>84</v>
      </c>
      <c r="T724" s="2">
        <v>15</v>
      </c>
      <c r="U724">
        <v>0</v>
      </c>
      <c r="V724" t="s">
        <v>309</v>
      </c>
      <c r="W724">
        <v>0</v>
      </c>
      <c r="X724">
        <v>0</v>
      </c>
      <c r="Y724">
        <v>0</v>
      </c>
      <c r="Z724" t="s">
        <v>88</v>
      </c>
      <c r="AA724" t="s">
        <v>117</v>
      </c>
      <c r="AB724" t="s">
        <v>10</v>
      </c>
      <c r="AC724">
        <v>0</v>
      </c>
      <c r="AD724">
        <v>0</v>
      </c>
      <c r="AE724">
        <v>726182083650</v>
      </c>
      <c r="AF724">
        <v>5259.18</v>
      </c>
      <c r="AG724">
        <v>0</v>
      </c>
      <c r="AH724">
        <v>0</v>
      </c>
      <c r="AI724">
        <v>5259.18</v>
      </c>
      <c r="AJ724" t="s">
        <v>2</v>
      </c>
      <c r="AK724" t="s">
        <v>11</v>
      </c>
    </row>
    <row r="725" spans="1:37">
      <c r="A725">
        <v>257809</v>
      </c>
      <c r="B725" s="1">
        <v>45366</v>
      </c>
      <c r="C725" t="s">
        <v>303</v>
      </c>
      <c r="D725" t="s">
        <v>304</v>
      </c>
      <c r="E725" t="s">
        <v>2</v>
      </c>
      <c r="F725" t="s">
        <v>305</v>
      </c>
      <c r="G725" t="s">
        <v>173</v>
      </c>
      <c r="H725">
        <v>99212</v>
      </c>
      <c r="I725" t="s">
        <v>306</v>
      </c>
      <c r="J725" t="s">
        <v>307</v>
      </c>
      <c r="K725" t="s">
        <v>2</v>
      </c>
      <c r="L725" t="s">
        <v>305</v>
      </c>
      <c r="M725" t="s">
        <v>173</v>
      </c>
      <c r="N725">
        <v>99212</v>
      </c>
      <c r="O725" t="s">
        <v>308</v>
      </c>
      <c r="P725">
        <v>146030</v>
      </c>
      <c r="Q725" t="s">
        <v>46</v>
      </c>
      <c r="R725">
        <v>411610</v>
      </c>
      <c r="S725" t="s">
        <v>84</v>
      </c>
      <c r="T725" s="2">
        <v>15</v>
      </c>
      <c r="U725">
        <v>0</v>
      </c>
      <c r="V725" t="s">
        <v>309</v>
      </c>
      <c r="W725">
        <v>0</v>
      </c>
      <c r="X725">
        <v>0</v>
      </c>
      <c r="Y725">
        <v>0</v>
      </c>
      <c r="Z725" t="s">
        <v>88</v>
      </c>
      <c r="AA725" t="e">
        <f>-SPLICE FREE REQUIRED</f>
        <v>#NAME?</v>
      </c>
      <c r="AB725" t="s">
        <v>10</v>
      </c>
      <c r="AC725">
        <v>0</v>
      </c>
      <c r="AD725">
        <v>0</v>
      </c>
      <c r="AE725">
        <v>726182083650</v>
      </c>
      <c r="AF725">
        <v>5259.18</v>
      </c>
      <c r="AG725">
        <v>0</v>
      </c>
      <c r="AH725">
        <v>0</v>
      </c>
      <c r="AI725">
        <v>5259.18</v>
      </c>
      <c r="AJ725" t="s">
        <v>2</v>
      </c>
      <c r="AK725" t="s">
        <v>11</v>
      </c>
    </row>
    <row r="726" spans="1:37">
      <c r="A726">
        <v>257809</v>
      </c>
      <c r="B726" s="1">
        <v>45366</v>
      </c>
      <c r="C726" t="s">
        <v>303</v>
      </c>
      <c r="D726" t="s">
        <v>304</v>
      </c>
      <c r="E726" t="s">
        <v>2</v>
      </c>
      <c r="F726" t="s">
        <v>305</v>
      </c>
      <c r="G726" t="s">
        <v>173</v>
      </c>
      <c r="H726">
        <v>99212</v>
      </c>
      <c r="I726" t="s">
        <v>306</v>
      </c>
      <c r="J726" t="s">
        <v>307</v>
      </c>
      <c r="K726" t="s">
        <v>2</v>
      </c>
      <c r="L726" t="s">
        <v>305</v>
      </c>
      <c r="M726" t="s">
        <v>173</v>
      </c>
      <c r="N726">
        <v>99212</v>
      </c>
      <c r="O726" t="s">
        <v>308</v>
      </c>
      <c r="P726">
        <v>146030</v>
      </c>
      <c r="Q726" t="s">
        <v>46</v>
      </c>
      <c r="R726">
        <v>411610</v>
      </c>
      <c r="S726" t="s">
        <v>84</v>
      </c>
      <c r="T726" s="2">
        <v>15</v>
      </c>
      <c r="U726">
        <v>0</v>
      </c>
      <c r="V726" t="s">
        <v>309</v>
      </c>
      <c r="W726">
        <v>0</v>
      </c>
      <c r="X726">
        <v>0</v>
      </c>
      <c r="Y726">
        <v>0</v>
      </c>
      <c r="Z726" t="s">
        <v>88</v>
      </c>
      <c r="AA726" t="s">
        <v>90</v>
      </c>
      <c r="AB726" t="s">
        <v>10</v>
      </c>
      <c r="AC726">
        <v>0</v>
      </c>
      <c r="AD726">
        <v>0</v>
      </c>
      <c r="AE726">
        <v>726182083650</v>
      </c>
      <c r="AF726">
        <v>5259.18</v>
      </c>
      <c r="AG726">
        <v>0</v>
      </c>
      <c r="AH726">
        <v>0</v>
      </c>
      <c r="AI726">
        <v>5259.18</v>
      </c>
      <c r="AJ726" t="s">
        <v>2</v>
      </c>
      <c r="AK726" t="s">
        <v>11</v>
      </c>
    </row>
    <row r="727" spans="1:37">
      <c r="A727">
        <v>257809</v>
      </c>
      <c r="B727" s="1">
        <v>45366</v>
      </c>
      <c r="C727" t="s">
        <v>303</v>
      </c>
      <c r="D727" t="s">
        <v>304</v>
      </c>
      <c r="E727" t="s">
        <v>2</v>
      </c>
      <c r="F727" t="s">
        <v>305</v>
      </c>
      <c r="G727" t="s">
        <v>173</v>
      </c>
      <c r="H727">
        <v>99212</v>
      </c>
      <c r="I727" t="s">
        <v>306</v>
      </c>
      <c r="J727" t="s">
        <v>307</v>
      </c>
      <c r="K727" t="s">
        <v>2</v>
      </c>
      <c r="L727" t="s">
        <v>305</v>
      </c>
      <c r="M727" t="s">
        <v>173</v>
      </c>
      <c r="N727">
        <v>99212</v>
      </c>
      <c r="O727" t="s">
        <v>308</v>
      </c>
      <c r="P727">
        <v>146030</v>
      </c>
      <c r="Q727" t="s">
        <v>46</v>
      </c>
      <c r="R727">
        <v>411610</v>
      </c>
      <c r="S727" t="s">
        <v>84</v>
      </c>
      <c r="T727" s="2">
        <v>15</v>
      </c>
      <c r="U727">
        <v>0</v>
      </c>
      <c r="V727" t="s">
        <v>309</v>
      </c>
      <c r="W727">
        <v>0</v>
      </c>
      <c r="X727">
        <v>0</v>
      </c>
      <c r="Y727">
        <v>0</v>
      </c>
      <c r="Z727" t="s">
        <v>88</v>
      </c>
      <c r="AA727" t="e">
        <f>-ALL STRIPING IS NON</f>
        <v>#NAME?</v>
      </c>
      <c r="AB727" t="s">
        <v>10</v>
      </c>
      <c r="AC727">
        <v>0</v>
      </c>
      <c r="AD727">
        <v>0</v>
      </c>
      <c r="AE727">
        <v>726182083650</v>
      </c>
      <c r="AF727">
        <v>5259.18</v>
      </c>
      <c r="AG727">
        <v>0</v>
      </c>
      <c r="AH727">
        <v>0</v>
      </c>
      <c r="AI727">
        <v>5259.18</v>
      </c>
      <c r="AJ727" t="s">
        <v>2</v>
      </c>
      <c r="AK727" t="s">
        <v>11</v>
      </c>
    </row>
    <row r="728" spans="1:37">
      <c r="A728">
        <v>257809</v>
      </c>
      <c r="B728" s="1">
        <v>45366</v>
      </c>
      <c r="C728" t="s">
        <v>303</v>
      </c>
      <c r="D728" t="s">
        <v>304</v>
      </c>
      <c r="E728" t="s">
        <v>2</v>
      </c>
      <c r="F728" t="s">
        <v>305</v>
      </c>
      <c r="G728" t="s">
        <v>173</v>
      </c>
      <c r="H728">
        <v>99212</v>
      </c>
      <c r="I728" t="s">
        <v>306</v>
      </c>
      <c r="J728" t="s">
        <v>307</v>
      </c>
      <c r="K728" t="s">
        <v>2</v>
      </c>
      <c r="L728" t="s">
        <v>305</v>
      </c>
      <c r="M728" t="s">
        <v>173</v>
      </c>
      <c r="N728">
        <v>99212</v>
      </c>
      <c r="O728" t="s">
        <v>308</v>
      </c>
      <c r="P728">
        <v>146030</v>
      </c>
      <c r="Q728" t="s">
        <v>46</v>
      </c>
      <c r="R728">
        <v>411610</v>
      </c>
      <c r="S728" t="s">
        <v>84</v>
      </c>
      <c r="T728" s="2">
        <v>15</v>
      </c>
      <c r="U728">
        <v>0</v>
      </c>
      <c r="V728" t="s">
        <v>309</v>
      </c>
      <c r="W728">
        <v>0</v>
      </c>
      <c r="X728">
        <v>0</v>
      </c>
      <c r="Y728">
        <v>0</v>
      </c>
      <c r="Z728" t="s">
        <v>88</v>
      </c>
      <c r="AA728" t="e">
        <f>-CANCELABLE NON RETURNABLE</f>
        <v>#NAME?</v>
      </c>
      <c r="AB728" t="s">
        <v>10</v>
      </c>
      <c r="AC728">
        <v>0</v>
      </c>
      <c r="AD728">
        <v>0</v>
      </c>
      <c r="AE728">
        <v>726182083650</v>
      </c>
      <c r="AF728">
        <v>5259.18</v>
      </c>
      <c r="AG728">
        <v>0</v>
      </c>
      <c r="AH728">
        <v>0</v>
      </c>
      <c r="AI728">
        <v>5259.18</v>
      </c>
      <c r="AJ728" t="s">
        <v>2</v>
      </c>
      <c r="AK728" t="s">
        <v>11</v>
      </c>
    </row>
    <row r="729" spans="1:37">
      <c r="A729">
        <v>257809</v>
      </c>
      <c r="B729" s="1">
        <v>45366</v>
      </c>
      <c r="C729" t="s">
        <v>303</v>
      </c>
      <c r="D729" t="s">
        <v>304</v>
      </c>
      <c r="E729" t="s">
        <v>2</v>
      </c>
      <c r="F729" t="s">
        <v>305</v>
      </c>
      <c r="G729" t="s">
        <v>173</v>
      </c>
      <c r="H729">
        <v>99212</v>
      </c>
      <c r="I729" t="s">
        <v>306</v>
      </c>
      <c r="J729" t="s">
        <v>307</v>
      </c>
      <c r="K729" t="s">
        <v>2</v>
      </c>
      <c r="L729" t="s">
        <v>305</v>
      </c>
      <c r="M729" t="s">
        <v>173</v>
      </c>
      <c r="N729">
        <v>99212</v>
      </c>
      <c r="O729" t="s">
        <v>308</v>
      </c>
      <c r="P729">
        <v>146030</v>
      </c>
      <c r="Q729" t="s">
        <v>46</v>
      </c>
      <c r="R729">
        <v>411610</v>
      </c>
      <c r="S729" t="s">
        <v>84</v>
      </c>
      <c r="T729" s="2">
        <v>15</v>
      </c>
      <c r="U729">
        <v>0</v>
      </c>
      <c r="V729" t="s">
        <v>309</v>
      </c>
      <c r="W729">
        <v>0</v>
      </c>
      <c r="X729">
        <v>0</v>
      </c>
      <c r="Y729">
        <v>0</v>
      </c>
      <c r="Z729" t="s">
        <v>88</v>
      </c>
      <c r="AA729" t="s">
        <v>118</v>
      </c>
      <c r="AB729" t="s">
        <v>10</v>
      </c>
      <c r="AC729">
        <v>0</v>
      </c>
      <c r="AD729">
        <v>0</v>
      </c>
      <c r="AE729">
        <v>726182083650</v>
      </c>
      <c r="AF729">
        <v>5259.18</v>
      </c>
      <c r="AG729">
        <v>0</v>
      </c>
      <c r="AH729">
        <v>0</v>
      </c>
      <c r="AI729">
        <v>5259.18</v>
      </c>
      <c r="AJ729" t="s">
        <v>2</v>
      </c>
      <c r="AK729" t="s">
        <v>11</v>
      </c>
    </row>
    <row r="730" spans="1:37">
      <c r="A730">
        <v>257809</v>
      </c>
      <c r="B730" s="1">
        <v>45366</v>
      </c>
      <c r="C730" t="s">
        <v>303</v>
      </c>
      <c r="D730" t="s">
        <v>304</v>
      </c>
      <c r="E730" t="s">
        <v>2</v>
      </c>
      <c r="F730" t="s">
        <v>305</v>
      </c>
      <c r="G730" t="s">
        <v>173</v>
      </c>
      <c r="H730">
        <v>99212</v>
      </c>
      <c r="I730" t="s">
        <v>306</v>
      </c>
      <c r="J730" t="s">
        <v>307</v>
      </c>
      <c r="K730" t="s">
        <v>2</v>
      </c>
      <c r="L730" t="s">
        <v>305</v>
      </c>
      <c r="M730" t="s">
        <v>173</v>
      </c>
      <c r="N730">
        <v>99212</v>
      </c>
      <c r="O730" t="s">
        <v>308</v>
      </c>
      <c r="P730">
        <v>146030</v>
      </c>
      <c r="Q730" t="s">
        <v>46</v>
      </c>
      <c r="R730">
        <v>411610</v>
      </c>
      <c r="S730" t="s">
        <v>84</v>
      </c>
      <c r="T730" s="2">
        <v>15</v>
      </c>
      <c r="U730">
        <v>0</v>
      </c>
      <c r="V730" t="s">
        <v>309</v>
      </c>
      <c r="W730">
        <v>0</v>
      </c>
      <c r="X730">
        <v>0</v>
      </c>
      <c r="Y730">
        <v>0</v>
      </c>
      <c r="Z730" t="s">
        <v>88</v>
      </c>
      <c r="AA730" t="s">
        <v>119</v>
      </c>
      <c r="AB730" t="s">
        <v>10</v>
      </c>
      <c r="AC730">
        <v>0</v>
      </c>
      <c r="AD730">
        <v>0</v>
      </c>
      <c r="AE730">
        <v>726182083650</v>
      </c>
      <c r="AF730">
        <v>5259.18</v>
      </c>
      <c r="AG730">
        <v>0</v>
      </c>
      <c r="AH730">
        <v>0</v>
      </c>
      <c r="AI730">
        <v>5259.18</v>
      </c>
      <c r="AJ730" t="s">
        <v>2</v>
      </c>
      <c r="AK730" t="s">
        <v>11</v>
      </c>
    </row>
    <row r="731" spans="1:37">
      <c r="A731">
        <v>257809</v>
      </c>
      <c r="B731" s="1">
        <v>45366</v>
      </c>
      <c r="C731" t="s">
        <v>303</v>
      </c>
      <c r="D731" t="s">
        <v>304</v>
      </c>
      <c r="E731" t="s">
        <v>2</v>
      </c>
      <c r="F731" t="s">
        <v>305</v>
      </c>
      <c r="G731" t="s">
        <v>173</v>
      </c>
      <c r="H731">
        <v>99212</v>
      </c>
      <c r="I731" t="s">
        <v>306</v>
      </c>
      <c r="J731" t="s">
        <v>307</v>
      </c>
      <c r="K731" t="s">
        <v>2</v>
      </c>
      <c r="L731" t="s">
        <v>305</v>
      </c>
      <c r="M731" t="s">
        <v>173</v>
      </c>
      <c r="N731">
        <v>99212</v>
      </c>
      <c r="O731" t="s">
        <v>308</v>
      </c>
      <c r="P731">
        <v>146030</v>
      </c>
      <c r="Q731" t="s">
        <v>46</v>
      </c>
      <c r="R731">
        <v>411610</v>
      </c>
      <c r="S731" t="s">
        <v>84</v>
      </c>
      <c r="T731" s="2">
        <v>15</v>
      </c>
      <c r="U731">
        <v>0</v>
      </c>
      <c r="V731" t="s">
        <v>309</v>
      </c>
      <c r="W731">
        <v>1</v>
      </c>
      <c r="X731">
        <v>1</v>
      </c>
      <c r="Y731">
        <v>0</v>
      </c>
      <c r="Z731" t="s">
        <v>183</v>
      </c>
      <c r="AA731" t="s">
        <v>184</v>
      </c>
      <c r="AB731" t="s">
        <v>14</v>
      </c>
      <c r="AC731">
        <v>25</v>
      </c>
      <c r="AD731">
        <v>25</v>
      </c>
      <c r="AE731">
        <v>726182083650</v>
      </c>
      <c r="AF731">
        <v>5259.18</v>
      </c>
      <c r="AG731">
        <v>0</v>
      </c>
      <c r="AH731">
        <v>0</v>
      </c>
      <c r="AI731">
        <v>5259.18</v>
      </c>
      <c r="AJ731" t="s">
        <v>2</v>
      </c>
      <c r="AK731" t="s">
        <v>11</v>
      </c>
    </row>
    <row r="732" spans="1:37">
      <c r="A732">
        <v>257810</v>
      </c>
      <c r="B732" s="1">
        <v>45366</v>
      </c>
      <c r="C732" t="s">
        <v>1152</v>
      </c>
      <c r="D732" t="s">
        <v>1153</v>
      </c>
      <c r="E732" t="s">
        <v>2</v>
      </c>
      <c r="F732" t="s">
        <v>1154</v>
      </c>
      <c r="G732" t="s">
        <v>579</v>
      </c>
      <c r="H732">
        <v>44125</v>
      </c>
      <c r="I732" t="s">
        <v>1450</v>
      </c>
      <c r="J732" t="s">
        <v>1451</v>
      </c>
      <c r="K732" t="s">
        <v>2</v>
      </c>
      <c r="L732" t="s">
        <v>1452</v>
      </c>
      <c r="M732" t="s">
        <v>579</v>
      </c>
      <c r="N732">
        <v>44833</v>
      </c>
      <c r="O732" t="s">
        <v>1158</v>
      </c>
      <c r="P732">
        <v>21126</v>
      </c>
      <c r="Q732" t="s">
        <v>6</v>
      </c>
      <c r="R732">
        <v>415350</v>
      </c>
      <c r="S732" t="s">
        <v>84</v>
      </c>
      <c r="T732" s="2">
        <v>1</v>
      </c>
      <c r="U732">
        <v>0</v>
      </c>
      <c r="V732" t="s">
        <v>260</v>
      </c>
      <c r="W732">
        <v>0</v>
      </c>
      <c r="X732">
        <v>0</v>
      </c>
      <c r="Y732">
        <v>0</v>
      </c>
      <c r="Z732" t="s">
        <v>9</v>
      </c>
      <c r="AA732" t="s">
        <v>2</v>
      </c>
      <c r="AB732" t="s">
        <v>10</v>
      </c>
      <c r="AC732">
        <v>0</v>
      </c>
      <c r="AD732">
        <v>0</v>
      </c>
      <c r="AE732">
        <v>726182083605</v>
      </c>
      <c r="AF732">
        <v>85.21</v>
      </c>
      <c r="AG732">
        <v>0</v>
      </c>
      <c r="AH732">
        <v>25.34</v>
      </c>
      <c r="AI732">
        <v>110.55</v>
      </c>
      <c r="AJ732" t="s">
        <v>2</v>
      </c>
      <c r="AK732" t="s">
        <v>11</v>
      </c>
    </row>
    <row r="733" spans="1:37">
      <c r="A733">
        <v>257810</v>
      </c>
      <c r="B733" s="1">
        <v>45366</v>
      </c>
      <c r="C733" t="s">
        <v>1152</v>
      </c>
      <c r="D733" t="s">
        <v>1153</v>
      </c>
      <c r="E733" t="s">
        <v>2</v>
      </c>
      <c r="F733" t="s">
        <v>1154</v>
      </c>
      <c r="G733" t="s">
        <v>579</v>
      </c>
      <c r="H733">
        <v>44125</v>
      </c>
      <c r="I733" t="s">
        <v>1450</v>
      </c>
      <c r="J733" t="s">
        <v>1451</v>
      </c>
      <c r="K733" t="s">
        <v>2</v>
      </c>
      <c r="L733" t="s">
        <v>1452</v>
      </c>
      <c r="M733" t="s">
        <v>579</v>
      </c>
      <c r="N733">
        <v>44833</v>
      </c>
      <c r="O733" t="s">
        <v>1158</v>
      </c>
      <c r="P733">
        <v>21126</v>
      </c>
      <c r="Q733" t="s">
        <v>6</v>
      </c>
      <c r="R733">
        <v>415350</v>
      </c>
      <c r="S733" t="s">
        <v>84</v>
      </c>
      <c r="T733" s="2">
        <v>1</v>
      </c>
      <c r="U733">
        <v>0</v>
      </c>
      <c r="V733" t="s">
        <v>260</v>
      </c>
      <c r="W733">
        <v>1</v>
      </c>
      <c r="X733">
        <v>1</v>
      </c>
      <c r="Y733">
        <v>0</v>
      </c>
      <c r="Z733" t="s">
        <v>1453</v>
      </c>
      <c r="AA733" t="s">
        <v>1454</v>
      </c>
      <c r="AB733" t="s">
        <v>14</v>
      </c>
      <c r="AC733">
        <v>85.213499999999996</v>
      </c>
      <c r="AD733">
        <v>85.21</v>
      </c>
      <c r="AE733">
        <v>726182083605</v>
      </c>
      <c r="AF733">
        <v>85.21</v>
      </c>
      <c r="AG733">
        <v>0</v>
      </c>
      <c r="AH733">
        <v>25.34</v>
      </c>
      <c r="AI733">
        <v>110.55</v>
      </c>
      <c r="AJ733" t="s">
        <v>2</v>
      </c>
      <c r="AK733" t="s">
        <v>11</v>
      </c>
    </row>
    <row r="734" spans="1:37">
      <c r="A734">
        <v>257810</v>
      </c>
      <c r="B734" s="1">
        <v>45366</v>
      </c>
      <c r="C734" t="s">
        <v>1152</v>
      </c>
      <c r="D734" t="s">
        <v>1153</v>
      </c>
      <c r="E734" t="s">
        <v>2</v>
      </c>
      <c r="F734" t="s">
        <v>1154</v>
      </c>
      <c r="G734" t="s">
        <v>579</v>
      </c>
      <c r="H734">
        <v>44125</v>
      </c>
      <c r="I734" t="s">
        <v>1450</v>
      </c>
      <c r="J734" t="s">
        <v>1451</v>
      </c>
      <c r="K734" t="s">
        <v>2</v>
      </c>
      <c r="L734" t="s">
        <v>1452</v>
      </c>
      <c r="M734" t="s">
        <v>579</v>
      </c>
      <c r="N734">
        <v>44833</v>
      </c>
      <c r="O734" t="s">
        <v>1158</v>
      </c>
      <c r="P734">
        <v>21126</v>
      </c>
      <c r="Q734" t="s">
        <v>6</v>
      </c>
      <c r="R734">
        <v>415350</v>
      </c>
      <c r="S734" t="s">
        <v>84</v>
      </c>
      <c r="T734" s="2">
        <v>1</v>
      </c>
      <c r="U734">
        <v>0</v>
      </c>
      <c r="V734" t="s">
        <v>260</v>
      </c>
      <c r="W734">
        <v>0</v>
      </c>
      <c r="X734">
        <v>0</v>
      </c>
      <c r="Y734">
        <v>0</v>
      </c>
      <c r="Z734" t="s">
        <v>88</v>
      </c>
      <c r="AA734" t="s">
        <v>317</v>
      </c>
      <c r="AB734" t="s">
        <v>10</v>
      </c>
      <c r="AC734">
        <v>0</v>
      </c>
      <c r="AD734">
        <v>0</v>
      </c>
      <c r="AE734">
        <v>726182083605</v>
      </c>
      <c r="AF734">
        <v>85.21</v>
      </c>
      <c r="AG734">
        <v>0</v>
      </c>
      <c r="AH734">
        <v>25.34</v>
      </c>
      <c r="AI734">
        <v>110.55</v>
      </c>
      <c r="AJ734" t="s">
        <v>2</v>
      </c>
      <c r="AK734" t="s">
        <v>11</v>
      </c>
    </row>
    <row r="735" spans="1:37">
      <c r="A735">
        <v>257810</v>
      </c>
      <c r="B735" s="1">
        <v>45366</v>
      </c>
      <c r="C735" t="s">
        <v>1152</v>
      </c>
      <c r="D735" t="s">
        <v>1153</v>
      </c>
      <c r="E735" t="s">
        <v>2</v>
      </c>
      <c r="F735" t="s">
        <v>1154</v>
      </c>
      <c r="G735" t="s">
        <v>579</v>
      </c>
      <c r="H735">
        <v>44125</v>
      </c>
      <c r="I735" t="s">
        <v>1450</v>
      </c>
      <c r="J735" t="s">
        <v>1451</v>
      </c>
      <c r="K735" t="s">
        <v>2</v>
      </c>
      <c r="L735" t="s">
        <v>1452</v>
      </c>
      <c r="M735" t="s">
        <v>579</v>
      </c>
      <c r="N735">
        <v>44833</v>
      </c>
      <c r="O735" t="s">
        <v>1158</v>
      </c>
      <c r="P735">
        <v>21126</v>
      </c>
      <c r="Q735" t="s">
        <v>6</v>
      </c>
      <c r="R735">
        <v>415350</v>
      </c>
      <c r="S735" t="s">
        <v>84</v>
      </c>
      <c r="T735" s="2">
        <v>1</v>
      </c>
      <c r="U735">
        <v>0</v>
      </c>
      <c r="V735" t="s">
        <v>260</v>
      </c>
      <c r="W735">
        <v>0</v>
      </c>
      <c r="X735">
        <v>0</v>
      </c>
      <c r="Y735">
        <v>0</v>
      </c>
      <c r="Z735" t="s">
        <v>88</v>
      </c>
      <c r="AA735" t="s">
        <v>1455</v>
      </c>
      <c r="AB735" t="s">
        <v>10</v>
      </c>
      <c r="AC735">
        <v>0</v>
      </c>
      <c r="AD735">
        <v>0</v>
      </c>
      <c r="AE735">
        <v>726182083605</v>
      </c>
      <c r="AF735">
        <v>85.21</v>
      </c>
      <c r="AG735">
        <v>0</v>
      </c>
      <c r="AH735">
        <v>25.34</v>
      </c>
      <c r="AI735">
        <v>110.55</v>
      </c>
      <c r="AJ735" t="s">
        <v>2</v>
      </c>
      <c r="AK735" t="s">
        <v>11</v>
      </c>
    </row>
    <row r="736" spans="1:37">
      <c r="A736">
        <v>257810</v>
      </c>
      <c r="B736" s="1">
        <v>45366</v>
      </c>
      <c r="C736" t="s">
        <v>1152</v>
      </c>
      <c r="D736" t="s">
        <v>1153</v>
      </c>
      <c r="E736" t="s">
        <v>2</v>
      </c>
      <c r="F736" t="s">
        <v>1154</v>
      </c>
      <c r="G736" t="s">
        <v>579</v>
      </c>
      <c r="H736">
        <v>44125</v>
      </c>
      <c r="I736" t="s">
        <v>1450</v>
      </c>
      <c r="J736" t="s">
        <v>1451</v>
      </c>
      <c r="K736" t="s">
        <v>2</v>
      </c>
      <c r="L736" t="s">
        <v>1452</v>
      </c>
      <c r="M736" t="s">
        <v>579</v>
      </c>
      <c r="N736">
        <v>44833</v>
      </c>
      <c r="O736" t="s">
        <v>1158</v>
      </c>
      <c r="P736">
        <v>21126</v>
      </c>
      <c r="Q736" t="s">
        <v>6</v>
      </c>
      <c r="R736">
        <v>415350</v>
      </c>
      <c r="S736" t="s">
        <v>84</v>
      </c>
      <c r="T736" s="2">
        <v>1</v>
      </c>
      <c r="U736">
        <v>0</v>
      </c>
      <c r="V736" t="s">
        <v>260</v>
      </c>
      <c r="W736">
        <v>0</v>
      </c>
      <c r="X736">
        <v>0</v>
      </c>
      <c r="Y736">
        <v>0</v>
      </c>
      <c r="Z736" t="s">
        <v>88</v>
      </c>
      <c r="AA736" t="s">
        <v>2</v>
      </c>
      <c r="AB736" t="s">
        <v>10</v>
      </c>
      <c r="AC736">
        <v>0</v>
      </c>
      <c r="AD736">
        <v>0</v>
      </c>
      <c r="AE736">
        <v>726182083605</v>
      </c>
      <c r="AF736">
        <v>85.21</v>
      </c>
      <c r="AG736">
        <v>0</v>
      </c>
      <c r="AH736">
        <v>25.34</v>
      </c>
      <c r="AI736">
        <v>110.55</v>
      </c>
      <c r="AJ736" t="s">
        <v>2</v>
      </c>
      <c r="AK736" t="s">
        <v>11</v>
      </c>
    </row>
    <row r="737" spans="1:37">
      <c r="A737">
        <v>257810</v>
      </c>
      <c r="B737" s="1">
        <v>45366</v>
      </c>
      <c r="C737" t="s">
        <v>1152</v>
      </c>
      <c r="D737" t="s">
        <v>1153</v>
      </c>
      <c r="E737" t="s">
        <v>2</v>
      </c>
      <c r="F737" t="s">
        <v>1154</v>
      </c>
      <c r="G737" t="s">
        <v>579</v>
      </c>
      <c r="H737">
        <v>44125</v>
      </c>
      <c r="I737" t="s">
        <v>1450</v>
      </c>
      <c r="J737" t="s">
        <v>1451</v>
      </c>
      <c r="K737" t="s">
        <v>2</v>
      </c>
      <c r="L737" t="s">
        <v>1452</v>
      </c>
      <c r="M737" t="s">
        <v>579</v>
      </c>
      <c r="N737">
        <v>44833</v>
      </c>
      <c r="O737" t="s">
        <v>1158</v>
      </c>
      <c r="P737">
        <v>21126</v>
      </c>
      <c r="Q737" t="s">
        <v>6</v>
      </c>
      <c r="R737">
        <v>415350</v>
      </c>
      <c r="S737" t="s">
        <v>84</v>
      </c>
      <c r="T737" s="2">
        <v>1</v>
      </c>
      <c r="U737">
        <v>0</v>
      </c>
      <c r="V737" t="s">
        <v>260</v>
      </c>
      <c r="W737">
        <v>0</v>
      </c>
      <c r="X737">
        <v>0</v>
      </c>
      <c r="Y737">
        <v>0</v>
      </c>
      <c r="Z737" t="s">
        <v>88</v>
      </c>
      <c r="AA737" t="s">
        <v>1456</v>
      </c>
      <c r="AB737" t="s">
        <v>10</v>
      </c>
      <c r="AC737">
        <v>0</v>
      </c>
      <c r="AD737">
        <v>0</v>
      </c>
      <c r="AE737">
        <v>726182083605</v>
      </c>
      <c r="AF737">
        <v>85.21</v>
      </c>
      <c r="AG737">
        <v>0</v>
      </c>
      <c r="AH737">
        <v>25.34</v>
      </c>
      <c r="AI737">
        <v>110.55</v>
      </c>
      <c r="AJ737" t="s">
        <v>2</v>
      </c>
      <c r="AK737" t="s">
        <v>11</v>
      </c>
    </row>
    <row r="738" spans="1:37">
      <c r="A738">
        <v>257811</v>
      </c>
      <c r="B738" s="1">
        <v>45366</v>
      </c>
      <c r="C738" t="s">
        <v>1457</v>
      </c>
      <c r="D738" t="s">
        <v>1458</v>
      </c>
      <c r="E738" t="s">
        <v>2</v>
      </c>
      <c r="F738" t="s">
        <v>1459</v>
      </c>
      <c r="G738" t="s">
        <v>35</v>
      </c>
      <c r="H738">
        <v>63144</v>
      </c>
      <c r="I738" t="s">
        <v>1460</v>
      </c>
      <c r="J738" t="s">
        <v>1461</v>
      </c>
      <c r="K738" t="s">
        <v>1462</v>
      </c>
      <c r="L738" t="s">
        <v>1463</v>
      </c>
      <c r="M738" t="s">
        <v>439</v>
      </c>
      <c r="N738" t="s">
        <v>1464</v>
      </c>
      <c r="O738" t="s">
        <v>1465</v>
      </c>
      <c r="P738">
        <v>960432</v>
      </c>
      <c r="Q738" t="s">
        <v>21</v>
      </c>
      <c r="R738">
        <v>415381</v>
      </c>
      <c r="S738" t="s">
        <v>84</v>
      </c>
      <c r="T738" s="2">
        <v>2</v>
      </c>
      <c r="U738">
        <v>0</v>
      </c>
      <c r="V738" t="s">
        <v>236</v>
      </c>
      <c r="W738">
        <v>0</v>
      </c>
      <c r="X738">
        <v>0</v>
      </c>
      <c r="Y738">
        <v>0</v>
      </c>
      <c r="Z738" t="s">
        <v>9</v>
      </c>
      <c r="AA738" t="s">
        <v>2</v>
      </c>
      <c r="AB738" t="s">
        <v>10</v>
      </c>
      <c r="AC738">
        <v>0</v>
      </c>
      <c r="AD738">
        <v>0</v>
      </c>
      <c r="AE738">
        <v>726182083720</v>
      </c>
      <c r="AF738">
        <v>155.25</v>
      </c>
      <c r="AG738">
        <v>0</v>
      </c>
      <c r="AH738">
        <v>27.39</v>
      </c>
      <c r="AI738">
        <v>182.64</v>
      </c>
      <c r="AJ738" t="s">
        <v>2</v>
      </c>
      <c r="AK738" t="s">
        <v>11</v>
      </c>
    </row>
    <row r="739" spans="1:37">
      <c r="A739">
        <v>257811</v>
      </c>
      <c r="B739" s="1">
        <v>45366</v>
      </c>
      <c r="C739" t="s">
        <v>1457</v>
      </c>
      <c r="D739" t="s">
        <v>1458</v>
      </c>
      <c r="E739" t="s">
        <v>2</v>
      </c>
      <c r="F739" t="s">
        <v>1459</v>
      </c>
      <c r="G739" t="s">
        <v>35</v>
      </c>
      <c r="H739">
        <v>63144</v>
      </c>
      <c r="I739" t="s">
        <v>1460</v>
      </c>
      <c r="J739" t="s">
        <v>1461</v>
      </c>
      <c r="K739" t="s">
        <v>1462</v>
      </c>
      <c r="L739" t="s">
        <v>1463</v>
      </c>
      <c r="M739" t="s">
        <v>439</v>
      </c>
      <c r="N739" t="s">
        <v>1464</v>
      </c>
      <c r="O739" t="s">
        <v>1465</v>
      </c>
      <c r="P739">
        <v>960432</v>
      </c>
      <c r="Q739" t="s">
        <v>21</v>
      </c>
      <c r="R739">
        <v>415381</v>
      </c>
      <c r="S739" t="s">
        <v>84</v>
      </c>
      <c r="T739" s="2">
        <v>2</v>
      </c>
      <c r="U739">
        <v>0</v>
      </c>
      <c r="V739" t="s">
        <v>236</v>
      </c>
      <c r="W739">
        <v>1</v>
      </c>
      <c r="X739">
        <v>1</v>
      </c>
      <c r="Y739">
        <v>0</v>
      </c>
      <c r="Z739" t="s">
        <v>1466</v>
      </c>
      <c r="AA739" t="s">
        <v>1467</v>
      </c>
      <c r="AB739" t="s">
        <v>14</v>
      </c>
      <c r="AC739">
        <v>76.103800000000007</v>
      </c>
      <c r="AD739">
        <v>76.099999999999994</v>
      </c>
      <c r="AE739">
        <v>726182083720</v>
      </c>
      <c r="AF739">
        <v>155.25</v>
      </c>
      <c r="AG739">
        <v>0</v>
      </c>
      <c r="AH739">
        <v>27.39</v>
      </c>
      <c r="AI739">
        <v>182.64</v>
      </c>
      <c r="AJ739" t="s">
        <v>2</v>
      </c>
      <c r="AK739" t="s">
        <v>11</v>
      </c>
    </row>
    <row r="740" spans="1:37">
      <c r="A740">
        <v>257811</v>
      </c>
      <c r="B740" s="1">
        <v>45366</v>
      </c>
      <c r="C740" t="s">
        <v>1457</v>
      </c>
      <c r="D740" t="s">
        <v>1458</v>
      </c>
      <c r="E740" t="s">
        <v>2</v>
      </c>
      <c r="F740" t="s">
        <v>1459</v>
      </c>
      <c r="G740" t="s">
        <v>35</v>
      </c>
      <c r="H740">
        <v>63144</v>
      </c>
      <c r="I740" t="s">
        <v>1460</v>
      </c>
      <c r="J740" t="s">
        <v>1461</v>
      </c>
      <c r="K740" t="s">
        <v>1462</v>
      </c>
      <c r="L740" t="s">
        <v>1463</v>
      </c>
      <c r="M740" t="s">
        <v>439</v>
      </c>
      <c r="N740" t="s">
        <v>1464</v>
      </c>
      <c r="O740" t="s">
        <v>1465</v>
      </c>
      <c r="P740">
        <v>960432</v>
      </c>
      <c r="Q740" t="s">
        <v>21</v>
      </c>
      <c r="R740">
        <v>415381</v>
      </c>
      <c r="S740" t="s">
        <v>84</v>
      </c>
      <c r="T740" s="2">
        <v>2</v>
      </c>
      <c r="U740">
        <v>0</v>
      </c>
      <c r="V740" t="s">
        <v>236</v>
      </c>
      <c r="W740">
        <v>0</v>
      </c>
      <c r="X740">
        <v>0</v>
      </c>
      <c r="Y740">
        <v>0</v>
      </c>
      <c r="Z740" t="s">
        <v>88</v>
      </c>
      <c r="AA740" t="s">
        <v>144</v>
      </c>
      <c r="AB740" t="s">
        <v>10</v>
      </c>
      <c r="AC740">
        <v>0</v>
      </c>
      <c r="AD740">
        <v>0</v>
      </c>
      <c r="AE740">
        <v>726182083720</v>
      </c>
      <c r="AF740">
        <v>155.25</v>
      </c>
      <c r="AG740">
        <v>0</v>
      </c>
      <c r="AH740">
        <v>27.39</v>
      </c>
      <c r="AI740">
        <v>182.64</v>
      </c>
      <c r="AJ740" t="s">
        <v>2</v>
      </c>
      <c r="AK740" t="s">
        <v>11</v>
      </c>
    </row>
    <row r="741" spans="1:37">
      <c r="A741">
        <v>257811</v>
      </c>
      <c r="B741" s="1">
        <v>45366</v>
      </c>
      <c r="C741" t="s">
        <v>1457</v>
      </c>
      <c r="D741" t="s">
        <v>1458</v>
      </c>
      <c r="E741" t="s">
        <v>2</v>
      </c>
      <c r="F741" t="s">
        <v>1459</v>
      </c>
      <c r="G741" t="s">
        <v>35</v>
      </c>
      <c r="H741">
        <v>63144</v>
      </c>
      <c r="I741" t="s">
        <v>1460</v>
      </c>
      <c r="J741" t="s">
        <v>1461</v>
      </c>
      <c r="K741" t="s">
        <v>1462</v>
      </c>
      <c r="L741" t="s">
        <v>1463</v>
      </c>
      <c r="M741" t="s">
        <v>439</v>
      </c>
      <c r="N741" t="s">
        <v>1464</v>
      </c>
      <c r="O741" t="s">
        <v>1465</v>
      </c>
      <c r="P741">
        <v>960432</v>
      </c>
      <c r="Q741" t="s">
        <v>21</v>
      </c>
      <c r="R741">
        <v>415381</v>
      </c>
      <c r="S741" t="s">
        <v>84</v>
      </c>
      <c r="T741" s="2">
        <v>2</v>
      </c>
      <c r="U741">
        <v>0</v>
      </c>
      <c r="V741" t="s">
        <v>236</v>
      </c>
      <c r="W741">
        <v>1</v>
      </c>
      <c r="X741">
        <v>1</v>
      </c>
      <c r="Y741">
        <v>0</v>
      </c>
      <c r="Z741" t="s">
        <v>1468</v>
      </c>
      <c r="AA741" t="s">
        <v>1469</v>
      </c>
      <c r="AB741" t="s">
        <v>14</v>
      </c>
      <c r="AC741">
        <v>79.147900000000007</v>
      </c>
      <c r="AD741">
        <v>79.150000000000006</v>
      </c>
      <c r="AE741">
        <v>726182083720</v>
      </c>
      <c r="AF741">
        <v>155.25</v>
      </c>
      <c r="AG741">
        <v>0</v>
      </c>
      <c r="AH741">
        <v>27.39</v>
      </c>
      <c r="AI741">
        <v>182.64</v>
      </c>
      <c r="AJ741" t="s">
        <v>2</v>
      </c>
      <c r="AK741" t="s">
        <v>11</v>
      </c>
    </row>
    <row r="742" spans="1:37">
      <c r="A742">
        <v>257811</v>
      </c>
      <c r="B742" s="1">
        <v>45366</v>
      </c>
      <c r="C742" t="s">
        <v>1457</v>
      </c>
      <c r="D742" t="s">
        <v>1458</v>
      </c>
      <c r="E742" t="s">
        <v>2</v>
      </c>
      <c r="F742" t="s">
        <v>1459</v>
      </c>
      <c r="G742" t="s">
        <v>35</v>
      </c>
      <c r="H742">
        <v>63144</v>
      </c>
      <c r="I742" t="s">
        <v>1460</v>
      </c>
      <c r="J742" t="s">
        <v>1461</v>
      </c>
      <c r="K742" t="s">
        <v>1462</v>
      </c>
      <c r="L742" t="s">
        <v>1463</v>
      </c>
      <c r="M742" t="s">
        <v>439</v>
      </c>
      <c r="N742" t="s">
        <v>1464</v>
      </c>
      <c r="O742" t="s">
        <v>1465</v>
      </c>
      <c r="P742">
        <v>960432</v>
      </c>
      <c r="Q742" t="s">
        <v>21</v>
      </c>
      <c r="R742">
        <v>415381</v>
      </c>
      <c r="S742" t="s">
        <v>84</v>
      </c>
      <c r="T742" s="2">
        <v>2</v>
      </c>
      <c r="U742">
        <v>0</v>
      </c>
      <c r="V742" t="s">
        <v>236</v>
      </c>
      <c r="W742">
        <v>0</v>
      </c>
      <c r="X742">
        <v>0</v>
      </c>
      <c r="Y742">
        <v>0</v>
      </c>
      <c r="Z742" t="s">
        <v>88</v>
      </c>
      <c r="AA742" t="s">
        <v>144</v>
      </c>
      <c r="AB742" t="s">
        <v>10</v>
      </c>
      <c r="AC742">
        <v>0</v>
      </c>
      <c r="AD742">
        <v>0</v>
      </c>
      <c r="AE742">
        <v>726182083720</v>
      </c>
      <c r="AF742">
        <v>155.25</v>
      </c>
      <c r="AG742">
        <v>0</v>
      </c>
      <c r="AH742">
        <v>27.39</v>
      </c>
      <c r="AI742">
        <v>182.64</v>
      </c>
      <c r="AJ742" t="s">
        <v>2</v>
      </c>
      <c r="AK742" t="s">
        <v>11</v>
      </c>
    </row>
    <row r="743" spans="1:37">
      <c r="A743">
        <v>257812</v>
      </c>
      <c r="B743" s="1">
        <v>45366</v>
      </c>
      <c r="C743" t="s">
        <v>930</v>
      </c>
      <c r="D743" t="s">
        <v>931</v>
      </c>
      <c r="E743" t="s">
        <v>932</v>
      </c>
      <c r="F743" t="s">
        <v>933</v>
      </c>
      <c r="G743" t="s">
        <v>103</v>
      </c>
      <c r="H743">
        <v>12205</v>
      </c>
      <c r="I743" t="s">
        <v>1470</v>
      </c>
      <c r="J743" t="s">
        <v>1471</v>
      </c>
      <c r="K743" t="s">
        <v>1472</v>
      </c>
      <c r="L743" t="s">
        <v>1473</v>
      </c>
      <c r="M743" t="s">
        <v>103</v>
      </c>
      <c r="N743">
        <v>13803</v>
      </c>
      <c r="O743" t="s">
        <v>939</v>
      </c>
      <c r="P743">
        <v>960420</v>
      </c>
      <c r="Q743" t="s">
        <v>21</v>
      </c>
      <c r="R743">
        <v>415352</v>
      </c>
      <c r="S743" t="s">
        <v>84</v>
      </c>
      <c r="T743" s="2">
        <v>1</v>
      </c>
      <c r="U743">
        <v>0</v>
      </c>
      <c r="V743" t="s">
        <v>236</v>
      </c>
      <c r="W743">
        <v>0</v>
      </c>
      <c r="X743">
        <v>0</v>
      </c>
      <c r="Y743">
        <v>0</v>
      </c>
      <c r="Z743" t="s">
        <v>9</v>
      </c>
      <c r="AA743" t="s">
        <v>2</v>
      </c>
      <c r="AB743" t="s">
        <v>10</v>
      </c>
      <c r="AC743">
        <v>0</v>
      </c>
      <c r="AD743">
        <v>0</v>
      </c>
      <c r="AE743">
        <v>726182083811</v>
      </c>
      <c r="AF743">
        <v>79.150000000000006</v>
      </c>
      <c r="AG743">
        <v>0</v>
      </c>
      <c r="AH743">
        <v>28.57</v>
      </c>
      <c r="AI743">
        <v>107.72</v>
      </c>
      <c r="AJ743" t="s">
        <v>2</v>
      </c>
      <c r="AK743" t="s">
        <v>11</v>
      </c>
    </row>
    <row r="744" spans="1:37">
      <c r="A744">
        <v>257812</v>
      </c>
      <c r="B744" s="1">
        <v>45366</v>
      </c>
      <c r="C744" t="s">
        <v>930</v>
      </c>
      <c r="D744" t="s">
        <v>931</v>
      </c>
      <c r="E744" t="s">
        <v>932</v>
      </c>
      <c r="F744" t="s">
        <v>933</v>
      </c>
      <c r="G744" t="s">
        <v>103</v>
      </c>
      <c r="H744">
        <v>12205</v>
      </c>
      <c r="I744" t="s">
        <v>1470</v>
      </c>
      <c r="J744" t="s">
        <v>1471</v>
      </c>
      <c r="K744" t="s">
        <v>1472</v>
      </c>
      <c r="L744" t="s">
        <v>1473</v>
      </c>
      <c r="M744" t="s">
        <v>103</v>
      </c>
      <c r="N744">
        <v>13803</v>
      </c>
      <c r="O744" t="s">
        <v>939</v>
      </c>
      <c r="P744">
        <v>960420</v>
      </c>
      <c r="Q744" t="s">
        <v>21</v>
      </c>
      <c r="R744">
        <v>415352</v>
      </c>
      <c r="S744" t="s">
        <v>84</v>
      </c>
      <c r="T744" s="2">
        <v>1</v>
      </c>
      <c r="U744">
        <v>0</v>
      </c>
      <c r="V744" t="s">
        <v>236</v>
      </c>
      <c r="W744">
        <v>1</v>
      </c>
      <c r="X744">
        <v>1</v>
      </c>
      <c r="Y744">
        <v>0</v>
      </c>
      <c r="Z744" t="s">
        <v>1474</v>
      </c>
      <c r="AA744" t="s">
        <v>1475</v>
      </c>
      <c r="AB744" t="s">
        <v>14</v>
      </c>
      <c r="AC744">
        <v>79.147900000000007</v>
      </c>
      <c r="AD744">
        <v>79.150000000000006</v>
      </c>
      <c r="AE744">
        <v>726182083811</v>
      </c>
      <c r="AF744">
        <v>79.150000000000006</v>
      </c>
      <c r="AG744">
        <v>0</v>
      </c>
      <c r="AH744">
        <v>28.57</v>
      </c>
      <c r="AI744">
        <v>107.72</v>
      </c>
      <c r="AJ744" t="s">
        <v>2</v>
      </c>
      <c r="AK744" t="s">
        <v>11</v>
      </c>
    </row>
    <row r="745" spans="1:37">
      <c r="A745">
        <v>257812</v>
      </c>
      <c r="B745" s="1">
        <v>45366</v>
      </c>
      <c r="C745" t="s">
        <v>930</v>
      </c>
      <c r="D745" t="s">
        <v>931</v>
      </c>
      <c r="E745" t="s">
        <v>932</v>
      </c>
      <c r="F745" t="s">
        <v>933</v>
      </c>
      <c r="G745" t="s">
        <v>103</v>
      </c>
      <c r="H745">
        <v>12205</v>
      </c>
      <c r="I745" t="s">
        <v>1470</v>
      </c>
      <c r="J745" t="s">
        <v>1471</v>
      </c>
      <c r="K745" t="s">
        <v>1472</v>
      </c>
      <c r="L745" t="s">
        <v>1473</v>
      </c>
      <c r="M745" t="s">
        <v>103</v>
      </c>
      <c r="N745">
        <v>13803</v>
      </c>
      <c r="O745" t="s">
        <v>939</v>
      </c>
      <c r="P745">
        <v>960420</v>
      </c>
      <c r="Q745" t="s">
        <v>21</v>
      </c>
      <c r="R745">
        <v>415352</v>
      </c>
      <c r="S745" t="s">
        <v>84</v>
      </c>
      <c r="T745" s="2">
        <v>1</v>
      </c>
      <c r="U745">
        <v>0</v>
      </c>
      <c r="V745" t="s">
        <v>236</v>
      </c>
      <c r="W745">
        <v>0</v>
      </c>
      <c r="X745">
        <v>0</v>
      </c>
      <c r="Y745">
        <v>0</v>
      </c>
      <c r="Z745" t="s">
        <v>88</v>
      </c>
      <c r="AA745" t="s">
        <v>144</v>
      </c>
      <c r="AB745" t="s">
        <v>10</v>
      </c>
      <c r="AC745">
        <v>0</v>
      </c>
      <c r="AD745">
        <v>0</v>
      </c>
      <c r="AE745">
        <v>726182083811</v>
      </c>
      <c r="AF745">
        <v>79.150000000000006</v>
      </c>
      <c r="AG745">
        <v>0</v>
      </c>
      <c r="AH745">
        <v>28.57</v>
      </c>
      <c r="AI745">
        <v>107.72</v>
      </c>
      <c r="AJ745" t="s">
        <v>2</v>
      </c>
      <c r="AK745" t="s">
        <v>11</v>
      </c>
    </row>
    <row r="746" spans="1:37">
      <c r="A746">
        <v>257813</v>
      </c>
      <c r="B746" s="1">
        <v>45366</v>
      </c>
      <c r="C746" t="s">
        <v>1476</v>
      </c>
      <c r="D746" t="s">
        <v>1477</v>
      </c>
      <c r="E746" t="s">
        <v>1196</v>
      </c>
      <c r="F746" t="s">
        <v>1374</v>
      </c>
      <c r="G746" t="s">
        <v>575</v>
      </c>
      <c r="H746">
        <v>49548</v>
      </c>
      <c r="I746" t="s">
        <v>1478</v>
      </c>
      <c r="J746" t="s">
        <v>1479</v>
      </c>
      <c r="K746" t="s">
        <v>2</v>
      </c>
      <c r="L746" t="s">
        <v>1480</v>
      </c>
      <c r="M746" t="s">
        <v>587</v>
      </c>
      <c r="N746" t="s">
        <v>1481</v>
      </c>
      <c r="O746" t="s">
        <v>1482</v>
      </c>
      <c r="P746">
        <v>2277457</v>
      </c>
      <c r="Q746" t="s">
        <v>38</v>
      </c>
      <c r="R746">
        <v>415086</v>
      </c>
      <c r="S746" t="s">
        <v>84</v>
      </c>
      <c r="T746" s="2">
        <v>4</v>
      </c>
      <c r="U746">
        <v>0</v>
      </c>
      <c r="V746" t="s">
        <v>153</v>
      </c>
      <c r="W746">
        <v>0</v>
      </c>
      <c r="X746">
        <v>0</v>
      </c>
      <c r="Y746">
        <v>0</v>
      </c>
      <c r="Z746" t="s">
        <v>9</v>
      </c>
      <c r="AA746" t="s">
        <v>2</v>
      </c>
      <c r="AB746" t="s">
        <v>10</v>
      </c>
      <c r="AC746">
        <v>0</v>
      </c>
      <c r="AD746">
        <v>0</v>
      </c>
      <c r="AE746">
        <v>726182083947</v>
      </c>
      <c r="AF746">
        <v>2629.02</v>
      </c>
      <c r="AG746">
        <v>0</v>
      </c>
      <c r="AH746">
        <v>0</v>
      </c>
      <c r="AI746">
        <v>2629.02</v>
      </c>
      <c r="AJ746" t="s">
        <v>2</v>
      </c>
      <c r="AK746" t="s">
        <v>11</v>
      </c>
    </row>
    <row r="747" spans="1:37">
      <c r="A747">
        <v>257813</v>
      </c>
      <c r="B747" s="1">
        <v>45366</v>
      </c>
      <c r="C747" t="s">
        <v>1476</v>
      </c>
      <c r="D747" t="s">
        <v>1477</v>
      </c>
      <c r="E747" t="s">
        <v>1196</v>
      </c>
      <c r="F747" t="s">
        <v>1374</v>
      </c>
      <c r="G747" t="s">
        <v>575</v>
      </c>
      <c r="H747">
        <v>49548</v>
      </c>
      <c r="I747" t="s">
        <v>1478</v>
      </c>
      <c r="J747" t="s">
        <v>1479</v>
      </c>
      <c r="K747" t="s">
        <v>2</v>
      </c>
      <c r="L747" t="s">
        <v>1480</v>
      </c>
      <c r="M747" t="s">
        <v>587</v>
      </c>
      <c r="N747" t="s">
        <v>1481</v>
      </c>
      <c r="O747" t="s">
        <v>1482</v>
      </c>
      <c r="P747">
        <v>2277457</v>
      </c>
      <c r="Q747" t="s">
        <v>38</v>
      </c>
      <c r="R747">
        <v>415086</v>
      </c>
      <c r="S747" t="s">
        <v>84</v>
      </c>
      <c r="T747" s="2">
        <v>4</v>
      </c>
      <c r="U747">
        <v>0</v>
      </c>
      <c r="V747" t="s">
        <v>153</v>
      </c>
      <c r="W747">
        <v>1</v>
      </c>
      <c r="X747">
        <v>1</v>
      </c>
      <c r="Y747">
        <v>0</v>
      </c>
      <c r="Z747" t="s">
        <v>743</v>
      </c>
      <c r="AA747" t="s">
        <v>744</v>
      </c>
      <c r="AB747" t="s">
        <v>14</v>
      </c>
      <c r="AC747">
        <v>247.44</v>
      </c>
      <c r="AD747">
        <v>247.44</v>
      </c>
      <c r="AE747">
        <v>726182083947</v>
      </c>
      <c r="AF747">
        <v>2629.02</v>
      </c>
      <c r="AG747">
        <v>0</v>
      </c>
      <c r="AH747">
        <v>0</v>
      </c>
      <c r="AI747">
        <v>2629.02</v>
      </c>
      <c r="AJ747" t="s">
        <v>2</v>
      </c>
      <c r="AK747" t="s">
        <v>11</v>
      </c>
    </row>
    <row r="748" spans="1:37">
      <c r="A748">
        <v>257813</v>
      </c>
      <c r="B748" s="1">
        <v>45366</v>
      </c>
      <c r="C748" t="s">
        <v>1476</v>
      </c>
      <c r="D748" t="s">
        <v>1477</v>
      </c>
      <c r="E748" t="s">
        <v>1196</v>
      </c>
      <c r="F748" t="s">
        <v>1374</v>
      </c>
      <c r="G748" t="s">
        <v>575</v>
      </c>
      <c r="H748">
        <v>49548</v>
      </c>
      <c r="I748" t="s">
        <v>1478</v>
      </c>
      <c r="J748" t="s">
        <v>1479</v>
      </c>
      <c r="K748" t="s">
        <v>2</v>
      </c>
      <c r="L748" t="s">
        <v>1480</v>
      </c>
      <c r="M748" t="s">
        <v>587</v>
      </c>
      <c r="N748" t="s">
        <v>1481</v>
      </c>
      <c r="O748" t="s">
        <v>1482</v>
      </c>
      <c r="P748">
        <v>2277457</v>
      </c>
      <c r="Q748" t="s">
        <v>38</v>
      </c>
      <c r="R748">
        <v>415086</v>
      </c>
      <c r="S748" t="s">
        <v>84</v>
      </c>
      <c r="T748" s="2">
        <v>4</v>
      </c>
      <c r="U748">
        <v>0</v>
      </c>
      <c r="V748" t="s">
        <v>153</v>
      </c>
      <c r="W748">
        <v>0</v>
      </c>
      <c r="X748">
        <v>0</v>
      </c>
      <c r="Y748">
        <v>0</v>
      </c>
      <c r="Z748" t="s">
        <v>88</v>
      </c>
      <c r="AA748" t="s">
        <v>116</v>
      </c>
      <c r="AB748" t="s">
        <v>10</v>
      </c>
      <c r="AC748">
        <v>0</v>
      </c>
      <c r="AD748">
        <v>0</v>
      </c>
      <c r="AE748">
        <v>726182083947</v>
      </c>
      <c r="AF748">
        <v>2629.02</v>
      </c>
      <c r="AG748">
        <v>0</v>
      </c>
      <c r="AH748">
        <v>0</v>
      </c>
      <c r="AI748">
        <v>2629.02</v>
      </c>
      <c r="AJ748" t="s">
        <v>2</v>
      </c>
      <c r="AK748" t="s">
        <v>11</v>
      </c>
    </row>
    <row r="749" spans="1:37">
      <c r="A749">
        <v>257813</v>
      </c>
      <c r="B749" s="1">
        <v>45366</v>
      </c>
      <c r="C749" t="s">
        <v>1476</v>
      </c>
      <c r="D749" t="s">
        <v>1477</v>
      </c>
      <c r="E749" t="s">
        <v>1196</v>
      </c>
      <c r="F749" t="s">
        <v>1374</v>
      </c>
      <c r="G749" t="s">
        <v>575</v>
      </c>
      <c r="H749">
        <v>49548</v>
      </c>
      <c r="I749" t="s">
        <v>1478</v>
      </c>
      <c r="J749" t="s">
        <v>1479</v>
      </c>
      <c r="K749" t="s">
        <v>2</v>
      </c>
      <c r="L749" t="s">
        <v>1480</v>
      </c>
      <c r="M749" t="s">
        <v>587</v>
      </c>
      <c r="N749" t="s">
        <v>1481</v>
      </c>
      <c r="O749" t="s">
        <v>1482</v>
      </c>
      <c r="P749">
        <v>2277457</v>
      </c>
      <c r="Q749" t="s">
        <v>38</v>
      </c>
      <c r="R749">
        <v>415086</v>
      </c>
      <c r="S749" t="s">
        <v>84</v>
      </c>
      <c r="T749" s="2">
        <v>4</v>
      </c>
      <c r="U749">
        <v>0</v>
      </c>
      <c r="V749" t="s">
        <v>153</v>
      </c>
      <c r="W749">
        <v>2</v>
      </c>
      <c r="X749">
        <v>2</v>
      </c>
      <c r="Y749">
        <v>0</v>
      </c>
      <c r="Z749" t="s">
        <v>1483</v>
      </c>
      <c r="AA749" t="s">
        <v>1484</v>
      </c>
      <c r="AB749" t="s">
        <v>14</v>
      </c>
      <c r="AC749">
        <v>1178.29</v>
      </c>
      <c r="AD749">
        <v>2356.58</v>
      </c>
      <c r="AE749">
        <v>726182083947</v>
      </c>
      <c r="AF749">
        <v>2629.02</v>
      </c>
      <c r="AG749">
        <v>0</v>
      </c>
      <c r="AH749">
        <v>0</v>
      </c>
      <c r="AI749">
        <v>2629.02</v>
      </c>
      <c r="AJ749" t="s">
        <v>2</v>
      </c>
      <c r="AK749" t="s">
        <v>11</v>
      </c>
    </row>
    <row r="750" spans="1:37">
      <c r="A750">
        <v>257813</v>
      </c>
      <c r="B750" s="1">
        <v>45366</v>
      </c>
      <c r="C750" t="s">
        <v>1476</v>
      </c>
      <c r="D750" t="s">
        <v>1477</v>
      </c>
      <c r="E750" t="s">
        <v>1196</v>
      </c>
      <c r="F750" t="s">
        <v>1374</v>
      </c>
      <c r="G750" t="s">
        <v>575</v>
      </c>
      <c r="H750">
        <v>49548</v>
      </c>
      <c r="I750" t="s">
        <v>1478</v>
      </c>
      <c r="J750" t="s">
        <v>1479</v>
      </c>
      <c r="K750" t="s">
        <v>2</v>
      </c>
      <c r="L750" t="s">
        <v>1480</v>
      </c>
      <c r="M750" t="s">
        <v>587</v>
      </c>
      <c r="N750" t="s">
        <v>1481</v>
      </c>
      <c r="O750" t="s">
        <v>1482</v>
      </c>
      <c r="P750">
        <v>2277457</v>
      </c>
      <c r="Q750" t="s">
        <v>38</v>
      </c>
      <c r="R750">
        <v>415086</v>
      </c>
      <c r="S750" t="s">
        <v>84</v>
      </c>
      <c r="T750" s="2">
        <v>4</v>
      </c>
      <c r="U750">
        <v>0</v>
      </c>
      <c r="V750" t="s">
        <v>153</v>
      </c>
      <c r="W750">
        <v>0</v>
      </c>
      <c r="X750">
        <v>0</v>
      </c>
      <c r="Y750">
        <v>0</v>
      </c>
      <c r="Z750" t="s">
        <v>88</v>
      </c>
      <c r="AA750" t="s">
        <v>116</v>
      </c>
      <c r="AB750" t="s">
        <v>10</v>
      </c>
      <c r="AC750">
        <v>0</v>
      </c>
      <c r="AD750">
        <v>0</v>
      </c>
      <c r="AE750">
        <v>726182083947</v>
      </c>
      <c r="AF750">
        <v>2629.02</v>
      </c>
      <c r="AG750">
        <v>0</v>
      </c>
      <c r="AH750">
        <v>0</v>
      </c>
      <c r="AI750">
        <v>2629.02</v>
      </c>
      <c r="AJ750" t="s">
        <v>2</v>
      </c>
      <c r="AK750" t="s">
        <v>11</v>
      </c>
    </row>
    <row r="751" spans="1:37">
      <c r="A751">
        <v>257813</v>
      </c>
      <c r="B751" s="1">
        <v>45366</v>
      </c>
      <c r="C751" t="s">
        <v>1476</v>
      </c>
      <c r="D751" t="s">
        <v>1477</v>
      </c>
      <c r="E751" t="s">
        <v>1196</v>
      </c>
      <c r="F751" t="s">
        <v>1374</v>
      </c>
      <c r="G751" t="s">
        <v>575</v>
      </c>
      <c r="H751">
        <v>49548</v>
      </c>
      <c r="I751" t="s">
        <v>1478</v>
      </c>
      <c r="J751" t="s">
        <v>1479</v>
      </c>
      <c r="K751" t="s">
        <v>2</v>
      </c>
      <c r="L751" t="s">
        <v>1480</v>
      </c>
      <c r="M751" t="s">
        <v>587</v>
      </c>
      <c r="N751" t="s">
        <v>1481</v>
      </c>
      <c r="O751" t="s">
        <v>1482</v>
      </c>
      <c r="P751">
        <v>2277457</v>
      </c>
      <c r="Q751" t="s">
        <v>38</v>
      </c>
      <c r="R751">
        <v>415086</v>
      </c>
      <c r="S751" t="s">
        <v>84</v>
      </c>
      <c r="T751" s="2">
        <v>4</v>
      </c>
      <c r="U751">
        <v>0</v>
      </c>
      <c r="V751" t="s">
        <v>153</v>
      </c>
      <c r="W751">
        <v>1</v>
      </c>
      <c r="X751">
        <v>1</v>
      </c>
      <c r="Y751">
        <v>0</v>
      </c>
      <c r="Z751" t="s">
        <v>183</v>
      </c>
      <c r="AA751" t="s">
        <v>184</v>
      </c>
      <c r="AB751" t="s">
        <v>14</v>
      </c>
      <c r="AC751">
        <v>25</v>
      </c>
      <c r="AD751">
        <v>25</v>
      </c>
      <c r="AE751">
        <v>726182083947</v>
      </c>
      <c r="AF751">
        <v>2629.02</v>
      </c>
      <c r="AG751">
        <v>0</v>
      </c>
      <c r="AH751">
        <v>0</v>
      </c>
      <c r="AI751">
        <v>2629.02</v>
      </c>
      <c r="AJ751" t="s">
        <v>2</v>
      </c>
      <c r="AK751" t="s">
        <v>11</v>
      </c>
    </row>
    <row r="752" spans="1:37">
      <c r="A752">
        <v>257814</v>
      </c>
      <c r="B752" s="1">
        <v>45366</v>
      </c>
      <c r="C752" t="s">
        <v>1237</v>
      </c>
      <c r="D752" t="s">
        <v>1238</v>
      </c>
      <c r="E752" t="s">
        <v>2</v>
      </c>
      <c r="F752" t="s">
        <v>1239</v>
      </c>
      <c r="G752" t="s">
        <v>760</v>
      </c>
      <c r="H752">
        <v>54956</v>
      </c>
      <c r="I752" t="s">
        <v>1485</v>
      </c>
      <c r="J752" t="s">
        <v>1486</v>
      </c>
      <c r="K752" t="s">
        <v>2</v>
      </c>
      <c r="L752" t="s">
        <v>1239</v>
      </c>
      <c r="M752" t="s">
        <v>760</v>
      </c>
      <c r="N752">
        <v>54956</v>
      </c>
      <c r="O752" t="s">
        <v>1243</v>
      </c>
      <c r="P752">
        <v>1565</v>
      </c>
      <c r="Q752" t="s">
        <v>6</v>
      </c>
      <c r="R752">
        <v>408140</v>
      </c>
      <c r="S752" t="s">
        <v>84</v>
      </c>
      <c r="T752" s="2">
        <v>1</v>
      </c>
      <c r="U752">
        <v>0</v>
      </c>
      <c r="V752" t="s">
        <v>260</v>
      </c>
      <c r="W752">
        <v>0</v>
      </c>
      <c r="X752">
        <v>0</v>
      </c>
      <c r="Y752">
        <v>0</v>
      </c>
      <c r="Z752" t="s">
        <v>9</v>
      </c>
      <c r="AA752" t="s">
        <v>2</v>
      </c>
      <c r="AB752" t="s">
        <v>10</v>
      </c>
      <c r="AC752">
        <v>0</v>
      </c>
      <c r="AD752">
        <v>0</v>
      </c>
      <c r="AE752">
        <v>726182084185</v>
      </c>
      <c r="AF752">
        <v>277.3</v>
      </c>
      <c r="AG752">
        <v>0</v>
      </c>
      <c r="AH752">
        <v>0</v>
      </c>
      <c r="AI752">
        <v>277.3</v>
      </c>
      <c r="AJ752" t="s">
        <v>2</v>
      </c>
      <c r="AK752" t="s">
        <v>11</v>
      </c>
    </row>
    <row r="753" spans="1:37">
      <c r="A753">
        <v>257814</v>
      </c>
      <c r="B753" s="1">
        <v>45366</v>
      </c>
      <c r="C753" t="s">
        <v>1237</v>
      </c>
      <c r="D753" t="s">
        <v>1238</v>
      </c>
      <c r="E753" t="s">
        <v>2</v>
      </c>
      <c r="F753" t="s">
        <v>1239</v>
      </c>
      <c r="G753" t="s">
        <v>760</v>
      </c>
      <c r="H753">
        <v>54956</v>
      </c>
      <c r="I753" t="s">
        <v>1485</v>
      </c>
      <c r="J753" t="s">
        <v>1486</v>
      </c>
      <c r="K753" t="s">
        <v>2</v>
      </c>
      <c r="L753" t="s">
        <v>1239</v>
      </c>
      <c r="M753" t="s">
        <v>760</v>
      </c>
      <c r="N753">
        <v>54956</v>
      </c>
      <c r="O753" t="s">
        <v>1243</v>
      </c>
      <c r="P753">
        <v>1565</v>
      </c>
      <c r="Q753" t="s">
        <v>6</v>
      </c>
      <c r="R753">
        <v>408140</v>
      </c>
      <c r="S753" t="s">
        <v>84</v>
      </c>
      <c r="T753" s="2">
        <v>1</v>
      </c>
      <c r="U753">
        <v>0</v>
      </c>
      <c r="V753" t="s">
        <v>260</v>
      </c>
      <c r="W753">
        <v>1</v>
      </c>
      <c r="X753">
        <v>1</v>
      </c>
      <c r="Y753">
        <v>0</v>
      </c>
      <c r="Z753" t="s">
        <v>1487</v>
      </c>
      <c r="AA753" t="s">
        <v>1488</v>
      </c>
      <c r="AB753" t="s">
        <v>14</v>
      </c>
      <c r="AC753">
        <v>277.3</v>
      </c>
      <c r="AD753">
        <v>277.3</v>
      </c>
      <c r="AE753">
        <v>726182084185</v>
      </c>
      <c r="AF753">
        <v>277.3</v>
      </c>
      <c r="AG753">
        <v>0</v>
      </c>
      <c r="AH753">
        <v>0</v>
      </c>
      <c r="AI753">
        <v>277.3</v>
      </c>
      <c r="AJ753" t="s">
        <v>2</v>
      </c>
      <c r="AK753" t="s">
        <v>11</v>
      </c>
    </row>
    <row r="754" spans="1:37">
      <c r="A754">
        <v>257814</v>
      </c>
      <c r="B754" s="1">
        <v>45366</v>
      </c>
      <c r="C754" t="s">
        <v>1237</v>
      </c>
      <c r="D754" t="s">
        <v>1238</v>
      </c>
      <c r="E754" t="s">
        <v>2</v>
      </c>
      <c r="F754" t="s">
        <v>1239</v>
      </c>
      <c r="G754" t="s">
        <v>760</v>
      </c>
      <c r="H754">
        <v>54956</v>
      </c>
      <c r="I754" t="s">
        <v>1485</v>
      </c>
      <c r="J754" t="s">
        <v>1486</v>
      </c>
      <c r="K754" t="s">
        <v>2</v>
      </c>
      <c r="L754" t="s">
        <v>1239</v>
      </c>
      <c r="M754" t="s">
        <v>760</v>
      </c>
      <c r="N754">
        <v>54956</v>
      </c>
      <c r="O754" t="s">
        <v>1243</v>
      </c>
      <c r="P754">
        <v>1565</v>
      </c>
      <c r="Q754" t="s">
        <v>6</v>
      </c>
      <c r="R754">
        <v>408140</v>
      </c>
      <c r="S754" t="s">
        <v>84</v>
      </c>
      <c r="T754" s="2">
        <v>1</v>
      </c>
      <c r="U754">
        <v>0</v>
      </c>
      <c r="V754" t="s">
        <v>260</v>
      </c>
      <c r="W754">
        <v>0</v>
      </c>
      <c r="X754">
        <v>0</v>
      </c>
      <c r="Y754">
        <v>0</v>
      </c>
      <c r="Z754" t="s">
        <v>88</v>
      </c>
      <c r="AA754" t="s">
        <v>1489</v>
      </c>
      <c r="AB754" t="s">
        <v>10</v>
      </c>
      <c r="AC754">
        <v>0</v>
      </c>
      <c r="AD754">
        <v>0</v>
      </c>
      <c r="AE754">
        <v>726182084185</v>
      </c>
      <c r="AF754">
        <v>277.3</v>
      </c>
      <c r="AG754">
        <v>0</v>
      </c>
      <c r="AH754">
        <v>0</v>
      </c>
      <c r="AI754">
        <v>277.3</v>
      </c>
      <c r="AJ754" t="s">
        <v>2</v>
      </c>
      <c r="AK754" t="s">
        <v>11</v>
      </c>
    </row>
    <row r="755" spans="1:37">
      <c r="A755">
        <v>257814</v>
      </c>
      <c r="B755" s="1">
        <v>45366</v>
      </c>
      <c r="C755" t="s">
        <v>1237</v>
      </c>
      <c r="D755" t="s">
        <v>1238</v>
      </c>
      <c r="E755" t="s">
        <v>2</v>
      </c>
      <c r="F755" t="s">
        <v>1239</v>
      </c>
      <c r="G755" t="s">
        <v>760</v>
      </c>
      <c r="H755">
        <v>54956</v>
      </c>
      <c r="I755" t="s">
        <v>1485</v>
      </c>
      <c r="J755" t="s">
        <v>1486</v>
      </c>
      <c r="K755" t="s">
        <v>2</v>
      </c>
      <c r="L755" t="s">
        <v>1239</v>
      </c>
      <c r="M755" t="s">
        <v>760</v>
      </c>
      <c r="N755">
        <v>54956</v>
      </c>
      <c r="O755" t="s">
        <v>1243</v>
      </c>
      <c r="P755">
        <v>1565</v>
      </c>
      <c r="Q755" t="s">
        <v>6</v>
      </c>
      <c r="R755">
        <v>408140</v>
      </c>
      <c r="S755" t="s">
        <v>84</v>
      </c>
      <c r="T755" s="2">
        <v>1</v>
      </c>
      <c r="U755">
        <v>0</v>
      </c>
      <c r="V755" t="s">
        <v>260</v>
      </c>
      <c r="W755">
        <v>0</v>
      </c>
      <c r="X755">
        <v>0</v>
      </c>
      <c r="Y755">
        <v>0</v>
      </c>
      <c r="Z755" t="s">
        <v>88</v>
      </c>
      <c r="AA755" t="s">
        <v>2</v>
      </c>
      <c r="AB755" t="s">
        <v>10</v>
      </c>
      <c r="AC755">
        <v>0</v>
      </c>
      <c r="AD755">
        <v>0</v>
      </c>
      <c r="AE755">
        <v>726182084185</v>
      </c>
      <c r="AF755">
        <v>277.3</v>
      </c>
      <c r="AG755">
        <v>0</v>
      </c>
      <c r="AH755">
        <v>0</v>
      </c>
      <c r="AI755">
        <v>277.3</v>
      </c>
      <c r="AJ755" t="s">
        <v>2</v>
      </c>
      <c r="AK755" t="s">
        <v>11</v>
      </c>
    </row>
    <row r="756" spans="1:37">
      <c r="A756">
        <v>257814</v>
      </c>
      <c r="B756" s="1">
        <v>45366</v>
      </c>
      <c r="C756" t="s">
        <v>1237</v>
      </c>
      <c r="D756" t="s">
        <v>1238</v>
      </c>
      <c r="E756" t="s">
        <v>2</v>
      </c>
      <c r="F756" t="s">
        <v>1239</v>
      </c>
      <c r="G756" t="s">
        <v>760</v>
      </c>
      <c r="H756">
        <v>54956</v>
      </c>
      <c r="I756" t="s">
        <v>1485</v>
      </c>
      <c r="J756" t="s">
        <v>1486</v>
      </c>
      <c r="K756" t="s">
        <v>2</v>
      </c>
      <c r="L756" t="s">
        <v>1239</v>
      </c>
      <c r="M756" t="s">
        <v>760</v>
      </c>
      <c r="N756">
        <v>54956</v>
      </c>
      <c r="O756" t="s">
        <v>1243</v>
      </c>
      <c r="P756">
        <v>1565</v>
      </c>
      <c r="Q756" t="s">
        <v>6</v>
      </c>
      <c r="R756">
        <v>408140</v>
      </c>
      <c r="S756" t="s">
        <v>84</v>
      </c>
      <c r="T756" s="2">
        <v>1</v>
      </c>
      <c r="U756">
        <v>0</v>
      </c>
      <c r="V756" t="s">
        <v>260</v>
      </c>
      <c r="W756">
        <v>0</v>
      </c>
      <c r="X756">
        <v>0</v>
      </c>
      <c r="Y756">
        <v>0</v>
      </c>
      <c r="Z756" t="s">
        <v>88</v>
      </c>
      <c r="AA756" t="s">
        <v>90</v>
      </c>
      <c r="AB756" t="s">
        <v>10</v>
      </c>
      <c r="AC756">
        <v>0</v>
      </c>
      <c r="AD756">
        <v>0</v>
      </c>
      <c r="AE756">
        <v>726182084185</v>
      </c>
      <c r="AF756">
        <v>277.3</v>
      </c>
      <c r="AG756">
        <v>0</v>
      </c>
      <c r="AH756">
        <v>0</v>
      </c>
      <c r="AI756">
        <v>277.3</v>
      </c>
      <c r="AJ756" t="s">
        <v>2</v>
      </c>
      <c r="AK756" t="s">
        <v>11</v>
      </c>
    </row>
    <row r="757" spans="1:37">
      <c r="A757">
        <v>257814</v>
      </c>
      <c r="B757" s="1">
        <v>45366</v>
      </c>
      <c r="C757" t="s">
        <v>1237</v>
      </c>
      <c r="D757" t="s">
        <v>1238</v>
      </c>
      <c r="E757" t="s">
        <v>2</v>
      </c>
      <c r="F757" t="s">
        <v>1239</v>
      </c>
      <c r="G757" t="s">
        <v>760</v>
      </c>
      <c r="H757">
        <v>54956</v>
      </c>
      <c r="I757" t="s">
        <v>1485</v>
      </c>
      <c r="J757" t="s">
        <v>1486</v>
      </c>
      <c r="K757" t="s">
        <v>2</v>
      </c>
      <c r="L757" t="s">
        <v>1239</v>
      </c>
      <c r="M757" t="s">
        <v>760</v>
      </c>
      <c r="N757">
        <v>54956</v>
      </c>
      <c r="O757" t="s">
        <v>1243</v>
      </c>
      <c r="P757">
        <v>1565</v>
      </c>
      <c r="Q757" t="s">
        <v>6</v>
      </c>
      <c r="R757">
        <v>408140</v>
      </c>
      <c r="S757" t="s">
        <v>84</v>
      </c>
      <c r="T757" s="2">
        <v>1</v>
      </c>
      <c r="U757">
        <v>0</v>
      </c>
      <c r="V757" t="s">
        <v>260</v>
      </c>
      <c r="W757">
        <v>0</v>
      </c>
      <c r="X757">
        <v>0</v>
      </c>
      <c r="Y757">
        <v>0</v>
      </c>
      <c r="Z757" t="s">
        <v>88</v>
      </c>
      <c r="AA757" t="s">
        <v>1490</v>
      </c>
      <c r="AB757" t="s">
        <v>10</v>
      </c>
      <c r="AC757">
        <v>0</v>
      </c>
      <c r="AD757">
        <v>0</v>
      </c>
      <c r="AE757">
        <v>726182084185</v>
      </c>
      <c r="AF757">
        <v>277.3</v>
      </c>
      <c r="AG757">
        <v>0</v>
      </c>
      <c r="AH757">
        <v>0</v>
      </c>
      <c r="AI757">
        <v>277.3</v>
      </c>
      <c r="AJ757" t="s">
        <v>2</v>
      </c>
      <c r="AK757" t="s">
        <v>11</v>
      </c>
    </row>
    <row r="758" spans="1:37">
      <c r="A758">
        <v>257814</v>
      </c>
      <c r="B758" s="1">
        <v>45366</v>
      </c>
      <c r="C758" t="s">
        <v>1237</v>
      </c>
      <c r="D758" t="s">
        <v>1238</v>
      </c>
      <c r="E758" t="s">
        <v>2</v>
      </c>
      <c r="F758" t="s">
        <v>1239</v>
      </c>
      <c r="G758" t="s">
        <v>760</v>
      </c>
      <c r="H758">
        <v>54956</v>
      </c>
      <c r="I758" t="s">
        <v>1485</v>
      </c>
      <c r="J758" t="s">
        <v>1486</v>
      </c>
      <c r="K758" t="s">
        <v>2</v>
      </c>
      <c r="L758" t="s">
        <v>1239</v>
      </c>
      <c r="M758" t="s">
        <v>760</v>
      </c>
      <c r="N758">
        <v>54956</v>
      </c>
      <c r="O758" t="s">
        <v>1243</v>
      </c>
      <c r="P758">
        <v>1565</v>
      </c>
      <c r="Q758" t="s">
        <v>6</v>
      </c>
      <c r="R758">
        <v>408140</v>
      </c>
      <c r="S758" t="s">
        <v>84</v>
      </c>
      <c r="T758" s="2">
        <v>1</v>
      </c>
      <c r="U758">
        <v>0</v>
      </c>
      <c r="V758" t="s">
        <v>260</v>
      </c>
      <c r="W758">
        <v>0</v>
      </c>
      <c r="X758">
        <v>0</v>
      </c>
      <c r="Y758">
        <v>0</v>
      </c>
      <c r="Z758" t="s">
        <v>88</v>
      </c>
      <c r="AA758" t="e">
        <f>-SPLICE FREE REQUIRED</f>
        <v>#NAME?</v>
      </c>
      <c r="AB758" t="s">
        <v>10</v>
      </c>
      <c r="AC758">
        <v>0</v>
      </c>
      <c r="AD758">
        <v>0</v>
      </c>
      <c r="AE758">
        <v>726182084185</v>
      </c>
      <c r="AF758">
        <v>277.3</v>
      </c>
      <c r="AG758">
        <v>0</v>
      </c>
      <c r="AH758">
        <v>0</v>
      </c>
      <c r="AI758">
        <v>277.3</v>
      </c>
      <c r="AJ758" t="s">
        <v>2</v>
      </c>
      <c r="AK758" t="s">
        <v>11</v>
      </c>
    </row>
    <row r="759" spans="1:37">
      <c r="A759">
        <v>257814</v>
      </c>
      <c r="B759" s="1">
        <v>45366</v>
      </c>
      <c r="C759" t="s">
        <v>1237</v>
      </c>
      <c r="D759" t="s">
        <v>1238</v>
      </c>
      <c r="E759" t="s">
        <v>2</v>
      </c>
      <c r="F759" t="s">
        <v>1239</v>
      </c>
      <c r="G759" t="s">
        <v>760</v>
      </c>
      <c r="H759">
        <v>54956</v>
      </c>
      <c r="I759" t="s">
        <v>1485</v>
      </c>
      <c r="J759" t="s">
        <v>1486</v>
      </c>
      <c r="K759" t="s">
        <v>2</v>
      </c>
      <c r="L759" t="s">
        <v>1239</v>
      </c>
      <c r="M759" t="s">
        <v>760</v>
      </c>
      <c r="N759">
        <v>54956</v>
      </c>
      <c r="O759" t="s">
        <v>1243</v>
      </c>
      <c r="P759">
        <v>1565</v>
      </c>
      <c r="Q759" t="s">
        <v>6</v>
      </c>
      <c r="R759">
        <v>408140</v>
      </c>
      <c r="S759" t="s">
        <v>84</v>
      </c>
      <c r="T759" s="2">
        <v>1</v>
      </c>
      <c r="U759">
        <v>0</v>
      </c>
      <c r="V759" t="s">
        <v>260</v>
      </c>
      <c r="W759">
        <v>0</v>
      </c>
      <c r="X759">
        <v>0</v>
      </c>
      <c r="Y759">
        <v>0</v>
      </c>
      <c r="Z759" t="s">
        <v>88</v>
      </c>
      <c r="AA759" t="s">
        <v>1491</v>
      </c>
      <c r="AB759" t="s">
        <v>10</v>
      </c>
      <c r="AC759">
        <v>0</v>
      </c>
      <c r="AD759">
        <v>0</v>
      </c>
      <c r="AE759">
        <v>726182084185</v>
      </c>
      <c r="AF759">
        <v>277.3</v>
      </c>
      <c r="AG759">
        <v>0</v>
      </c>
      <c r="AH759">
        <v>0</v>
      </c>
      <c r="AI759">
        <v>277.3</v>
      </c>
      <c r="AJ759" t="s">
        <v>2</v>
      </c>
      <c r="AK759" t="s">
        <v>11</v>
      </c>
    </row>
    <row r="760" spans="1:37">
      <c r="A760">
        <v>257814</v>
      </c>
      <c r="B760" s="1">
        <v>45366</v>
      </c>
      <c r="C760" t="s">
        <v>1237</v>
      </c>
      <c r="D760" t="s">
        <v>1238</v>
      </c>
      <c r="E760" t="s">
        <v>2</v>
      </c>
      <c r="F760" t="s">
        <v>1239</v>
      </c>
      <c r="G760" t="s">
        <v>760</v>
      </c>
      <c r="H760">
        <v>54956</v>
      </c>
      <c r="I760" t="s">
        <v>1485</v>
      </c>
      <c r="J760" t="s">
        <v>1486</v>
      </c>
      <c r="K760" t="s">
        <v>2</v>
      </c>
      <c r="L760" t="s">
        <v>1239</v>
      </c>
      <c r="M760" t="s">
        <v>760</v>
      </c>
      <c r="N760">
        <v>54956</v>
      </c>
      <c r="O760" t="s">
        <v>1243</v>
      </c>
      <c r="P760">
        <v>1565</v>
      </c>
      <c r="Q760" t="s">
        <v>6</v>
      </c>
      <c r="R760">
        <v>408140</v>
      </c>
      <c r="S760" t="s">
        <v>84</v>
      </c>
      <c r="T760" s="2">
        <v>1</v>
      </c>
      <c r="U760">
        <v>0</v>
      </c>
      <c r="V760" t="s">
        <v>260</v>
      </c>
      <c r="W760">
        <v>0</v>
      </c>
      <c r="X760">
        <v>0</v>
      </c>
      <c r="Y760">
        <v>0</v>
      </c>
      <c r="Z760" t="s">
        <v>88</v>
      </c>
      <c r="AA760" t="e">
        <f>-SPLICE-FREE PREFERRED</f>
        <v>#NAME?</v>
      </c>
      <c r="AB760" t="s">
        <v>10</v>
      </c>
      <c r="AC760">
        <v>0</v>
      </c>
      <c r="AD760">
        <v>0</v>
      </c>
      <c r="AE760">
        <v>726182084185</v>
      </c>
      <c r="AF760">
        <v>277.3</v>
      </c>
      <c r="AG760">
        <v>0</v>
      </c>
      <c r="AH760">
        <v>0</v>
      </c>
      <c r="AI760">
        <v>277.3</v>
      </c>
      <c r="AJ760" t="s">
        <v>2</v>
      </c>
      <c r="AK760" t="s">
        <v>11</v>
      </c>
    </row>
    <row r="761" spans="1:37">
      <c r="A761">
        <v>257814</v>
      </c>
      <c r="B761" s="1">
        <v>45366</v>
      </c>
      <c r="C761" t="s">
        <v>1237</v>
      </c>
      <c r="D761" t="s">
        <v>1238</v>
      </c>
      <c r="E761" t="s">
        <v>2</v>
      </c>
      <c r="F761" t="s">
        <v>1239</v>
      </c>
      <c r="G761" t="s">
        <v>760</v>
      </c>
      <c r="H761">
        <v>54956</v>
      </c>
      <c r="I761" t="s">
        <v>1485</v>
      </c>
      <c r="J761" t="s">
        <v>1486</v>
      </c>
      <c r="K761" t="s">
        <v>2</v>
      </c>
      <c r="L761" t="s">
        <v>1239</v>
      </c>
      <c r="M761" t="s">
        <v>760</v>
      </c>
      <c r="N761">
        <v>54956</v>
      </c>
      <c r="O761" t="s">
        <v>1243</v>
      </c>
      <c r="P761">
        <v>1565</v>
      </c>
      <c r="Q761" t="s">
        <v>6</v>
      </c>
      <c r="R761">
        <v>408140</v>
      </c>
      <c r="S761" t="s">
        <v>84</v>
      </c>
      <c r="T761" s="2">
        <v>1</v>
      </c>
      <c r="U761">
        <v>0</v>
      </c>
      <c r="V761" t="s">
        <v>260</v>
      </c>
      <c r="W761">
        <v>0</v>
      </c>
      <c r="X761">
        <v>0</v>
      </c>
      <c r="Y761">
        <v>0</v>
      </c>
      <c r="Z761" t="s">
        <v>88</v>
      </c>
      <c r="AA761" t="s">
        <v>90</v>
      </c>
      <c r="AB761" t="s">
        <v>10</v>
      </c>
      <c r="AC761">
        <v>0</v>
      </c>
      <c r="AD761">
        <v>0</v>
      </c>
      <c r="AE761">
        <v>726182084185</v>
      </c>
      <c r="AF761">
        <v>277.3</v>
      </c>
      <c r="AG761">
        <v>0</v>
      </c>
      <c r="AH761">
        <v>0</v>
      </c>
      <c r="AI761">
        <v>277.3</v>
      </c>
      <c r="AJ761" t="s">
        <v>2</v>
      </c>
      <c r="AK761" t="s">
        <v>11</v>
      </c>
    </row>
    <row r="762" spans="1:37">
      <c r="A762">
        <v>257814</v>
      </c>
      <c r="B762" s="1">
        <v>45366</v>
      </c>
      <c r="C762" t="s">
        <v>1237</v>
      </c>
      <c r="D762" t="s">
        <v>1238</v>
      </c>
      <c r="E762" t="s">
        <v>2</v>
      </c>
      <c r="F762" t="s">
        <v>1239</v>
      </c>
      <c r="G762" t="s">
        <v>760</v>
      </c>
      <c r="H762">
        <v>54956</v>
      </c>
      <c r="I762" t="s">
        <v>1485</v>
      </c>
      <c r="J762" t="s">
        <v>1486</v>
      </c>
      <c r="K762" t="s">
        <v>2</v>
      </c>
      <c r="L762" t="s">
        <v>1239</v>
      </c>
      <c r="M762" t="s">
        <v>760</v>
      </c>
      <c r="N762">
        <v>54956</v>
      </c>
      <c r="O762" t="s">
        <v>1243</v>
      </c>
      <c r="P762">
        <v>1565</v>
      </c>
      <c r="Q762" t="s">
        <v>6</v>
      </c>
      <c r="R762">
        <v>408140</v>
      </c>
      <c r="S762" t="s">
        <v>84</v>
      </c>
      <c r="T762" s="2">
        <v>1</v>
      </c>
      <c r="U762">
        <v>0</v>
      </c>
      <c r="V762" t="s">
        <v>260</v>
      </c>
      <c r="W762">
        <v>0</v>
      </c>
      <c r="X762">
        <v>0</v>
      </c>
      <c r="Y762">
        <v>0</v>
      </c>
      <c r="Z762" t="s">
        <v>88</v>
      </c>
      <c r="AA762" t="e">
        <f>-MOTION MUST SHIP NEXT DAY</f>
        <v>#NAME?</v>
      </c>
      <c r="AB762" t="s">
        <v>10</v>
      </c>
      <c r="AC762">
        <v>0</v>
      </c>
      <c r="AD762">
        <v>0</v>
      </c>
      <c r="AE762">
        <v>726182084185</v>
      </c>
      <c r="AF762">
        <v>277.3</v>
      </c>
      <c r="AG762">
        <v>0</v>
      </c>
      <c r="AH762">
        <v>0</v>
      </c>
      <c r="AI762">
        <v>277.3</v>
      </c>
      <c r="AJ762" t="s">
        <v>2</v>
      </c>
      <c r="AK762" t="s">
        <v>11</v>
      </c>
    </row>
    <row r="763" spans="1:37">
      <c r="A763">
        <v>257814</v>
      </c>
      <c r="B763" s="1">
        <v>45366</v>
      </c>
      <c r="C763" t="s">
        <v>1237</v>
      </c>
      <c r="D763" t="s">
        <v>1238</v>
      </c>
      <c r="E763" t="s">
        <v>2</v>
      </c>
      <c r="F763" t="s">
        <v>1239</v>
      </c>
      <c r="G763" t="s">
        <v>760</v>
      </c>
      <c r="H763">
        <v>54956</v>
      </c>
      <c r="I763" t="s">
        <v>1485</v>
      </c>
      <c r="J763" t="s">
        <v>1486</v>
      </c>
      <c r="K763" t="s">
        <v>2</v>
      </c>
      <c r="L763" t="s">
        <v>1239</v>
      </c>
      <c r="M763" t="s">
        <v>760</v>
      </c>
      <c r="N763">
        <v>54956</v>
      </c>
      <c r="O763" t="s">
        <v>1243</v>
      </c>
      <c r="P763">
        <v>1565</v>
      </c>
      <c r="Q763" t="s">
        <v>6</v>
      </c>
      <c r="R763">
        <v>408140</v>
      </c>
      <c r="S763" t="s">
        <v>84</v>
      </c>
      <c r="T763" s="2">
        <v>1</v>
      </c>
      <c r="U763">
        <v>0</v>
      </c>
      <c r="V763" t="s">
        <v>260</v>
      </c>
      <c r="W763">
        <v>0</v>
      </c>
      <c r="X763">
        <v>0</v>
      </c>
      <c r="Y763">
        <v>0</v>
      </c>
      <c r="Z763" t="s">
        <v>88</v>
      </c>
      <c r="AA763" t="s">
        <v>90</v>
      </c>
      <c r="AB763" t="s">
        <v>10</v>
      </c>
      <c r="AC763">
        <v>0</v>
      </c>
      <c r="AD763">
        <v>0</v>
      </c>
      <c r="AE763">
        <v>726182084185</v>
      </c>
      <c r="AF763">
        <v>277.3</v>
      </c>
      <c r="AG763">
        <v>0</v>
      </c>
      <c r="AH763">
        <v>0</v>
      </c>
      <c r="AI763">
        <v>277.3</v>
      </c>
      <c r="AJ763" t="s">
        <v>2</v>
      </c>
      <c r="AK763" t="s">
        <v>11</v>
      </c>
    </row>
    <row r="764" spans="1:37">
      <c r="A764">
        <v>257814</v>
      </c>
      <c r="B764" s="1">
        <v>45366</v>
      </c>
      <c r="C764" t="s">
        <v>1237</v>
      </c>
      <c r="D764" t="s">
        <v>1238</v>
      </c>
      <c r="E764" t="s">
        <v>2</v>
      </c>
      <c r="F764" t="s">
        <v>1239</v>
      </c>
      <c r="G764" t="s">
        <v>760</v>
      </c>
      <c r="H764">
        <v>54956</v>
      </c>
      <c r="I764" t="s">
        <v>1485</v>
      </c>
      <c r="J764" t="s">
        <v>1486</v>
      </c>
      <c r="K764" t="s">
        <v>2</v>
      </c>
      <c r="L764" t="s">
        <v>1239</v>
      </c>
      <c r="M764" t="s">
        <v>760</v>
      </c>
      <c r="N764">
        <v>54956</v>
      </c>
      <c r="O764" t="s">
        <v>1243</v>
      </c>
      <c r="P764">
        <v>1565</v>
      </c>
      <c r="Q764" t="s">
        <v>6</v>
      </c>
      <c r="R764">
        <v>408140</v>
      </c>
      <c r="S764" t="s">
        <v>84</v>
      </c>
      <c r="T764" s="2">
        <v>1</v>
      </c>
      <c r="U764">
        <v>0</v>
      </c>
      <c r="V764" t="s">
        <v>260</v>
      </c>
      <c r="W764">
        <v>0</v>
      </c>
      <c r="X764">
        <v>0</v>
      </c>
      <c r="Y764">
        <v>0</v>
      </c>
      <c r="Z764" t="s">
        <v>88</v>
      </c>
      <c r="AA764" t="s">
        <v>1492</v>
      </c>
      <c r="AB764" t="s">
        <v>10</v>
      </c>
      <c r="AC764">
        <v>0</v>
      </c>
      <c r="AD764">
        <v>0</v>
      </c>
      <c r="AE764">
        <v>726182084185</v>
      </c>
      <c r="AF764">
        <v>277.3</v>
      </c>
      <c r="AG764">
        <v>0</v>
      </c>
      <c r="AH764">
        <v>0</v>
      </c>
      <c r="AI764">
        <v>277.3</v>
      </c>
      <c r="AJ764" t="s">
        <v>2</v>
      </c>
      <c r="AK764" t="s">
        <v>11</v>
      </c>
    </row>
    <row r="765" spans="1:37">
      <c r="A765">
        <v>257814</v>
      </c>
      <c r="B765" s="1">
        <v>45366</v>
      </c>
      <c r="C765" t="s">
        <v>1237</v>
      </c>
      <c r="D765" t="s">
        <v>1238</v>
      </c>
      <c r="E765" t="s">
        <v>2</v>
      </c>
      <c r="F765" t="s">
        <v>1239</v>
      </c>
      <c r="G765" t="s">
        <v>760</v>
      </c>
      <c r="H765">
        <v>54956</v>
      </c>
      <c r="I765" t="s">
        <v>1485</v>
      </c>
      <c r="J765" t="s">
        <v>1486</v>
      </c>
      <c r="K765" t="s">
        <v>2</v>
      </c>
      <c r="L765" t="s">
        <v>1239</v>
      </c>
      <c r="M765" t="s">
        <v>760</v>
      </c>
      <c r="N765">
        <v>54956</v>
      </c>
      <c r="O765" t="s">
        <v>1243</v>
      </c>
      <c r="P765">
        <v>1565</v>
      </c>
      <c r="Q765" t="s">
        <v>6</v>
      </c>
      <c r="R765">
        <v>408140</v>
      </c>
      <c r="S765" t="s">
        <v>84</v>
      </c>
      <c r="T765" s="2">
        <v>1</v>
      </c>
      <c r="U765">
        <v>0</v>
      </c>
      <c r="V765" t="s">
        <v>260</v>
      </c>
      <c r="W765">
        <v>0</v>
      </c>
      <c r="X765">
        <v>0</v>
      </c>
      <c r="Y765">
        <v>0</v>
      </c>
      <c r="Z765" t="s">
        <v>88</v>
      </c>
      <c r="AA765" t="s">
        <v>1493</v>
      </c>
      <c r="AB765" t="s">
        <v>10</v>
      </c>
      <c r="AC765">
        <v>0</v>
      </c>
      <c r="AD765">
        <v>0</v>
      </c>
      <c r="AE765">
        <v>726182084185</v>
      </c>
      <c r="AF765">
        <v>277.3</v>
      </c>
      <c r="AG765">
        <v>0</v>
      </c>
      <c r="AH765">
        <v>0</v>
      </c>
      <c r="AI765">
        <v>277.3</v>
      </c>
      <c r="AJ765" t="s">
        <v>2</v>
      </c>
      <c r="AK765" t="s">
        <v>11</v>
      </c>
    </row>
    <row r="766" spans="1:37">
      <c r="A766">
        <v>257815</v>
      </c>
      <c r="B766" s="1">
        <v>45366</v>
      </c>
      <c r="C766" t="s">
        <v>522</v>
      </c>
      <c r="D766" t="s">
        <v>523</v>
      </c>
      <c r="E766" t="s">
        <v>2</v>
      </c>
      <c r="F766" t="s">
        <v>34</v>
      </c>
      <c r="G766" t="s">
        <v>35</v>
      </c>
      <c r="H766">
        <v>63110</v>
      </c>
      <c r="I766" t="s">
        <v>1494</v>
      </c>
      <c r="J766" t="s">
        <v>1495</v>
      </c>
      <c r="K766" t="s">
        <v>2</v>
      </c>
      <c r="L766" t="s">
        <v>1496</v>
      </c>
      <c r="M766" t="s">
        <v>255</v>
      </c>
      <c r="N766" t="s">
        <v>1497</v>
      </c>
      <c r="O766" t="s">
        <v>528</v>
      </c>
      <c r="P766">
        <v>2277908</v>
      </c>
      <c r="Q766" t="s">
        <v>38</v>
      </c>
      <c r="R766">
        <v>415293</v>
      </c>
      <c r="S766" t="s">
        <v>1299</v>
      </c>
      <c r="T766" s="2">
        <v>1</v>
      </c>
      <c r="U766">
        <v>0</v>
      </c>
      <c r="V766" t="s">
        <v>153</v>
      </c>
      <c r="W766">
        <v>0</v>
      </c>
      <c r="X766">
        <v>0</v>
      </c>
      <c r="Y766">
        <v>0</v>
      </c>
      <c r="Z766" t="s">
        <v>9</v>
      </c>
      <c r="AA766" t="s">
        <v>2</v>
      </c>
      <c r="AB766" t="s">
        <v>10</v>
      </c>
      <c r="AC766">
        <v>0</v>
      </c>
      <c r="AD766">
        <v>0</v>
      </c>
      <c r="AE766">
        <v>726182084130</v>
      </c>
      <c r="AF766">
        <v>133.12</v>
      </c>
      <c r="AG766">
        <v>0</v>
      </c>
      <c r="AH766">
        <v>0</v>
      </c>
      <c r="AI766">
        <v>133.12</v>
      </c>
      <c r="AJ766" t="s">
        <v>2</v>
      </c>
      <c r="AK766" t="s">
        <v>11</v>
      </c>
    </row>
    <row r="767" spans="1:37">
      <c r="A767">
        <v>257815</v>
      </c>
      <c r="B767" s="1">
        <v>45366</v>
      </c>
      <c r="C767" t="s">
        <v>522</v>
      </c>
      <c r="D767" t="s">
        <v>523</v>
      </c>
      <c r="E767" t="s">
        <v>2</v>
      </c>
      <c r="F767" t="s">
        <v>34</v>
      </c>
      <c r="G767" t="s">
        <v>35</v>
      </c>
      <c r="H767">
        <v>63110</v>
      </c>
      <c r="I767" t="s">
        <v>1494</v>
      </c>
      <c r="J767" t="s">
        <v>1495</v>
      </c>
      <c r="K767" t="s">
        <v>2</v>
      </c>
      <c r="L767" t="s">
        <v>1496</v>
      </c>
      <c r="M767" t="s">
        <v>255</v>
      </c>
      <c r="N767" t="s">
        <v>1497</v>
      </c>
      <c r="O767" t="s">
        <v>528</v>
      </c>
      <c r="P767">
        <v>2277908</v>
      </c>
      <c r="Q767" t="s">
        <v>38</v>
      </c>
      <c r="R767">
        <v>415293</v>
      </c>
      <c r="S767" t="s">
        <v>1299</v>
      </c>
      <c r="T767" s="2">
        <v>1</v>
      </c>
      <c r="U767">
        <v>0</v>
      </c>
      <c r="V767" t="s">
        <v>153</v>
      </c>
      <c r="W767">
        <v>0</v>
      </c>
      <c r="X767">
        <v>0</v>
      </c>
      <c r="Y767">
        <v>0</v>
      </c>
      <c r="Z767" t="s">
        <v>88</v>
      </c>
      <c r="AA767" t="s">
        <v>311</v>
      </c>
      <c r="AB767" t="s">
        <v>10</v>
      </c>
      <c r="AC767">
        <v>0</v>
      </c>
      <c r="AD767">
        <v>0</v>
      </c>
      <c r="AE767">
        <v>726182084130</v>
      </c>
      <c r="AF767">
        <v>133.12</v>
      </c>
      <c r="AG767">
        <v>0</v>
      </c>
      <c r="AH767">
        <v>0</v>
      </c>
      <c r="AI767">
        <v>133.12</v>
      </c>
      <c r="AJ767" t="s">
        <v>2</v>
      </c>
      <c r="AK767" t="s">
        <v>11</v>
      </c>
    </row>
    <row r="768" spans="1:37">
      <c r="A768">
        <v>257815</v>
      </c>
      <c r="B768" s="1">
        <v>45366</v>
      </c>
      <c r="C768" t="s">
        <v>522</v>
      </c>
      <c r="D768" t="s">
        <v>523</v>
      </c>
      <c r="E768" t="s">
        <v>2</v>
      </c>
      <c r="F768" t="s">
        <v>34</v>
      </c>
      <c r="G768" t="s">
        <v>35</v>
      </c>
      <c r="H768">
        <v>63110</v>
      </c>
      <c r="I768" t="s">
        <v>1494</v>
      </c>
      <c r="J768" t="s">
        <v>1495</v>
      </c>
      <c r="K768" t="s">
        <v>2</v>
      </c>
      <c r="L768" t="s">
        <v>1496</v>
      </c>
      <c r="M768" t="s">
        <v>255</v>
      </c>
      <c r="N768" t="s">
        <v>1497</v>
      </c>
      <c r="O768" t="s">
        <v>528</v>
      </c>
      <c r="P768">
        <v>2277908</v>
      </c>
      <c r="Q768" t="s">
        <v>38</v>
      </c>
      <c r="R768">
        <v>415293</v>
      </c>
      <c r="S768" t="s">
        <v>1299</v>
      </c>
      <c r="T768" s="2">
        <v>1</v>
      </c>
      <c r="U768">
        <v>0</v>
      </c>
      <c r="V768" t="s">
        <v>153</v>
      </c>
      <c r="W768">
        <v>1</v>
      </c>
      <c r="X768">
        <v>1</v>
      </c>
      <c r="Y768">
        <v>0</v>
      </c>
      <c r="Z768" t="s">
        <v>1498</v>
      </c>
      <c r="AA768" t="s">
        <v>1499</v>
      </c>
      <c r="AB768" t="s">
        <v>14</v>
      </c>
      <c r="AC768">
        <v>133.12</v>
      </c>
      <c r="AD768">
        <v>133.12</v>
      </c>
      <c r="AE768">
        <v>726182084130</v>
      </c>
      <c r="AF768">
        <v>133.12</v>
      </c>
      <c r="AG768">
        <v>0</v>
      </c>
      <c r="AH768">
        <v>0</v>
      </c>
      <c r="AI768">
        <v>133.12</v>
      </c>
      <c r="AJ768" t="s">
        <v>2</v>
      </c>
      <c r="AK768" t="s">
        <v>11</v>
      </c>
    </row>
    <row r="769" spans="1:37">
      <c r="A769">
        <v>257815</v>
      </c>
      <c r="B769" s="1">
        <v>45366</v>
      </c>
      <c r="C769" t="s">
        <v>522</v>
      </c>
      <c r="D769" t="s">
        <v>523</v>
      </c>
      <c r="E769" t="s">
        <v>2</v>
      </c>
      <c r="F769" t="s">
        <v>34</v>
      </c>
      <c r="G769" t="s">
        <v>35</v>
      </c>
      <c r="H769">
        <v>63110</v>
      </c>
      <c r="I769" t="s">
        <v>1494</v>
      </c>
      <c r="J769" t="s">
        <v>1495</v>
      </c>
      <c r="K769" t="s">
        <v>2</v>
      </c>
      <c r="L769" t="s">
        <v>1496</v>
      </c>
      <c r="M769" t="s">
        <v>255</v>
      </c>
      <c r="N769" t="s">
        <v>1497</v>
      </c>
      <c r="O769" t="s">
        <v>528</v>
      </c>
      <c r="P769">
        <v>2277908</v>
      </c>
      <c r="Q769" t="s">
        <v>38</v>
      </c>
      <c r="R769">
        <v>415293</v>
      </c>
      <c r="S769" t="s">
        <v>1299</v>
      </c>
      <c r="T769" s="2">
        <v>1</v>
      </c>
      <c r="U769">
        <v>0</v>
      </c>
      <c r="V769" t="s">
        <v>153</v>
      </c>
      <c r="W769">
        <v>0</v>
      </c>
      <c r="X769">
        <v>0</v>
      </c>
      <c r="Y769">
        <v>0</v>
      </c>
      <c r="Z769" t="s">
        <v>88</v>
      </c>
      <c r="AA769" t="s">
        <v>251</v>
      </c>
      <c r="AB769" t="s">
        <v>10</v>
      </c>
      <c r="AC769">
        <v>0</v>
      </c>
      <c r="AD769">
        <v>0</v>
      </c>
      <c r="AE769">
        <v>726182084130</v>
      </c>
      <c r="AF769">
        <v>133.12</v>
      </c>
      <c r="AG769">
        <v>0</v>
      </c>
      <c r="AH769">
        <v>0</v>
      </c>
      <c r="AI769">
        <v>133.12</v>
      </c>
      <c r="AJ769" t="s">
        <v>2</v>
      </c>
      <c r="AK769" t="s">
        <v>11</v>
      </c>
    </row>
    <row r="770" spans="1:37">
      <c r="A770">
        <v>257815</v>
      </c>
      <c r="B770" s="1">
        <v>45366</v>
      </c>
      <c r="C770" t="s">
        <v>522</v>
      </c>
      <c r="D770" t="s">
        <v>523</v>
      </c>
      <c r="E770" t="s">
        <v>2</v>
      </c>
      <c r="F770" t="s">
        <v>34</v>
      </c>
      <c r="G770" t="s">
        <v>35</v>
      </c>
      <c r="H770">
        <v>63110</v>
      </c>
      <c r="I770" t="s">
        <v>1494</v>
      </c>
      <c r="J770" t="s">
        <v>1495</v>
      </c>
      <c r="K770" t="s">
        <v>2</v>
      </c>
      <c r="L770" t="s">
        <v>1496</v>
      </c>
      <c r="M770" t="s">
        <v>255</v>
      </c>
      <c r="N770" t="s">
        <v>1497</v>
      </c>
      <c r="O770" t="s">
        <v>528</v>
      </c>
      <c r="P770">
        <v>2277908</v>
      </c>
      <c r="Q770" t="s">
        <v>38</v>
      </c>
      <c r="R770">
        <v>415293</v>
      </c>
      <c r="S770" t="s">
        <v>1299</v>
      </c>
      <c r="T770" s="2">
        <v>1</v>
      </c>
      <c r="U770">
        <v>0</v>
      </c>
      <c r="V770" t="s">
        <v>153</v>
      </c>
      <c r="W770">
        <v>0</v>
      </c>
      <c r="X770">
        <v>0</v>
      </c>
      <c r="Y770">
        <v>0</v>
      </c>
      <c r="Z770" t="s">
        <v>88</v>
      </c>
      <c r="AA770" t="s">
        <v>1035</v>
      </c>
      <c r="AB770" t="s">
        <v>10</v>
      </c>
      <c r="AC770">
        <v>0</v>
      </c>
      <c r="AD770">
        <v>0</v>
      </c>
      <c r="AE770">
        <v>726182084130</v>
      </c>
      <c r="AF770">
        <v>133.12</v>
      </c>
      <c r="AG770">
        <v>0</v>
      </c>
      <c r="AH770">
        <v>0</v>
      </c>
      <c r="AI770">
        <v>133.12</v>
      </c>
      <c r="AJ770" t="s">
        <v>2</v>
      </c>
      <c r="AK770" t="s">
        <v>11</v>
      </c>
    </row>
    <row r="771" spans="1:37">
      <c r="A771">
        <v>257815</v>
      </c>
      <c r="B771" s="1">
        <v>45366</v>
      </c>
      <c r="C771" t="s">
        <v>522</v>
      </c>
      <c r="D771" t="s">
        <v>523</v>
      </c>
      <c r="E771" t="s">
        <v>2</v>
      </c>
      <c r="F771" t="s">
        <v>34</v>
      </c>
      <c r="G771" t="s">
        <v>35</v>
      </c>
      <c r="H771">
        <v>63110</v>
      </c>
      <c r="I771" t="s">
        <v>1494</v>
      </c>
      <c r="J771" t="s">
        <v>1495</v>
      </c>
      <c r="K771" t="s">
        <v>2</v>
      </c>
      <c r="L771" t="s">
        <v>1496</v>
      </c>
      <c r="M771" t="s">
        <v>255</v>
      </c>
      <c r="N771" t="s">
        <v>1497</v>
      </c>
      <c r="O771" t="s">
        <v>528</v>
      </c>
      <c r="P771">
        <v>2277908</v>
      </c>
      <c r="Q771" t="s">
        <v>38</v>
      </c>
      <c r="R771">
        <v>415293</v>
      </c>
      <c r="S771" t="s">
        <v>1299</v>
      </c>
      <c r="T771" s="2">
        <v>1</v>
      </c>
      <c r="U771">
        <v>0</v>
      </c>
      <c r="V771" t="s">
        <v>153</v>
      </c>
      <c r="W771">
        <v>0</v>
      </c>
      <c r="X771">
        <v>0</v>
      </c>
      <c r="Y771">
        <v>0</v>
      </c>
      <c r="Z771" t="s">
        <v>88</v>
      </c>
      <c r="AA771" t="e">
        <f>-MUST SHIP FEDEX PRIORITY</f>
        <v>#NAME?</v>
      </c>
      <c r="AB771" t="s">
        <v>10</v>
      </c>
      <c r="AC771">
        <v>0</v>
      </c>
      <c r="AD771">
        <v>0</v>
      </c>
      <c r="AE771">
        <v>726182084130</v>
      </c>
      <c r="AF771">
        <v>133.12</v>
      </c>
      <c r="AG771">
        <v>0</v>
      </c>
      <c r="AH771">
        <v>0</v>
      </c>
      <c r="AI771">
        <v>133.12</v>
      </c>
      <c r="AJ771" t="s">
        <v>2</v>
      </c>
      <c r="AK771" t="s">
        <v>11</v>
      </c>
    </row>
    <row r="772" spans="1:37">
      <c r="A772">
        <v>257815</v>
      </c>
      <c r="B772" s="1">
        <v>45366</v>
      </c>
      <c r="C772" t="s">
        <v>522</v>
      </c>
      <c r="D772" t="s">
        <v>523</v>
      </c>
      <c r="E772" t="s">
        <v>2</v>
      </c>
      <c r="F772" t="s">
        <v>34</v>
      </c>
      <c r="G772" t="s">
        <v>35</v>
      </c>
      <c r="H772">
        <v>63110</v>
      </c>
      <c r="I772" t="s">
        <v>1494</v>
      </c>
      <c r="J772" t="s">
        <v>1495</v>
      </c>
      <c r="K772" t="s">
        <v>2</v>
      </c>
      <c r="L772" t="s">
        <v>1496</v>
      </c>
      <c r="M772" t="s">
        <v>255</v>
      </c>
      <c r="N772" t="s">
        <v>1497</v>
      </c>
      <c r="O772" t="s">
        <v>528</v>
      </c>
      <c r="P772">
        <v>2277908</v>
      </c>
      <c r="Q772" t="s">
        <v>38</v>
      </c>
      <c r="R772">
        <v>415293</v>
      </c>
      <c r="S772" t="s">
        <v>1299</v>
      </c>
      <c r="T772" s="2">
        <v>1</v>
      </c>
      <c r="U772">
        <v>0</v>
      </c>
      <c r="V772" t="s">
        <v>153</v>
      </c>
      <c r="W772">
        <v>0</v>
      </c>
      <c r="X772">
        <v>0</v>
      </c>
      <c r="Y772">
        <v>0</v>
      </c>
      <c r="Z772" t="s">
        <v>88</v>
      </c>
      <c r="AA772" t="e">
        <f>-NEXT DAY AIR</f>
        <v>#NAME?</v>
      </c>
      <c r="AB772" t="s">
        <v>10</v>
      </c>
      <c r="AC772">
        <v>0</v>
      </c>
      <c r="AD772">
        <v>0</v>
      </c>
      <c r="AE772">
        <v>726182084130</v>
      </c>
      <c r="AF772">
        <v>133.12</v>
      </c>
      <c r="AG772">
        <v>0</v>
      </c>
      <c r="AH772">
        <v>0</v>
      </c>
      <c r="AI772">
        <v>133.12</v>
      </c>
      <c r="AJ772" t="s">
        <v>2</v>
      </c>
      <c r="AK772" t="s">
        <v>11</v>
      </c>
    </row>
    <row r="773" spans="1:37">
      <c r="A773">
        <v>257815</v>
      </c>
      <c r="B773" s="1">
        <v>45366</v>
      </c>
      <c r="C773" t="s">
        <v>522</v>
      </c>
      <c r="D773" t="s">
        <v>523</v>
      </c>
      <c r="E773" t="s">
        <v>2</v>
      </c>
      <c r="F773" t="s">
        <v>34</v>
      </c>
      <c r="G773" t="s">
        <v>35</v>
      </c>
      <c r="H773">
        <v>63110</v>
      </c>
      <c r="I773" t="s">
        <v>1494</v>
      </c>
      <c r="J773" t="s">
        <v>1495</v>
      </c>
      <c r="K773" t="s">
        <v>2</v>
      </c>
      <c r="L773" t="s">
        <v>1496</v>
      </c>
      <c r="M773" t="s">
        <v>255</v>
      </c>
      <c r="N773" t="s">
        <v>1497</v>
      </c>
      <c r="O773" t="s">
        <v>528</v>
      </c>
      <c r="P773">
        <v>2277908</v>
      </c>
      <c r="Q773" t="s">
        <v>38</v>
      </c>
      <c r="R773">
        <v>415293</v>
      </c>
      <c r="S773" t="s">
        <v>1299</v>
      </c>
      <c r="T773" s="2">
        <v>1</v>
      </c>
      <c r="U773">
        <v>0</v>
      </c>
      <c r="V773" t="s">
        <v>153</v>
      </c>
      <c r="W773">
        <v>0</v>
      </c>
      <c r="X773">
        <v>0</v>
      </c>
      <c r="Y773">
        <v>0</v>
      </c>
      <c r="Z773" t="s">
        <v>88</v>
      </c>
      <c r="AA773" t="s">
        <v>1035</v>
      </c>
      <c r="AB773" t="s">
        <v>10</v>
      </c>
      <c r="AC773">
        <v>0</v>
      </c>
      <c r="AD773">
        <v>0</v>
      </c>
      <c r="AE773">
        <v>726182084130</v>
      </c>
      <c r="AF773">
        <v>133.12</v>
      </c>
      <c r="AG773">
        <v>0</v>
      </c>
      <c r="AH773">
        <v>0</v>
      </c>
      <c r="AI773">
        <v>133.12</v>
      </c>
      <c r="AJ773" t="s">
        <v>2</v>
      </c>
      <c r="AK773" t="s">
        <v>11</v>
      </c>
    </row>
    <row r="774" spans="1:37">
      <c r="A774">
        <v>257816</v>
      </c>
      <c r="B774" s="1">
        <v>45366</v>
      </c>
      <c r="C774" t="s">
        <v>411</v>
      </c>
      <c r="D774" t="s">
        <v>412</v>
      </c>
      <c r="E774" t="s">
        <v>413</v>
      </c>
      <c r="F774" t="s">
        <v>414</v>
      </c>
      <c r="G774" t="s">
        <v>415</v>
      </c>
      <c r="H774">
        <v>89434</v>
      </c>
      <c r="I774" t="s">
        <v>1500</v>
      </c>
      <c r="J774" t="s">
        <v>1501</v>
      </c>
      <c r="K774" t="s">
        <v>1502</v>
      </c>
      <c r="L774" t="s">
        <v>1503</v>
      </c>
      <c r="M774" t="s">
        <v>28</v>
      </c>
      <c r="N774">
        <v>33309</v>
      </c>
      <c r="O774" t="s">
        <v>416</v>
      </c>
      <c r="P774" t="s">
        <v>1504</v>
      </c>
      <c r="Q774" t="s">
        <v>46</v>
      </c>
      <c r="R774">
        <v>413178</v>
      </c>
      <c r="S774" t="s">
        <v>84</v>
      </c>
      <c r="T774" s="2">
        <v>2</v>
      </c>
      <c r="U774">
        <v>0</v>
      </c>
      <c r="V774" t="s">
        <v>284</v>
      </c>
      <c r="W774">
        <v>0</v>
      </c>
      <c r="X774">
        <v>0</v>
      </c>
      <c r="Y774">
        <v>0</v>
      </c>
      <c r="Z774" t="s">
        <v>9</v>
      </c>
      <c r="AA774" t="s">
        <v>2</v>
      </c>
      <c r="AB774" t="s">
        <v>10</v>
      </c>
      <c r="AC774">
        <v>0</v>
      </c>
      <c r="AD774">
        <v>0</v>
      </c>
      <c r="AE774">
        <v>706810567357</v>
      </c>
      <c r="AF774">
        <v>3640.63</v>
      </c>
      <c r="AG774">
        <v>0</v>
      </c>
      <c r="AH774">
        <v>0</v>
      </c>
      <c r="AI774">
        <v>3640.63</v>
      </c>
      <c r="AJ774" t="s">
        <v>2</v>
      </c>
      <c r="AK774" t="s">
        <v>11</v>
      </c>
    </row>
    <row r="775" spans="1:37">
      <c r="A775">
        <v>257816</v>
      </c>
      <c r="B775" s="1">
        <v>45366</v>
      </c>
      <c r="C775" t="s">
        <v>411</v>
      </c>
      <c r="D775" t="s">
        <v>412</v>
      </c>
      <c r="E775" t="s">
        <v>413</v>
      </c>
      <c r="F775" t="s">
        <v>414</v>
      </c>
      <c r="G775" t="s">
        <v>415</v>
      </c>
      <c r="H775">
        <v>89434</v>
      </c>
      <c r="I775" t="s">
        <v>1500</v>
      </c>
      <c r="J775" t="s">
        <v>1501</v>
      </c>
      <c r="K775" t="s">
        <v>1502</v>
      </c>
      <c r="L775" t="s">
        <v>1503</v>
      </c>
      <c r="M775" t="s">
        <v>28</v>
      </c>
      <c r="N775">
        <v>33309</v>
      </c>
      <c r="O775" t="s">
        <v>416</v>
      </c>
      <c r="P775" t="s">
        <v>1504</v>
      </c>
      <c r="Q775" t="s">
        <v>46</v>
      </c>
      <c r="R775">
        <v>413178</v>
      </c>
      <c r="S775" t="s">
        <v>84</v>
      </c>
      <c r="T775" s="2">
        <v>2</v>
      </c>
      <c r="U775">
        <v>0</v>
      </c>
      <c r="V775" t="s">
        <v>284</v>
      </c>
      <c r="W775">
        <v>2</v>
      </c>
      <c r="X775">
        <v>2</v>
      </c>
      <c r="Y775">
        <v>0</v>
      </c>
      <c r="Z775" t="s">
        <v>1505</v>
      </c>
      <c r="AA775" t="s">
        <v>1506</v>
      </c>
      <c r="AB775" t="s">
        <v>14</v>
      </c>
      <c r="AC775">
        <v>1820.3169</v>
      </c>
      <c r="AD775">
        <v>3640.63</v>
      </c>
      <c r="AE775">
        <v>706810567357</v>
      </c>
      <c r="AF775">
        <v>3640.63</v>
      </c>
      <c r="AG775">
        <v>0</v>
      </c>
      <c r="AH775">
        <v>0</v>
      </c>
      <c r="AI775">
        <v>3640.63</v>
      </c>
      <c r="AJ775" t="s">
        <v>2</v>
      </c>
      <c r="AK775" t="s">
        <v>11</v>
      </c>
    </row>
    <row r="776" spans="1:37">
      <c r="A776">
        <v>257816</v>
      </c>
      <c r="B776" s="1">
        <v>45366</v>
      </c>
      <c r="C776" t="s">
        <v>411</v>
      </c>
      <c r="D776" t="s">
        <v>412</v>
      </c>
      <c r="E776" t="s">
        <v>413</v>
      </c>
      <c r="F776" t="s">
        <v>414</v>
      </c>
      <c r="G776" t="s">
        <v>415</v>
      </c>
      <c r="H776">
        <v>89434</v>
      </c>
      <c r="I776" t="s">
        <v>1500</v>
      </c>
      <c r="J776" t="s">
        <v>1501</v>
      </c>
      <c r="K776" t="s">
        <v>1502</v>
      </c>
      <c r="L776" t="s">
        <v>1503</v>
      </c>
      <c r="M776" t="s">
        <v>28</v>
      </c>
      <c r="N776">
        <v>33309</v>
      </c>
      <c r="O776" t="s">
        <v>416</v>
      </c>
      <c r="P776" t="s">
        <v>1504</v>
      </c>
      <c r="Q776" t="s">
        <v>46</v>
      </c>
      <c r="R776">
        <v>413178</v>
      </c>
      <c r="S776" t="s">
        <v>84</v>
      </c>
      <c r="T776" s="2">
        <v>2</v>
      </c>
      <c r="U776">
        <v>0</v>
      </c>
      <c r="V776" t="s">
        <v>284</v>
      </c>
      <c r="W776">
        <v>0</v>
      </c>
      <c r="X776">
        <v>0</v>
      </c>
      <c r="Y776">
        <v>0</v>
      </c>
      <c r="Z776" t="s">
        <v>88</v>
      </c>
      <c r="AA776" t="s">
        <v>890</v>
      </c>
      <c r="AB776" t="s">
        <v>10</v>
      </c>
      <c r="AC776">
        <v>0</v>
      </c>
      <c r="AD776">
        <v>0</v>
      </c>
      <c r="AE776">
        <v>706810567357</v>
      </c>
      <c r="AF776">
        <v>3640.63</v>
      </c>
      <c r="AG776">
        <v>0</v>
      </c>
      <c r="AH776">
        <v>0</v>
      </c>
      <c r="AI776">
        <v>3640.63</v>
      </c>
      <c r="AJ776" t="s">
        <v>2</v>
      </c>
      <c r="AK776" t="s">
        <v>11</v>
      </c>
    </row>
    <row r="777" spans="1:37">
      <c r="A777">
        <v>257817</v>
      </c>
      <c r="B777" s="1">
        <v>45366</v>
      </c>
      <c r="C777" t="s">
        <v>450</v>
      </c>
      <c r="D777" t="s">
        <v>451</v>
      </c>
      <c r="E777" t="s">
        <v>452</v>
      </c>
      <c r="F777" t="s">
        <v>453</v>
      </c>
      <c r="G777" t="s">
        <v>255</v>
      </c>
      <c r="H777">
        <v>60517</v>
      </c>
      <c r="I777" t="s">
        <v>1067</v>
      </c>
      <c r="J777" t="s">
        <v>1507</v>
      </c>
      <c r="K777" t="s">
        <v>2</v>
      </c>
      <c r="L777" t="s">
        <v>1508</v>
      </c>
      <c r="M777" t="s">
        <v>255</v>
      </c>
      <c r="N777" t="s">
        <v>1509</v>
      </c>
      <c r="O777" t="s">
        <v>458</v>
      </c>
      <c r="P777">
        <v>2278263</v>
      </c>
      <c r="Q777" t="s">
        <v>38</v>
      </c>
      <c r="R777">
        <v>415499</v>
      </c>
      <c r="S777" t="s">
        <v>84</v>
      </c>
      <c r="T777" s="2">
        <v>1</v>
      </c>
      <c r="U777">
        <v>0</v>
      </c>
      <c r="V777" t="s">
        <v>153</v>
      </c>
      <c r="W777">
        <v>0</v>
      </c>
      <c r="X777">
        <v>0</v>
      </c>
      <c r="Y777">
        <v>0</v>
      </c>
      <c r="Z777" t="s">
        <v>9</v>
      </c>
      <c r="AA777" t="s">
        <v>2</v>
      </c>
      <c r="AB777" t="s">
        <v>10</v>
      </c>
      <c r="AC777">
        <v>0</v>
      </c>
      <c r="AD777">
        <v>0</v>
      </c>
      <c r="AE777">
        <v>726182083877</v>
      </c>
      <c r="AF777">
        <v>39.57</v>
      </c>
      <c r="AG777">
        <v>0</v>
      </c>
      <c r="AH777">
        <v>12.69</v>
      </c>
      <c r="AI777">
        <v>52.26</v>
      </c>
      <c r="AJ777" t="s">
        <v>2</v>
      </c>
      <c r="AK777" t="s">
        <v>11</v>
      </c>
    </row>
    <row r="778" spans="1:37">
      <c r="A778">
        <v>257817</v>
      </c>
      <c r="B778" s="1">
        <v>45366</v>
      </c>
      <c r="C778" t="s">
        <v>450</v>
      </c>
      <c r="D778" t="s">
        <v>451</v>
      </c>
      <c r="E778" t="s">
        <v>452</v>
      </c>
      <c r="F778" t="s">
        <v>453</v>
      </c>
      <c r="G778" t="s">
        <v>255</v>
      </c>
      <c r="H778">
        <v>60517</v>
      </c>
      <c r="I778" t="s">
        <v>1067</v>
      </c>
      <c r="J778" t="s">
        <v>1507</v>
      </c>
      <c r="K778" t="s">
        <v>2</v>
      </c>
      <c r="L778" t="s">
        <v>1508</v>
      </c>
      <c r="M778" t="s">
        <v>255</v>
      </c>
      <c r="N778" t="s">
        <v>1509</v>
      </c>
      <c r="O778" t="s">
        <v>458</v>
      </c>
      <c r="P778">
        <v>2278263</v>
      </c>
      <c r="Q778" t="s">
        <v>38</v>
      </c>
      <c r="R778">
        <v>415499</v>
      </c>
      <c r="S778" t="s">
        <v>84</v>
      </c>
      <c r="T778" s="2">
        <v>1</v>
      </c>
      <c r="U778">
        <v>0</v>
      </c>
      <c r="V778" t="s">
        <v>153</v>
      </c>
      <c r="W778">
        <v>1</v>
      </c>
      <c r="X778">
        <v>1</v>
      </c>
      <c r="Y778">
        <v>0</v>
      </c>
      <c r="Z778" t="s">
        <v>1510</v>
      </c>
      <c r="AA778" t="s">
        <v>1511</v>
      </c>
      <c r="AB778" t="s">
        <v>14</v>
      </c>
      <c r="AC778">
        <v>39.57</v>
      </c>
      <c r="AD778">
        <v>39.57</v>
      </c>
      <c r="AE778">
        <v>726182083877</v>
      </c>
      <c r="AF778">
        <v>39.57</v>
      </c>
      <c r="AG778">
        <v>0</v>
      </c>
      <c r="AH778">
        <v>12.69</v>
      </c>
      <c r="AI778">
        <v>52.26</v>
      </c>
      <c r="AJ778" t="s">
        <v>2</v>
      </c>
      <c r="AK778" t="s">
        <v>11</v>
      </c>
    </row>
    <row r="779" spans="1:37">
      <c r="A779">
        <v>257817</v>
      </c>
      <c r="B779" s="1">
        <v>45366</v>
      </c>
      <c r="C779" t="s">
        <v>450</v>
      </c>
      <c r="D779" t="s">
        <v>451</v>
      </c>
      <c r="E779" t="s">
        <v>452</v>
      </c>
      <c r="F779" t="s">
        <v>453</v>
      </c>
      <c r="G779" t="s">
        <v>255</v>
      </c>
      <c r="H779">
        <v>60517</v>
      </c>
      <c r="I779" t="s">
        <v>1067</v>
      </c>
      <c r="J779" t="s">
        <v>1507</v>
      </c>
      <c r="K779" t="s">
        <v>2</v>
      </c>
      <c r="L779" t="s">
        <v>1508</v>
      </c>
      <c r="M779" t="s">
        <v>255</v>
      </c>
      <c r="N779" t="s">
        <v>1509</v>
      </c>
      <c r="O779" t="s">
        <v>458</v>
      </c>
      <c r="P779">
        <v>2278263</v>
      </c>
      <c r="Q779" t="s">
        <v>38</v>
      </c>
      <c r="R779">
        <v>415499</v>
      </c>
      <c r="S779" t="s">
        <v>84</v>
      </c>
      <c r="T779" s="2">
        <v>1</v>
      </c>
      <c r="U779">
        <v>0</v>
      </c>
      <c r="V779" t="s">
        <v>153</v>
      </c>
      <c r="W779">
        <v>0</v>
      </c>
      <c r="X779">
        <v>0</v>
      </c>
      <c r="Y779">
        <v>0</v>
      </c>
      <c r="Z779" t="s">
        <v>88</v>
      </c>
      <c r="AA779" t="s">
        <v>144</v>
      </c>
      <c r="AB779" t="s">
        <v>10</v>
      </c>
      <c r="AC779">
        <v>0</v>
      </c>
      <c r="AD779">
        <v>0</v>
      </c>
      <c r="AE779">
        <v>726182083877</v>
      </c>
      <c r="AF779">
        <v>39.57</v>
      </c>
      <c r="AG779">
        <v>0</v>
      </c>
      <c r="AH779">
        <v>12.69</v>
      </c>
      <c r="AI779">
        <v>52.26</v>
      </c>
      <c r="AJ779" t="s">
        <v>2</v>
      </c>
      <c r="AK779" t="s">
        <v>11</v>
      </c>
    </row>
    <row r="780" spans="1:37">
      <c r="A780">
        <v>257818</v>
      </c>
      <c r="B780" s="1">
        <v>45366</v>
      </c>
      <c r="C780" t="s">
        <v>572</v>
      </c>
      <c r="D780" t="s">
        <v>573</v>
      </c>
      <c r="E780" t="s">
        <v>2</v>
      </c>
      <c r="F780" t="s">
        <v>574</v>
      </c>
      <c r="G780" t="s">
        <v>575</v>
      </c>
      <c r="H780">
        <v>48189</v>
      </c>
      <c r="I780" t="s">
        <v>1512</v>
      </c>
      <c r="J780" t="s">
        <v>1513</v>
      </c>
      <c r="K780" t="s">
        <v>2</v>
      </c>
      <c r="L780" t="s">
        <v>920</v>
      </c>
      <c r="M780" t="s">
        <v>575</v>
      </c>
      <c r="N780" t="s">
        <v>1514</v>
      </c>
      <c r="O780" t="s">
        <v>581</v>
      </c>
      <c r="P780">
        <v>2278210</v>
      </c>
      <c r="Q780" t="s">
        <v>38</v>
      </c>
      <c r="R780">
        <v>415469</v>
      </c>
      <c r="S780" t="s">
        <v>84</v>
      </c>
      <c r="T780" s="2">
        <v>1</v>
      </c>
      <c r="U780">
        <v>0</v>
      </c>
      <c r="V780" t="s">
        <v>153</v>
      </c>
      <c r="W780">
        <v>0</v>
      </c>
      <c r="X780">
        <v>0</v>
      </c>
      <c r="Y780">
        <v>0</v>
      </c>
      <c r="Z780" t="s">
        <v>9</v>
      </c>
      <c r="AA780" t="s">
        <v>2</v>
      </c>
      <c r="AB780" t="s">
        <v>10</v>
      </c>
      <c r="AC780">
        <v>0</v>
      </c>
      <c r="AD780">
        <v>0</v>
      </c>
      <c r="AE780">
        <v>726182083465</v>
      </c>
      <c r="AF780">
        <v>106.5</v>
      </c>
      <c r="AG780">
        <v>0</v>
      </c>
      <c r="AH780">
        <v>60.83</v>
      </c>
      <c r="AI780">
        <v>167.33</v>
      </c>
      <c r="AJ780" t="s">
        <v>2</v>
      </c>
      <c r="AK780" t="s">
        <v>11</v>
      </c>
    </row>
    <row r="781" spans="1:37">
      <c r="A781">
        <v>257818</v>
      </c>
      <c r="B781" s="1">
        <v>45366</v>
      </c>
      <c r="C781" t="s">
        <v>572</v>
      </c>
      <c r="D781" t="s">
        <v>573</v>
      </c>
      <c r="E781" t="s">
        <v>2</v>
      </c>
      <c r="F781" t="s">
        <v>574</v>
      </c>
      <c r="G781" t="s">
        <v>575</v>
      </c>
      <c r="H781">
        <v>48189</v>
      </c>
      <c r="I781" t="s">
        <v>1512</v>
      </c>
      <c r="J781" t="s">
        <v>1513</v>
      </c>
      <c r="K781" t="s">
        <v>2</v>
      </c>
      <c r="L781" t="s">
        <v>920</v>
      </c>
      <c r="M781" t="s">
        <v>575</v>
      </c>
      <c r="N781" t="s">
        <v>1514</v>
      </c>
      <c r="O781" t="s">
        <v>581</v>
      </c>
      <c r="P781">
        <v>2278210</v>
      </c>
      <c r="Q781" t="s">
        <v>38</v>
      </c>
      <c r="R781">
        <v>415469</v>
      </c>
      <c r="S781" t="s">
        <v>84</v>
      </c>
      <c r="T781" s="2">
        <v>1</v>
      </c>
      <c r="U781">
        <v>0</v>
      </c>
      <c r="V781" t="s">
        <v>153</v>
      </c>
      <c r="W781">
        <v>1</v>
      </c>
      <c r="X781">
        <v>1</v>
      </c>
      <c r="Y781">
        <v>0</v>
      </c>
      <c r="Z781" t="s">
        <v>1515</v>
      </c>
      <c r="AA781" t="s">
        <v>1516</v>
      </c>
      <c r="AB781" t="s">
        <v>14</v>
      </c>
      <c r="AC781">
        <v>106.5</v>
      </c>
      <c r="AD781">
        <v>106.5</v>
      </c>
      <c r="AE781">
        <v>726182083465</v>
      </c>
      <c r="AF781">
        <v>106.5</v>
      </c>
      <c r="AG781">
        <v>0</v>
      </c>
      <c r="AH781">
        <v>60.83</v>
      </c>
      <c r="AI781">
        <v>167.33</v>
      </c>
      <c r="AJ781" t="s">
        <v>2</v>
      </c>
      <c r="AK781" t="s">
        <v>11</v>
      </c>
    </row>
    <row r="782" spans="1:37">
      <c r="A782">
        <v>257818</v>
      </c>
      <c r="B782" s="1">
        <v>45366</v>
      </c>
      <c r="C782" t="s">
        <v>572</v>
      </c>
      <c r="D782" t="s">
        <v>573</v>
      </c>
      <c r="E782" t="s">
        <v>2</v>
      </c>
      <c r="F782" t="s">
        <v>574</v>
      </c>
      <c r="G782" t="s">
        <v>575</v>
      </c>
      <c r="H782">
        <v>48189</v>
      </c>
      <c r="I782" t="s">
        <v>1512</v>
      </c>
      <c r="J782" t="s">
        <v>1513</v>
      </c>
      <c r="K782" t="s">
        <v>2</v>
      </c>
      <c r="L782" t="s">
        <v>920</v>
      </c>
      <c r="M782" t="s">
        <v>575</v>
      </c>
      <c r="N782" t="s">
        <v>1514</v>
      </c>
      <c r="O782" t="s">
        <v>581</v>
      </c>
      <c r="P782">
        <v>2278210</v>
      </c>
      <c r="Q782" t="s">
        <v>38</v>
      </c>
      <c r="R782">
        <v>415469</v>
      </c>
      <c r="S782" t="s">
        <v>84</v>
      </c>
      <c r="T782" s="2">
        <v>1</v>
      </c>
      <c r="U782">
        <v>0</v>
      </c>
      <c r="V782" t="s">
        <v>153</v>
      </c>
      <c r="W782">
        <v>0</v>
      </c>
      <c r="X782">
        <v>0</v>
      </c>
      <c r="Y782">
        <v>0</v>
      </c>
      <c r="Z782" t="s">
        <v>88</v>
      </c>
      <c r="AA782" t="s">
        <v>251</v>
      </c>
      <c r="AB782" t="s">
        <v>10</v>
      </c>
      <c r="AC782">
        <v>0</v>
      </c>
      <c r="AD782">
        <v>0</v>
      </c>
      <c r="AE782">
        <v>726182083465</v>
      </c>
      <c r="AF782">
        <v>106.5</v>
      </c>
      <c r="AG782">
        <v>0</v>
      </c>
      <c r="AH782">
        <v>60.83</v>
      </c>
      <c r="AI782">
        <v>167.33</v>
      </c>
      <c r="AJ782" t="s">
        <v>2</v>
      </c>
      <c r="AK782" t="s">
        <v>11</v>
      </c>
    </row>
    <row r="783" spans="1:37">
      <c r="A783">
        <v>257819</v>
      </c>
      <c r="B783" s="1">
        <v>45366</v>
      </c>
      <c r="C783" t="s">
        <v>646</v>
      </c>
      <c r="D783" t="s">
        <v>647</v>
      </c>
      <c r="E783" t="s">
        <v>2</v>
      </c>
      <c r="F783" t="s">
        <v>648</v>
      </c>
      <c r="G783" t="s">
        <v>579</v>
      </c>
      <c r="H783">
        <v>43230</v>
      </c>
      <c r="I783" t="s">
        <v>1517</v>
      </c>
      <c r="J783" t="s">
        <v>1518</v>
      </c>
      <c r="K783" t="s">
        <v>2</v>
      </c>
      <c r="L783" t="s">
        <v>1519</v>
      </c>
      <c r="M783" t="s">
        <v>579</v>
      </c>
      <c r="N783" t="s">
        <v>1520</v>
      </c>
      <c r="O783" t="s">
        <v>653</v>
      </c>
      <c r="P783">
        <v>2278214</v>
      </c>
      <c r="Q783" t="s">
        <v>38</v>
      </c>
      <c r="R783">
        <v>415468</v>
      </c>
      <c r="S783" t="s">
        <v>84</v>
      </c>
      <c r="T783" s="2">
        <v>1</v>
      </c>
      <c r="U783">
        <v>0</v>
      </c>
      <c r="V783" t="s">
        <v>153</v>
      </c>
      <c r="W783">
        <v>0</v>
      </c>
      <c r="X783">
        <v>0</v>
      </c>
      <c r="Y783">
        <v>0</v>
      </c>
      <c r="Z783" t="s">
        <v>9</v>
      </c>
      <c r="AA783" t="s">
        <v>2</v>
      </c>
      <c r="AB783" t="s">
        <v>10</v>
      </c>
      <c r="AC783">
        <v>0</v>
      </c>
      <c r="AD783">
        <v>0</v>
      </c>
      <c r="AE783">
        <v>726182083476</v>
      </c>
      <c r="AF783">
        <v>230.25</v>
      </c>
      <c r="AG783">
        <v>0</v>
      </c>
      <c r="AH783">
        <v>35.86</v>
      </c>
      <c r="AI783">
        <v>266.11</v>
      </c>
      <c r="AJ783" t="s">
        <v>2</v>
      </c>
      <c r="AK783" t="s">
        <v>11</v>
      </c>
    </row>
    <row r="784" spans="1:37">
      <c r="A784">
        <v>257819</v>
      </c>
      <c r="B784" s="1">
        <v>45366</v>
      </c>
      <c r="C784" t="s">
        <v>646</v>
      </c>
      <c r="D784" t="s">
        <v>647</v>
      </c>
      <c r="E784" t="s">
        <v>2</v>
      </c>
      <c r="F784" t="s">
        <v>648</v>
      </c>
      <c r="G784" t="s">
        <v>579</v>
      </c>
      <c r="H784">
        <v>43230</v>
      </c>
      <c r="I784" t="s">
        <v>1517</v>
      </c>
      <c r="J784" t="s">
        <v>1518</v>
      </c>
      <c r="K784" t="s">
        <v>2</v>
      </c>
      <c r="L784" t="s">
        <v>1519</v>
      </c>
      <c r="M784" t="s">
        <v>579</v>
      </c>
      <c r="N784" t="s">
        <v>1520</v>
      </c>
      <c r="O784" t="s">
        <v>653</v>
      </c>
      <c r="P784">
        <v>2278214</v>
      </c>
      <c r="Q784" t="s">
        <v>38</v>
      </c>
      <c r="R784">
        <v>415468</v>
      </c>
      <c r="S784" t="s">
        <v>84</v>
      </c>
      <c r="T784" s="2">
        <v>1</v>
      </c>
      <c r="U784">
        <v>0</v>
      </c>
      <c r="V784" t="s">
        <v>153</v>
      </c>
      <c r="W784">
        <v>1</v>
      </c>
      <c r="X784">
        <v>1</v>
      </c>
      <c r="Y784">
        <v>0</v>
      </c>
      <c r="Z784" t="s">
        <v>560</v>
      </c>
      <c r="AA784" t="s">
        <v>561</v>
      </c>
      <c r="AB784" t="s">
        <v>14</v>
      </c>
      <c r="AC784">
        <v>230.25</v>
      </c>
      <c r="AD784">
        <v>230.25</v>
      </c>
      <c r="AE784">
        <v>726182083476</v>
      </c>
      <c r="AF784">
        <v>230.25</v>
      </c>
      <c r="AG784">
        <v>0</v>
      </c>
      <c r="AH784">
        <v>35.86</v>
      </c>
      <c r="AI784">
        <v>266.11</v>
      </c>
      <c r="AJ784" t="s">
        <v>2</v>
      </c>
      <c r="AK784" t="s">
        <v>11</v>
      </c>
    </row>
    <row r="785" spans="1:37">
      <c r="A785">
        <v>257819</v>
      </c>
      <c r="B785" s="1">
        <v>45366</v>
      </c>
      <c r="C785" t="s">
        <v>646</v>
      </c>
      <c r="D785" t="s">
        <v>647</v>
      </c>
      <c r="E785" t="s">
        <v>2</v>
      </c>
      <c r="F785" t="s">
        <v>648</v>
      </c>
      <c r="G785" t="s">
        <v>579</v>
      </c>
      <c r="H785">
        <v>43230</v>
      </c>
      <c r="I785" t="s">
        <v>1517</v>
      </c>
      <c r="J785" t="s">
        <v>1518</v>
      </c>
      <c r="K785" t="s">
        <v>2</v>
      </c>
      <c r="L785" t="s">
        <v>1519</v>
      </c>
      <c r="M785" t="s">
        <v>579</v>
      </c>
      <c r="N785" t="s">
        <v>1520</v>
      </c>
      <c r="O785" t="s">
        <v>653</v>
      </c>
      <c r="P785">
        <v>2278214</v>
      </c>
      <c r="Q785" t="s">
        <v>38</v>
      </c>
      <c r="R785">
        <v>415468</v>
      </c>
      <c r="S785" t="s">
        <v>84</v>
      </c>
      <c r="T785" s="2">
        <v>1</v>
      </c>
      <c r="U785">
        <v>0</v>
      </c>
      <c r="V785" t="s">
        <v>153</v>
      </c>
      <c r="W785">
        <v>0</v>
      </c>
      <c r="X785">
        <v>0</v>
      </c>
      <c r="Y785">
        <v>0</v>
      </c>
      <c r="Z785" t="s">
        <v>88</v>
      </c>
      <c r="AA785" t="s">
        <v>116</v>
      </c>
      <c r="AB785" t="s">
        <v>10</v>
      </c>
      <c r="AC785">
        <v>0</v>
      </c>
      <c r="AD785">
        <v>0</v>
      </c>
      <c r="AE785">
        <v>726182083476</v>
      </c>
      <c r="AF785">
        <v>230.25</v>
      </c>
      <c r="AG785">
        <v>0</v>
      </c>
      <c r="AH785">
        <v>35.86</v>
      </c>
      <c r="AI785">
        <v>266.11</v>
      </c>
      <c r="AJ785" t="s">
        <v>2</v>
      </c>
      <c r="AK785" t="s">
        <v>11</v>
      </c>
    </row>
    <row r="786" spans="1:37">
      <c r="A786">
        <v>257820</v>
      </c>
      <c r="B786" s="1">
        <v>45366</v>
      </c>
      <c r="C786" t="s">
        <v>1521</v>
      </c>
      <c r="D786" t="s">
        <v>1522</v>
      </c>
      <c r="E786" t="s">
        <v>1523</v>
      </c>
      <c r="F786" t="s">
        <v>866</v>
      </c>
      <c r="G786" t="s">
        <v>67</v>
      </c>
      <c r="H786">
        <v>77041</v>
      </c>
      <c r="I786" t="s">
        <v>1524</v>
      </c>
      <c r="J786" t="s">
        <v>1525</v>
      </c>
      <c r="K786" t="s">
        <v>2</v>
      </c>
      <c r="L786" t="s">
        <v>866</v>
      </c>
      <c r="M786" t="s">
        <v>67</v>
      </c>
      <c r="N786" t="s">
        <v>1526</v>
      </c>
      <c r="O786" t="s">
        <v>1527</v>
      </c>
      <c r="P786">
        <v>2278240</v>
      </c>
      <c r="Q786" t="s">
        <v>38</v>
      </c>
      <c r="R786">
        <v>415483</v>
      </c>
      <c r="S786" t="s">
        <v>84</v>
      </c>
      <c r="T786" s="2">
        <v>0</v>
      </c>
      <c r="U786">
        <v>0</v>
      </c>
      <c r="V786" t="s">
        <v>153</v>
      </c>
      <c r="W786">
        <v>0</v>
      </c>
      <c r="X786">
        <v>0</v>
      </c>
      <c r="Y786">
        <v>0</v>
      </c>
      <c r="Z786" t="s">
        <v>9</v>
      </c>
      <c r="AA786" t="s">
        <v>2</v>
      </c>
      <c r="AB786" t="s">
        <v>10</v>
      </c>
      <c r="AC786">
        <v>0</v>
      </c>
      <c r="AD786">
        <v>0</v>
      </c>
      <c r="AE786">
        <v>726182083487</v>
      </c>
      <c r="AF786">
        <v>2003.09</v>
      </c>
      <c r="AG786">
        <v>0</v>
      </c>
      <c r="AH786">
        <v>91.64</v>
      </c>
      <c r="AI786">
        <v>2094.73</v>
      </c>
      <c r="AJ786" t="s">
        <v>2</v>
      </c>
      <c r="AK786" t="s">
        <v>11</v>
      </c>
    </row>
    <row r="787" spans="1:37">
      <c r="A787">
        <v>257820</v>
      </c>
      <c r="B787" s="1">
        <v>45366</v>
      </c>
      <c r="C787" t="s">
        <v>1521</v>
      </c>
      <c r="D787" t="s">
        <v>1522</v>
      </c>
      <c r="E787" t="s">
        <v>1523</v>
      </c>
      <c r="F787" t="s">
        <v>866</v>
      </c>
      <c r="G787" t="s">
        <v>67</v>
      </c>
      <c r="H787">
        <v>77041</v>
      </c>
      <c r="I787" t="s">
        <v>1524</v>
      </c>
      <c r="J787" t="s">
        <v>1525</v>
      </c>
      <c r="K787" t="s">
        <v>2</v>
      </c>
      <c r="L787" t="s">
        <v>866</v>
      </c>
      <c r="M787" t="s">
        <v>67</v>
      </c>
      <c r="N787" t="s">
        <v>1526</v>
      </c>
      <c r="O787" t="s">
        <v>1527</v>
      </c>
      <c r="P787">
        <v>2278240</v>
      </c>
      <c r="Q787" t="s">
        <v>38</v>
      </c>
      <c r="R787">
        <v>415483</v>
      </c>
      <c r="S787" t="s">
        <v>84</v>
      </c>
      <c r="T787" s="2">
        <v>0</v>
      </c>
      <c r="U787">
        <v>0</v>
      </c>
      <c r="V787" t="s">
        <v>153</v>
      </c>
      <c r="W787">
        <v>1</v>
      </c>
      <c r="X787">
        <v>1</v>
      </c>
      <c r="Y787">
        <v>0</v>
      </c>
      <c r="Z787" t="s">
        <v>1528</v>
      </c>
      <c r="AA787" t="s">
        <v>1529</v>
      </c>
      <c r="AB787" t="s">
        <v>14</v>
      </c>
      <c r="AC787">
        <v>2356.58</v>
      </c>
      <c r="AD787">
        <v>2356.58</v>
      </c>
      <c r="AE787">
        <v>726182083487</v>
      </c>
      <c r="AF787">
        <v>2003.09</v>
      </c>
      <c r="AG787">
        <v>0</v>
      </c>
      <c r="AH787">
        <v>91.64</v>
      </c>
      <c r="AI787">
        <v>2094.73</v>
      </c>
      <c r="AJ787" t="s">
        <v>2</v>
      </c>
      <c r="AK787" t="s">
        <v>11</v>
      </c>
    </row>
    <row r="788" spans="1:37">
      <c r="A788">
        <v>257820</v>
      </c>
      <c r="B788" s="1">
        <v>45366</v>
      </c>
      <c r="C788" t="s">
        <v>1521</v>
      </c>
      <c r="D788" t="s">
        <v>1522</v>
      </c>
      <c r="E788" t="s">
        <v>1523</v>
      </c>
      <c r="F788" t="s">
        <v>866</v>
      </c>
      <c r="G788" t="s">
        <v>67</v>
      </c>
      <c r="H788">
        <v>77041</v>
      </c>
      <c r="I788" t="s">
        <v>1524</v>
      </c>
      <c r="J788" t="s">
        <v>1525</v>
      </c>
      <c r="K788" t="s">
        <v>2</v>
      </c>
      <c r="L788" t="s">
        <v>866</v>
      </c>
      <c r="M788" t="s">
        <v>67</v>
      </c>
      <c r="N788" t="s">
        <v>1526</v>
      </c>
      <c r="O788" t="s">
        <v>1527</v>
      </c>
      <c r="P788">
        <v>2278240</v>
      </c>
      <c r="Q788" t="s">
        <v>38</v>
      </c>
      <c r="R788">
        <v>415483</v>
      </c>
      <c r="S788" t="s">
        <v>84</v>
      </c>
      <c r="T788" s="2">
        <v>0</v>
      </c>
      <c r="U788">
        <v>0</v>
      </c>
      <c r="V788" t="s">
        <v>153</v>
      </c>
      <c r="W788">
        <v>0</v>
      </c>
      <c r="X788">
        <v>0</v>
      </c>
      <c r="Y788">
        <v>0</v>
      </c>
      <c r="Z788" t="s">
        <v>88</v>
      </c>
      <c r="AA788" t="s">
        <v>1530</v>
      </c>
      <c r="AB788" t="s">
        <v>10</v>
      </c>
      <c r="AC788">
        <v>0</v>
      </c>
      <c r="AD788">
        <v>0</v>
      </c>
      <c r="AE788">
        <v>726182083487</v>
      </c>
      <c r="AF788">
        <v>2003.09</v>
      </c>
      <c r="AG788">
        <v>0</v>
      </c>
      <c r="AH788">
        <v>91.64</v>
      </c>
      <c r="AI788">
        <v>2094.73</v>
      </c>
      <c r="AJ788" t="s">
        <v>2</v>
      </c>
      <c r="AK788" t="s">
        <v>11</v>
      </c>
    </row>
    <row r="789" spans="1:37">
      <c r="A789">
        <v>257820</v>
      </c>
      <c r="B789" s="1">
        <v>45366</v>
      </c>
      <c r="C789" t="s">
        <v>1521</v>
      </c>
      <c r="D789" t="s">
        <v>1522</v>
      </c>
      <c r="E789" t="s">
        <v>1523</v>
      </c>
      <c r="F789" t="s">
        <v>866</v>
      </c>
      <c r="G789" t="s">
        <v>67</v>
      </c>
      <c r="H789">
        <v>77041</v>
      </c>
      <c r="I789" t="s">
        <v>1524</v>
      </c>
      <c r="J789" t="s">
        <v>1525</v>
      </c>
      <c r="K789" t="s">
        <v>2</v>
      </c>
      <c r="L789" t="s">
        <v>866</v>
      </c>
      <c r="M789" t="s">
        <v>67</v>
      </c>
      <c r="N789" t="s">
        <v>1526</v>
      </c>
      <c r="O789" t="s">
        <v>1527</v>
      </c>
      <c r="P789">
        <v>2278240</v>
      </c>
      <c r="Q789" t="s">
        <v>38</v>
      </c>
      <c r="R789">
        <v>415483</v>
      </c>
      <c r="S789" t="s">
        <v>84</v>
      </c>
      <c r="T789" s="2">
        <v>0</v>
      </c>
      <c r="U789">
        <v>0</v>
      </c>
      <c r="V789" t="s">
        <v>153</v>
      </c>
      <c r="W789">
        <v>-1</v>
      </c>
      <c r="X789">
        <v>-1</v>
      </c>
      <c r="Y789">
        <v>0</v>
      </c>
      <c r="Z789" t="s">
        <v>1531</v>
      </c>
      <c r="AA789" t="s">
        <v>264</v>
      </c>
      <c r="AB789" t="s">
        <v>14</v>
      </c>
      <c r="AC789">
        <v>353.49</v>
      </c>
      <c r="AD789">
        <v>-353.49</v>
      </c>
      <c r="AE789">
        <v>726182083487</v>
      </c>
      <c r="AF789">
        <v>2003.09</v>
      </c>
      <c r="AG789">
        <v>0</v>
      </c>
      <c r="AH789">
        <v>91.64</v>
      </c>
      <c r="AI789">
        <v>2094.73</v>
      </c>
      <c r="AJ789" t="s">
        <v>2</v>
      </c>
      <c r="AK789" t="s">
        <v>11</v>
      </c>
    </row>
    <row r="790" spans="1:37">
      <c r="A790">
        <v>257820</v>
      </c>
      <c r="B790" s="1">
        <v>45366</v>
      </c>
      <c r="C790" t="s">
        <v>1521</v>
      </c>
      <c r="D790" t="s">
        <v>1522</v>
      </c>
      <c r="E790" t="s">
        <v>1523</v>
      </c>
      <c r="F790" t="s">
        <v>866</v>
      </c>
      <c r="G790" t="s">
        <v>67</v>
      </c>
      <c r="H790">
        <v>77041</v>
      </c>
      <c r="I790" t="s">
        <v>1524</v>
      </c>
      <c r="J790" t="s">
        <v>1525</v>
      </c>
      <c r="K790" t="s">
        <v>2</v>
      </c>
      <c r="L790" t="s">
        <v>866</v>
      </c>
      <c r="M790" t="s">
        <v>67</v>
      </c>
      <c r="N790" t="s">
        <v>1526</v>
      </c>
      <c r="O790" t="s">
        <v>1527</v>
      </c>
      <c r="P790">
        <v>2278240</v>
      </c>
      <c r="Q790" t="s">
        <v>38</v>
      </c>
      <c r="R790">
        <v>415483</v>
      </c>
      <c r="S790" t="s">
        <v>84</v>
      </c>
      <c r="T790" s="2">
        <v>0</v>
      </c>
      <c r="U790">
        <v>0</v>
      </c>
      <c r="V790" t="s">
        <v>153</v>
      </c>
      <c r="W790">
        <v>0</v>
      </c>
      <c r="X790">
        <v>0</v>
      </c>
      <c r="Y790">
        <v>0</v>
      </c>
      <c r="Z790" t="s">
        <v>88</v>
      </c>
      <c r="AA790" t="s">
        <v>1532</v>
      </c>
      <c r="AB790" t="s">
        <v>10</v>
      </c>
      <c r="AC790">
        <v>0</v>
      </c>
      <c r="AD790">
        <v>0</v>
      </c>
      <c r="AE790">
        <v>726182083487</v>
      </c>
      <c r="AF790">
        <v>2003.09</v>
      </c>
      <c r="AG790">
        <v>0</v>
      </c>
      <c r="AH790">
        <v>91.64</v>
      </c>
      <c r="AI790">
        <v>2094.73</v>
      </c>
      <c r="AJ790" t="s">
        <v>2</v>
      </c>
      <c r="AK790" t="s">
        <v>11</v>
      </c>
    </row>
    <row r="791" spans="1:37">
      <c r="A791">
        <v>257821</v>
      </c>
      <c r="B791" s="1">
        <v>45366</v>
      </c>
      <c r="C791" t="s">
        <v>241</v>
      </c>
      <c r="D791" t="s">
        <v>242</v>
      </c>
      <c r="E791" t="s">
        <v>2</v>
      </c>
      <c r="F791" t="s">
        <v>243</v>
      </c>
      <c r="G791" t="s">
        <v>60</v>
      </c>
      <c r="H791">
        <v>1821</v>
      </c>
      <c r="I791" t="s">
        <v>1533</v>
      </c>
      <c r="J791" t="s">
        <v>1534</v>
      </c>
      <c r="K791" t="s">
        <v>2</v>
      </c>
      <c r="L791" t="s">
        <v>1535</v>
      </c>
      <c r="M791" t="s">
        <v>1536</v>
      </c>
      <c r="N791" t="s">
        <v>1537</v>
      </c>
      <c r="O791" t="s">
        <v>248</v>
      </c>
      <c r="P791">
        <v>2278354</v>
      </c>
      <c r="Q791" t="s">
        <v>38</v>
      </c>
      <c r="R791">
        <v>415539</v>
      </c>
      <c r="S791" t="s">
        <v>84</v>
      </c>
      <c r="T791" s="2">
        <v>1</v>
      </c>
      <c r="U791">
        <v>0</v>
      </c>
      <c r="V791" t="s">
        <v>153</v>
      </c>
      <c r="W791">
        <v>0</v>
      </c>
      <c r="X791">
        <v>0</v>
      </c>
      <c r="Y791">
        <v>0</v>
      </c>
      <c r="Z791" t="s">
        <v>9</v>
      </c>
      <c r="AA791" t="s">
        <v>2</v>
      </c>
      <c r="AB791" t="s">
        <v>10</v>
      </c>
      <c r="AC791">
        <v>0</v>
      </c>
      <c r="AD791">
        <v>0</v>
      </c>
      <c r="AE791">
        <v>726182083498</v>
      </c>
      <c r="AF791">
        <v>76.099999999999994</v>
      </c>
      <c r="AG791">
        <v>0</v>
      </c>
      <c r="AH791">
        <v>18.059999999999999</v>
      </c>
      <c r="AI791">
        <v>94.16</v>
      </c>
      <c r="AJ791" t="s">
        <v>2</v>
      </c>
      <c r="AK791" t="s">
        <v>11</v>
      </c>
    </row>
    <row r="792" spans="1:37">
      <c r="A792">
        <v>257821</v>
      </c>
      <c r="B792" s="1">
        <v>45366</v>
      </c>
      <c r="C792" t="s">
        <v>241</v>
      </c>
      <c r="D792" t="s">
        <v>242</v>
      </c>
      <c r="E792" t="s">
        <v>2</v>
      </c>
      <c r="F792" t="s">
        <v>243</v>
      </c>
      <c r="G792" t="s">
        <v>60</v>
      </c>
      <c r="H792">
        <v>1821</v>
      </c>
      <c r="I792" t="s">
        <v>1533</v>
      </c>
      <c r="J792" t="s">
        <v>1534</v>
      </c>
      <c r="K792" t="s">
        <v>2</v>
      </c>
      <c r="L792" t="s">
        <v>1535</v>
      </c>
      <c r="M792" t="s">
        <v>1536</v>
      </c>
      <c r="N792" t="s">
        <v>1537</v>
      </c>
      <c r="O792" t="s">
        <v>248</v>
      </c>
      <c r="P792">
        <v>2278354</v>
      </c>
      <c r="Q792" t="s">
        <v>38</v>
      </c>
      <c r="R792">
        <v>415539</v>
      </c>
      <c r="S792" t="s">
        <v>84</v>
      </c>
      <c r="T792" s="2">
        <v>1</v>
      </c>
      <c r="U792">
        <v>0</v>
      </c>
      <c r="V792" t="s">
        <v>153</v>
      </c>
      <c r="W792">
        <v>1</v>
      </c>
      <c r="X792">
        <v>1</v>
      </c>
      <c r="Y792">
        <v>0</v>
      </c>
      <c r="Z792" t="s">
        <v>922</v>
      </c>
      <c r="AA792" t="s">
        <v>923</v>
      </c>
      <c r="AB792" t="s">
        <v>14</v>
      </c>
      <c r="AC792">
        <v>76.099999999999994</v>
      </c>
      <c r="AD792">
        <v>76.099999999999994</v>
      </c>
      <c r="AE792">
        <v>726182083498</v>
      </c>
      <c r="AF792">
        <v>76.099999999999994</v>
      </c>
      <c r="AG792">
        <v>0</v>
      </c>
      <c r="AH792">
        <v>18.059999999999999</v>
      </c>
      <c r="AI792">
        <v>94.16</v>
      </c>
      <c r="AJ792" t="s">
        <v>2</v>
      </c>
      <c r="AK792" t="s">
        <v>11</v>
      </c>
    </row>
    <row r="793" spans="1:37">
      <c r="A793">
        <v>257821</v>
      </c>
      <c r="B793" s="1">
        <v>45366</v>
      </c>
      <c r="C793" t="s">
        <v>241</v>
      </c>
      <c r="D793" t="s">
        <v>242</v>
      </c>
      <c r="E793" t="s">
        <v>2</v>
      </c>
      <c r="F793" t="s">
        <v>243</v>
      </c>
      <c r="G793" t="s">
        <v>60</v>
      </c>
      <c r="H793">
        <v>1821</v>
      </c>
      <c r="I793" t="s">
        <v>1533</v>
      </c>
      <c r="J793" t="s">
        <v>1534</v>
      </c>
      <c r="K793" t="s">
        <v>2</v>
      </c>
      <c r="L793" t="s">
        <v>1535</v>
      </c>
      <c r="M793" t="s">
        <v>1536</v>
      </c>
      <c r="N793" t="s">
        <v>1537</v>
      </c>
      <c r="O793" t="s">
        <v>248</v>
      </c>
      <c r="P793">
        <v>2278354</v>
      </c>
      <c r="Q793" t="s">
        <v>38</v>
      </c>
      <c r="R793">
        <v>415539</v>
      </c>
      <c r="S793" t="s">
        <v>84</v>
      </c>
      <c r="T793" s="2">
        <v>1</v>
      </c>
      <c r="U793">
        <v>0</v>
      </c>
      <c r="V793" t="s">
        <v>153</v>
      </c>
      <c r="W793">
        <v>0</v>
      </c>
      <c r="X793">
        <v>0</v>
      </c>
      <c r="Y793">
        <v>0</v>
      </c>
      <c r="Z793" t="s">
        <v>88</v>
      </c>
      <c r="AA793" t="s">
        <v>144</v>
      </c>
      <c r="AB793" t="s">
        <v>10</v>
      </c>
      <c r="AC793">
        <v>0</v>
      </c>
      <c r="AD793">
        <v>0</v>
      </c>
      <c r="AE793">
        <v>726182083498</v>
      </c>
      <c r="AF793">
        <v>76.099999999999994</v>
      </c>
      <c r="AG793">
        <v>0</v>
      </c>
      <c r="AH793">
        <v>18.059999999999999</v>
      </c>
      <c r="AI793">
        <v>94.16</v>
      </c>
      <c r="AJ793" t="s">
        <v>2</v>
      </c>
      <c r="AK793" t="s">
        <v>11</v>
      </c>
    </row>
    <row r="794" spans="1:37">
      <c r="A794">
        <v>257822</v>
      </c>
      <c r="B794" s="1">
        <v>45366</v>
      </c>
      <c r="C794" t="s">
        <v>489</v>
      </c>
      <c r="D794" t="s">
        <v>490</v>
      </c>
      <c r="E794" t="s">
        <v>491</v>
      </c>
      <c r="F794" t="s">
        <v>492</v>
      </c>
      <c r="G794" t="s">
        <v>493</v>
      </c>
      <c r="H794">
        <v>20794</v>
      </c>
      <c r="I794" t="s">
        <v>1538</v>
      </c>
      <c r="J794" t="s">
        <v>1539</v>
      </c>
      <c r="K794" t="s">
        <v>2</v>
      </c>
      <c r="L794" t="s">
        <v>1540</v>
      </c>
      <c r="M794" t="s">
        <v>497</v>
      </c>
      <c r="N794" t="s">
        <v>1541</v>
      </c>
      <c r="O794" t="s">
        <v>499</v>
      </c>
      <c r="P794">
        <v>2278209</v>
      </c>
      <c r="Q794" t="s">
        <v>38</v>
      </c>
      <c r="R794">
        <v>415472</v>
      </c>
      <c r="S794" t="s">
        <v>84</v>
      </c>
      <c r="T794" s="2">
        <v>1</v>
      </c>
      <c r="U794">
        <v>0</v>
      </c>
      <c r="V794" t="s">
        <v>153</v>
      </c>
      <c r="W794">
        <v>0</v>
      </c>
      <c r="X794">
        <v>0</v>
      </c>
      <c r="Y794">
        <v>0</v>
      </c>
      <c r="Z794" t="s">
        <v>9</v>
      </c>
      <c r="AA794" t="s">
        <v>2</v>
      </c>
      <c r="AB794" t="s">
        <v>10</v>
      </c>
      <c r="AC794">
        <v>0</v>
      </c>
      <c r="AD794">
        <v>0</v>
      </c>
      <c r="AE794">
        <v>726182083502</v>
      </c>
      <c r="AF794">
        <v>209.04</v>
      </c>
      <c r="AG794">
        <v>0</v>
      </c>
      <c r="AH794">
        <v>40.43</v>
      </c>
      <c r="AI794">
        <v>249.47</v>
      </c>
      <c r="AJ794" t="s">
        <v>2</v>
      </c>
      <c r="AK794" t="s">
        <v>11</v>
      </c>
    </row>
    <row r="795" spans="1:37">
      <c r="A795">
        <v>257822</v>
      </c>
      <c r="B795" s="1">
        <v>45366</v>
      </c>
      <c r="C795" t="s">
        <v>489</v>
      </c>
      <c r="D795" t="s">
        <v>490</v>
      </c>
      <c r="E795" t="s">
        <v>491</v>
      </c>
      <c r="F795" t="s">
        <v>492</v>
      </c>
      <c r="G795" t="s">
        <v>493</v>
      </c>
      <c r="H795">
        <v>20794</v>
      </c>
      <c r="I795" t="s">
        <v>1538</v>
      </c>
      <c r="J795" t="s">
        <v>1539</v>
      </c>
      <c r="K795" t="s">
        <v>2</v>
      </c>
      <c r="L795" t="s">
        <v>1540</v>
      </c>
      <c r="M795" t="s">
        <v>497</v>
      </c>
      <c r="N795" t="s">
        <v>1541</v>
      </c>
      <c r="O795" t="s">
        <v>499</v>
      </c>
      <c r="P795">
        <v>2278209</v>
      </c>
      <c r="Q795" t="s">
        <v>38</v>
      </c>
      <c r="R795">
        <v>415472</v>
      </c>
      <c r="S795" t="s">
        <v>84</v>
      </c>
      <c r="T795" s="2">
        <v>1</v>
      </c>
      <c r="U795">
        <v>0</v>
      </c>
      <c r="V795" t="s">
        <v>153</v>
      </c>
      <c r="W795">
        <v>1</v>
      </c>
      <c r="X795">
        <v>1</v>
      </c>
      <c r="Y795">
        <v>0</v>
      </c>
      <c r="Z795" t="s">
        <v>1542</v>
      </c>
      <c r="AA795" t="s">
        <v>1543</v>
      </c>
      <c r="AB795" t="s">
        <v>14</v>
      </c>
      <c r="AC795">
        <v>209.04</v>
      </c>
      <c r="AD795">
        <v>209.04</v>
      </c>
      <c r="AE795">
        <v>726182083502</v>
      </c>
      <c r="AF795">
        <v>209.04</v>
      </c>
      <c r="AG795">
        <v>0</v>
      </c>
      <c r="AH795">
        <v>40.43</v>
      </c>
      <c r="AI795">
        <v>249.47</v>
      </c>
      <c r="AJ795" t="s">
        <v>2</v>
      </c>
      <c r="AK795" t="s">
        <v>11</v>
      </c>
    </row>
    <row r="796" spans="1:37">
      <c r="A796">
        <v>257822</v>
      </c>
      <c r="B796" s="1">
        <v>45366</v>
      </c>
      <c r="C796" t="s">
        <v>489</v>
      </c>
      <c r="D796" t="s">
        <v>490</v>
      </c>
      <c r="E796" t="s">
        <v>491</v>
      </c>
      <c r="F796" t="s">
        <v>492</v>
      </c>
      <c r="G796" t="s">
        <v>493</v>
      </c>
      <c r="H796">
        <v>20794</v>
      </c>
      <c r="I796" t="s">
        <v>1538</v>
      </c>
      <c r="J796" t="s">
        <v>1539</v>
      </c>
      <c r="K796" t="s">
        <v>2</v>
      </c>
      <c r="L796" t="s">
        <v>1540</v>
      </c>
      <c r="M796" t="s">
        <v>497</v>
      </c>
      <c r="N796" t="s">
        <v>1541</v>
      </c>
      <c r="O796" t="s">
        <v>499</v>
      </c>
      <c r="P796">
        <v>2278209</v>
      </c>
      <c r="Q796" t="s">
        <v>38</v>
      </c>
      <c r="R796">
        <v>415472</v>
      </c>
      <c r="S796" t="s">
        <v>84</v>
      </c>
      <c r="T796" s="2">
        <v>1</v>
      </c>
      <c r="U796">
        <v>0</v>
      </c>
      <c r="V796" t="s">
        <v>153</v>
      </c>
      <c r="W796">
        <v>0</v>
      </c>
      <c r="X796">
        <v>0</v>
      </c>
      <c r="Y796">
        <v>0</v>
      </c>
      <c r="Z796" t="s">
        <v>88</v>
      </c>
      <c r="AA796" t="s">
        <v>251</v>
      </c>
      <c r="AB796" t="s">
        <v>10</v>
      </c>
      <c r="AC796">
        <v>0</v>
      </c>
      <c r="AD796">
        <v>0</v>
      </c>
      <c r="AE796">
        <v>726182083502</v>
      </c>
      <c r="AF796">
        <v>209.04</v>
      </c>
      <c r="AG796">
        <v>0</v>
      </c>
      <c r="AH796">
        <v>40.43</v>
      </c>
      <c r="AI796">
        <v>249.47</v>
      </c>
      <c r="AJ796" t="s">
        <v>2</v>
      </c>
      <c r="AK796" t="s">
        <v>11</v>
      </c>
    </row>
    <row r="797" spans="1:37">
      <c r="A797">
        <v>257823</v>
      </c>
      <c r="B797" s="1">
        <v>45366</v>
      </c>
      <c r="C797" t="s">
        <v>1544</v>
      </c>
      <c r="D797" t="s">
        <v>1545</v>
      </c>
      <c r="E797" t="s">
        <v>2</v>
      </c>
      <c r="F797" t="s">
        <v>837</v>
      </c>
      <c r="G797" t="s">
        <v>767</v>
      </c>
      <c r="H797">
        <v>38116</v>
      </c>
      <c r="I797" t="s">
        <v>1546</v>
      </c>
      <c r="J797" t="s">
        <v>1547</v>
      </c>
      <c r="K797" t="s">
        <v>2</v>
      </c>
      <c r="L797" t="s">
        <v>1548</v>
      </c>
      <c r="M797" t="s">
        <v>767</v>
      </c>
      <c r="N797" t="s">
        <v>1549</v>
      </c>
      <c r="O797" t="s">
        <v>1550</v>
      </c>
      <c r="P797">
        <v>2278252</v>
      </c>
      <c r="Q797" t="s">
        <v>38</v>
      </c>
      <c r="R797">
        <v>415496</v>
      </c>
      <c r="S797" t="s">
        <v>84</v>
      </c>
      <c r="T797" s="2">
        <v>1</v>
      </c>
      <c r="U797">
        <v>0</v>
      </c>
      <c r="V797" t="s">
        <v>153</v>
      </c>
      <c r="W797">
        <v>0</v>
      </c>
      <c r="X797">
        <v>0</v>
      </c>
      <c r="Y797">
        <v>0</v>
      </c>
      <c r="Z797" t="s">
        <v>9</v>
      </c>
      <c r="AA797" t="s">
        <v>2</v>
      </c>
      <c r="AB797" t="s">
        <v>10</v>
      </c>
      <c r="AC797">
        <v>0</v>
      </c>
      <c r="AD797">
        <v>0</v>
      </c>
      <c r="AE797">
        <v>726182083513</v>
      </c>
      <c r="AF797">
        <v>995.46</v>
      </c>
      <c r="AG797">
        <v>0</v>
      </c>
      <c r="AH797">
        <v>54.38</v>
      </c>
      <c r="AI797">
        <v>1049.8399999999999</v>
      </c>
      <c r="AJ797" t="s">
        <v>2</v>
      </c>
      <c r="AK797" t="s">
        <v>11</v>
      </c>
    </row>
    <row r="798" spans="1:37">
      <c r="A798">
        <v>257823</v>
      </c>
      <c r="B798" s="1">
        <v>45366</v>
      </c>
      <c r="C798" t="s">
        <v>1544</v>
      </c>
      <c r="D798" t="s">
        <v>1545</v>
      </c>
      <c r="E798" t="s">
        <v>2</v>
      </c>
      <c r="F798" t="s">
        <v>837</v>
      </c>
      <c r="G798" t="s">
        <v>767</v>
      </c>
      <c r="H798">
        <v>38116</v>
      </c>
      <c r="I798" t="s">
        <v>1546</v>
      </c>
      <c r="J798" t="s">
        <v>1547</v>
      </c>
      <c r="K798" t="s">
        <v>2</v>
      </c>
      <c r="L798" t="s">
        <v>1548</v>
      </c>
      <c r="M798" t="s">
        <v>767</v>
      </c>
      <c r="N798" t="s">
        <v>1549</v>
      </c>
      <c r="O798" t="s">
        <v>1550</v>
      </c>
      <c r="P798">
        <v>2278252</v>
      </c>
      <c r="Q798" t="s">
        <v>38</v>
      </c>
      <c r="R798">
        <v>415496</v>
      </c>
      <c r="S798" t="s">
        <v>84</v>
      </c>
      <c r="T798" s="2">
        <v>1</v>
      </c>
      <c r="U798">
        <v>0</v>
      </c>
      <c r="V798" t="s">
        <v>153</v>
      </c>
      <c r="W798">
        <v>1</v>
      </c>
      <c r="X798">
        <v>1</v>
      </c>
      <c r="Y798">
        <v>0</v>
      </c>
      <c r="Z798" t="s">
        <v>1551</v>
      </c>
      <c r="AA798" t="s">
        <v>1552</v>
      </c>
      <c r="AB798" t="s">
        <v>14</v>
      </c>
      <c r="AC798">
        <v>995.46</v>
      </c>
      <c r="AD798">
        <v>995.46</v>
      </c>
      <c r="AE798">
        <v>726182083513</v>
      </c>
      <c r="AF798">
        <v>995.46</v>
      </c>
      <c r="AG798">
        <v>0</v>
      </c>
      <c r="AH798">
        <v>54.38</v>
      </c>
      <c r="AI798">
        <v>1049.8399999999999</v>
      </c>
      <c r="AJ798" t="s">
        <v>2</v>
      </c>
      <c r="AK798" t="s">
        <v>11</v>
      </c>
    </row>
    <row r="799" spans="1:37">
      <c r="A799">
        <v>257823</v>
      </c>
      <c r="B799" s="1">
        <v>45366</v>
      </c>
      <c r="C799" t="s">
        <v>1544</v>
      </c>
      <c r="D799" t="s">
        <v>1545</v>
      </c>
      <c r="E799" t="s">
        <v>2</v>
      </c>
      <c r="F799" t="s">
        <v>837</v>
      </c>
      <c r="G799" t="s">
        <v>767</v>
      </c>
      <c r="H799">
        <v>38116</v>
      </c>
      <c r="I799" t="s">
        <v>1546</v>
      </c>
      <c r="J799" t="s">
        <v>1547</v>
      </c>
      <c r="K799" t="s">
        <v>2</v>
      </c>
      <c r="L799" t="s">
        <v>1548</v>
      </c>
      <c r="M799" t="s">
        <v>767</v>
      </c>
      <c r="N799" t="s">
        <v>1549</v>
      </c>
      <c r="O799" t="s">
        <v>1550</v>
      </c>
      <c r="P799">
        <v>2278252</v>
      </c>
      <c r="Q799" t="s">
        <v>38</v>
      </c>
      <c r="R799">
        <v>415496</v>
      </c>
      <c r="S799" t="s">
        <v>84</v>
      </c>
      <c r="T799" s="2">
        <v>1</v>
      </c>
      <c r="U799">
        <v>0</v>
      </c>
      <c r="V799" t="s">
        <v>153</v>
      </c>
      <c r="W799">
        <v>0</v>
      </c>
      <c r="X799">
        <v>0</v>
      </c>
      <c r="Y799">
        <v>0</v>
      </c>
      <c r="Z799" t="s">
        <v>88</v>
      </c>
      <c r="AA799" t="s">
        <v>251</v>
      </c>
      <c r="AB799" t="s">
        <v>10</v>
      </c>
      <c r="AC799">
        <v>0</v>
      </c>
      <c r="AD799">
        <v>0</v>
      </c>
      <c r="AE799">
        <v>726182083513</v>
      </c>
      <c r="AF799">
        <v>995.46</v>
      </c>
      <c r="AG799">
        <v>0</v>
      </c>
      <c r="AH799">
        <v>54.38</v>
      </c>
      <c r="AI799">
        <v>1049.8399999999999</v>
      </c>
      <c r="AJ799" t="s">
        <v>2</v>
      </c>
      <c r="AK799" t="s">
        <v>11</v>
      </c>
    </row>
    <row r="800" spans="1:37">
      <c r="A800">
        <v>257824</v>
      </c>
      <c r="B800" s="1">
        <v>45366</v>
      </c>
      <c r="C800" t="s">
        <v>481</v>
      </c>
      <c r="D800" t="s">
        <v>482</v>
      </c>
      <c r="E800" t="s">
        <v>2</v>
      </c>
      <c r="F800" t="s">
        <v>483</v>
      </c>
      <c r="G800" t="s">
        <v>35</v>
      </c>
      <c r="H800">
        <v>65802</v>
      </c>
      <c r="I800" t="s">
        <v>1553</v>
      </c>
      <c r="J800" t="s">
        <v>1554</v>
      </c>
      <c r="K800" t="s">
        <v>2</v>
      </c>
      <c r="L800" t="s">
        <v>1555</v>
      </c>
      <c r="M800" t="s">
        <v>1223</v>
      </c>
      <c r="N800" t="s">
        <v>1556</v>
      </c>
      <c r="O800" t="s">
        <v>487</v>
      </c>
      <c r="P800">
        <v>2278262</v>
      </c>
      <c r="Q800" t="s">
        <v>38</v>
      </c>
      <c r="R800">
        <v>415501</v>
      </c>
      <c r="S800" t="s">
        <v>84</v>
      </c>
      <c r="T800" s="2">
        <v>1</v>
      </c>
      <c r="U800">
        <v>0</v>
      </c>
      <c r="V800" t="s">
        <v>153</v>
      </c>
      <c r="W800">
        <v>0</v>
      </c>
      <c r="X800">
        <v>0</v>
      </c>
      <c r="Y800">
        <v>0</v>
      </c>
      <c r="Z800" t="s">
        <v>9</v>
      </c>
      <c r="AA800" t="s">
        <v>2</v>
      </c>
      <c r="AB800" t="s">
        <v>10</v>
      </c>
      <c r="AC800">
        <v>0</v>
      </c>
      <c r="AD800">
        <v>0</v>
      </c>
      <c r="AE800">
        <v>726182083524</v>
      </c>
      <c r="AF800">
        <v>65.36</v>
      </c>
      <c r="AG800">
        <v>0</v>
      </c>
      <c r="AH800">
        <v>39.630000000000003</v>
      </c>
      <c r="AI800">
        <v>104.99</v>
      </c>
      <c r="AJ800" t="s">
        <v>2</v>
      </c>
      <c r="AK800" t="s">
        <v>11</v>
      </c>
    </row>
    <row r="801" spans="1:37">
      <c r="A801">
        <v>257824</v>
      </c>
      <c r="B801" s="1">
        <v>45366</v>
      </c>
      <c r="C801" t="s">
        <v>481</v>
      </c>
      <c r="D801" t="s">
        <v>482</v>
      </c>
      <c r="E801" t="s">
        <v>2</v>
      </c>
      <c r="F801" t="s">
        <v>483</v>
      </c>
      <c r="G801" t="s">
        <v>35</v>
      </c>
      <c r="H801">
        <v>65802</v>
      </c>
      <c r="I801" t="s">
        <v>1553</v>
      </c>
      <c r="J801" t="s">
        <v>1554</v>
      </c>
      <c r="K801" t="s">
        <v>2</v>
      </c>
      <c r="L801" t="s">
        <v>1555</v>
      </c>
      <c r="M801" t="s">
        <v>1223</v>
      </c>
      <c r="N801" t="s">
        <v>1556</v>
      </c>
      <c r="O801" t="s">
        <v>487</v>
      </c>
      <c r="P801">
        <v>2278262</v>
      </c>
      <c r="Q801" t="s">
        <v>38</v>
      </c>
      <c r="R801">
        <v>415501</v>
      </c>
      <c r="S801" t="s">
        <v>84</v>
      </c>
      <c r="T801" s="2">
        <v>1</v>
      </c>
      <c r="U801">
        <v>0</v>
      </c>
      <c r="V801" t="s">
        <v>153</v>
      </c>
      <c r="W801">
        <v>1</v>
      </c>
      <c r="X801">
        <v>1</v>
      </c>
      <c r="Y801">
        <v>0</v>
      </c>
      <c r="Z801" t="s">
        <v>1557</v>
      </c>
      <c r="AA801" t="s">
        <v>1558</v>
      </c>
      <c r="AB801" t="s">
        <v>14</v>
      </c>
      <c r="AC801">
        <v>65.36</v>
      </c>
      <c r="AD801">
        <v>65.36</v>
      </c>
      <c r="AE801">
        <v>726182083524</v>
      </c>
      <c r="AF801">
        <v>65.36</v>
      </c>
      <c r="AG801">
        <v>0</v>
      </c>
      <c r="AH801">
        <v>39.630000000000003</v>
      </c>
      <c r="AI801">
        <v>104.99</v>
      </c>
      <c r="AJ801" t="s">
        <v>2</v>
      </c>
      <c r="AK801" t="s">
        <v>11</v>
      </c>
    </row>
    <row r="802" spans="1:37">
      <c r="A802">
        <v>257824</v>
      </c>
      <c r="B802" s="1">
        <v>45366</v>
      </c>
      <c r="C802" t="s">
        <v>481</v>
      </c>
      <c r="D802" t="s">
        <v>482</v>
      </c>
      <c r="E802" t="s">
        <v>2</v>
      </c>
      <c r="F802" t="s">
        <v>483</v>
      </c>
      <c r="G802" t="s">
        <v>35</v>
      </c>
      <c r="H802">
        <v>65802</v>
      </c>
      <c r="I802" t="s">
        <v>1553</v>
      </c>
      <c r="J802" t="s">
        <v>1554</v>
      </c>
      <c r="K802" t="s">
        <v>2</v>
      </c>
      <c r="L802" t="s">
        <v>1555</v>
      </c>
      <c r="M802" t="s">
        <v>1223</v>
      </c>
      <c r="N802" t="s">
        <v>1556</v>
      </c>
      <c r="O802" t="s">
        <v>487</v>
      </c>
      <c r="P802">
        <v>2278262</v>
      </c>
      <c r="Q802" t="s">
        <v>38</v>
      </c>
      <c r="R802">
        <v>415501</v>
      </c>
      <c r="S802" t="s">
        <v>84</v>
      </c>
      <c r="T802" s="2">
        <v>1</v>
      </c>
      <c r="U802">
        <v>0</v>
      </c>
      <c r="V802" t="s">
        <v>153</v>
      </c>
      <c r="W802">
        <v>0</v>
      </c>
      <c r="X802">
        <v>0</v>
      </c>
      <c r="Y802">
        <v>0</v>
      </c>
      <c r="Z802" t="s">
        <v>88</v>
      </c>
      <c r="AA802" t="s">
        <v>317</v>
      </c>
      <c r="AB802" t="s">
        <v>10</v>
      </c>
      <c r="AC802">
        <v>0</v>
      </c>
      <c r="AD802">
        <v>0</v>
      </c>
      <c r="AE802">
        <v>726182083524</v>
      </c>
      <c r="AF802">
        <v>65.36</v>
      </c>
      <c r="AG802">
        <v>0</v>
      </c>
      <c r="AH802">
        <v>39.630000000000003</v>
      </c>
      <c r="AI802">
        <v>104.99</v>
      </c>
      <c r="AJ802" t="s">
        <v>2</v>
      </c>
      <c r="AK802" t="s">
        <v>11</v>
      </c>
    </row>
    <row r="803" spans="1:37">
      <c r="A803">
        <v>257825</v>
      </c>
      <c r="B803" s="1">
        <v>45366</v>
      </c>
      <c r="C803" t="s">
        <v>1559</v>
      </c>
      <c r="D803" t="s">
        <v>1560</v>
      </c>
      <c r="E803" t="s">
        <v>1561</v>
      </c>
      <c r="F803" t="s">
        <v>1562</v>
      </c>
      <c r="G803" t="s">
        <v>539</v>
      </c>
      <c r="H803">
        <v>27615</v>
      </c>
      <c r="I803" t="s">
        <v>1563</v>
      </c>
      <c r="J803" t="s">
        <v>1564</v>
      </c>
      <c r="K803" t="s">
        <v>1565</v>
      </c>
      <c r="L803" t="s">
        <v>1566</v>
      </c>
      <c r="M803" t="s">
        <v>539</v>
      </c>
      <c r="N803">
        <v>28443</v>
      </c>
      <c r="O803" t="s">
        <v>1567</v>
      </c>
      <c r="P803">
        <v>2278208</v>
      </c>
      <c r="Q803" t="s">
        <v>38</v>
      </c>
      <c r="R803">
        <v>415473</v>
      </c>
      <c r="S803" t="s">
        <v>84</v>
      </c>
      <c r="T803" s="2">
        <v>2</v>
      </c>
      <c r="U803">
        <v>0</v>
      </c>
      <c r="V803" t="s">
        <v>153</v>
      </c>
      <c r="W803">
        <v>0</v>
      </c>
      <c r="X803">
        <v>0</v>
      </c>
      <c r="Y803">
        <v>0</v>
      </c>
      <c r="Z803" t="s">
        <v>9</v>
      </c>
      <c r="AA803" t="s">
        <v>2</v>
      </c>
      <c r="AB803" t="s">
        <v>10</v>
      </c>
      <c r="AC803">
        <v>0</v>
      </c>
      <c r="AD803">
        <v>0</v>
      </c>
      <c r="AE803">
        <v>726182083535</v>
      </c>
      <c r="AF803">
        <v>690.74</v>
      </c>
      <c r="AG803">
        <v>0</v>
      </c>
      <c r="AH803">
        <v>66.349999999999994</v>
      </c>
      <c r="AI803">
        <v>757.09</v>
      </c>
      <c r="AJ803" t="s">
        <v>2</v>
      </c>
      <c r="AK803" t="s">
        <v>11</v>
      </c>
    </row>
    <row r="804" spans="1:37">
      <c r="A804">
        <v>257825</v>
      </c>
      <c r="B804" s="1">
        <v>45366</v>
      </c>
      <c r="C804" t="s">
        <v>1559</v>
      </c>
      <c r="D804" t="s">
        <v>1560</v>
      </c>
      <c r="E804" t="s">
        <v>1561</v>
      </c>
      <c r="F804" t="s">
        <v>1562</v>
      </c>
      <c r="G804" t="s">
        <v>539</v>
      </c>
      <c r="H804">
        <v>27615</v>
      </c>
      <c r="I804" t="s">
        <v>1563</v>
      </c>
      <c r="J804" t="s">
        <v>1564</v>
      </c>
      <c r="K804" t="s">
        <v>1565</v>
      </c>
      <c r="L804" t="s">
        <v>1566</v>
      </c>
      <c r="M804" t="s">
        <v>539</v>
      </c>
      <c r="N804">
        <v>28443</v>
      </c>
      <c r="O804" t="s">
        <v>1567</v>
      </c>
      <c r="P804">
        <v>2278208</v>
      </c>
      <c r="Q804" t="s">
        <v>38</v>
      </c>
      <c r="R804">
        <v>415473</v>
      </c>
      <c r="S804" t="s">
        <v>84</v>
      </c>
      <c r="T804" s="2">
        <v>2</v>
      </c>
      <c r="U804">
        <v>0</v>
      </c>
      <c r="V804" t="s">
        <v>153</v>
      </c>
      <c r="W804">
        <v>2</v>
      </c>
      <c r="X804">
        <v>2</v>
      </c>
      <c r="Y804">
        <v>0</v>
      </c>
      <c r="Z804" t="s">
        <v>1568</v>
      </c>
      <c r="AA804" t="s">
        <v>1569</v>
      </c>
      <c r="AB804" t="s">
        <v>14</v>
      </c>
      <c r="AC804">
        <v>345.37</v>
      </c>
      <c r="AD804">
        <v>690.74</v>
      </c>
      <c r="AE804">
        <v>726182083535</v>
      </c>
      <c r="AF804">
        <v>690.74</v>
      </c>
      <c r="AG804">
        <v>0</v>
      </c>
      <c r="AH804">
        <v>66.349999999999994</v>
      </c>
      <c r="AI804">
        <v>757.09</v>
      </c>
      <c r="AJ804" t="s">
        <v>2</v>
      </c>
      <c r="AK804" t="s">
        <v>11</v>
      </c>
    </row>
    <row r="805" spans="1:37">
      <c r="A805">
        <v>257825</v>
      </c>
      <c r="B805" s="1">
        <v>45366</v>
      </c>
      <c r="C805" t="s">
        <v>1559</v>
      </c>
      <c r="D805" t="s">
        <v>1560</v>
      </c>
      <c r="E805" t="s">
        <v>1561</v>
      </c>
      <c r="F805" t="s">
        <v>1562</v>
      </c>
      <c r="G805" t="s">
        <v>539</v>
      </c>
      <c r="H805">
        <v>27615</v>
      </c>
      <c r="I805" t="s">
        <v>1563</v>
      </c>
      <c r="J805" t="s">
        <v>1564</v>
      </c>
      <c r="K805" t="s">
        <v>1565</v>
      </c>
      <c r="L805" t="s">
        <v>1566</v>
      </c>
      <c r="M805" t="s">
        <v>539</v>
      </c>
      <c r="N805">
        <v>28443</v>
      </c>
      <c r="O805" t="s">
        <v>1567</v>
      </c>
      <c r="P805">
        <v>2278208</v>
      </c>
      <c r="Q805" t="s">
        <v>38</v>
      </c>
      <c r="R805">
        <v>415473</v>
      </c>
      <c r="S805" t="s">
        <v>84</v>
      </c>
      <c r="T805" s="2">
        <v>2</v>
      </c>
      <c r="U805">
        <v>0</v>
      </c>
      <c r="V805" t="s">
        <v>153</v>
      </c>
      <c r="W805">
        <v>0</v>
      </c>
      <c r="X805">
        <v>0</v>
      </c>
      <c r="Y805">
        <v>0</v>
      </c>
      <c r="Z805" t="s">
        <v>88</v>
      </c>
      <c r="AA805" t="s">
        <v>116</v>
      </c>
      <c r="AB805" t="s">
        <v>10</v>
      </c>
      <c r="AC805">
        <v>0</v>
      </c>
      <c r="AD805">
        <v>0</v>
      </c>
      <c r="AE805">
        <v>726182083535</v>
      </c>
      <c r="AF805">
        <v>690.74</v>
      </c>
      <c r="AG805">
        <v>0</v>
      </c>
      <c r="AH805">
        <v>66.349999999999994</v>
      </c>
      <c r="AI805">
        <v>757.09</v>
      </c>
      <c r="AJ805" t="s">
        <v>2</v>
      </c>
      <c r="AK805" t="s">
        <v>11</v>
      </c>
    </row>
    <row r="806" spans="1:37">
      <c r="A806">
        <v>257826</v>
      </c>
      <c r="B806" s="1">
        <v>45366</v>
      </c>
      <c r="C806" t="s">
        <v>764</v>
      </c>
      <c r="D806" t="s">
        <v>765</v>
      </c>
      <c r="E806" t="s">
        <v>2</v>
      </c>
      <c r="F806" t="s">
        <v>766</v>
      </c>
      <c r="G806" t="s">
        <v>767</v>
      </c>
      <c r="H806">
        <v>37217</v>
      </c>
      <c r="I806" t="s">
        <v>1570</v>
      </c>
      <c r="J806" t="s">
        <v>1571</v>
      </c>
      <c r="K806" t="s">
        <v>2</v>
      </c>
      <c r="L806" t="s">
        <v>1572</v>
      </c>
      <c r="M806" t="s">
        <v>767</v>
      </c>
      <c r="N806" t="s">
        <v>1573</v>
      </c>
      <c r="O806" t="s">
        <v>772</v>
      </c>
      <c r="P806">
        <v>2278251</v>
      </c>
      <c r="Q806" t="s">
        <v>38</v>
      </c>
      <c r="R806">
        <v>415497</v>
      </c>
      <c r="S806" t="s">
        <v>84</v>
      </c>
      <c r="T806" s="2">
        <v>1</v>
      </c>
      <c r="U806">
        <v>0</v>
      </c>
      <c r="V806" t="s">
        <v>153</v>
      </c>
      <c r="W806">
        <v>0</v>
      </c>
      <c r="X806">
        <v>0</v>
      </c>
      <c r="Y806">
        <v>0</v>
      </c>
      <c r="Z806" t="s">
        <v>9</v>
      </c>
      <c r="AA806" t="s">
        <v>2</v>
      </c>
      <c r="AB806" t="s">
        <v>10</v>
      </c>
      <c r="AC806">
        <v>0</v>
      </c>
      <c r="AD806">
        <v>0</v>
      </c>
      <c r="AE806">
        <v>726182083546</v>
      </c>
      <c r="AF806">
        <v>95.18</v>
      </c>
      <c r="AG806">
        <v>0</v>
      </c>
      <c r="AH806">
        <v>16.88</v>
      </c>
      <c r="AI806">
        <v>112.06</v>
      </c>
      <c r="AJ806" t="s">
        <v>2</v>
      </c>
      <c r="AK806" t="s">
        <v>11</v>
      </c>
    </row>
    <row r="807" spans="1:37">
      <c r="A807">
        <v>257826</v>
      </c>
      <c r="B807" s="1">
        <v>45366</v>
      </c>
      <c r="C807" t="s">
        <v>764</v>
      </c>
      <c r="D807" t="s">
        <v>765</v>
      </c>
      <c r="E807" t="s">
        <v>2</v>
      </c>
      <c r="F807" t="s">
        <v>766</v>
      </c>
      <c r="G807" t="s">
        <v>767</v>
      </c>
      <c r="H807">
        <v>37217</v>
      </c>
      <c r="I807" t="s">
        <v>1570</v>
      </c>
      <c r="J807" t="s">
        <v>1571</v>
      </c>
      <c r="K807" t="s">
        <v>2</v>
      </c>
      <c r="L807" t="s">
        <v>1572</v>
      </c>
      <c r="M807" t="s">
        <v>767</v>
      </c>
      <c r="N807" t="s">
        <v>1573</v>
      </c>
      <c r="O807" t="s">
        <v>772</v>
      </c>
      <c r="P807">
        <v>2278251</v>
      </c>
      <c r="Q807" t="s">
        <v>38</v>
      </c>
      <c r="R807">
        <v>415497</v>
      </c>
      <c r="S807" t="s">
        <v>84</v>
      </c>
      <c r="T807" s="2">
        <v>1</v>
      </c>
      <c r="U807">
        <v>0</v>
      </c>
      <c r="V807" t="s">
        <v>153</v>
      </c>
      <c r="W807">
        <v>1</v>
      </c>
      <c r="X807">
        <v>1</v>
      </c>
      <c r="Y807">
        <v>0</v>
      </c>
      <c r="Z807" t="s">
        <v>1574</v>
      </c>
      <c r="AA807" t="s">
        <v>1575</v>
      </c>
      <c r="AB807" t="s">
        <v>14</v>
      </c>
      <c r="AC807">
        <v>95.18</v>
      </c>
      <c r="AD807">
        <v>95.18</v>
      </c>
      <c r="AE807">
        <v>726182083546</v>
      </c>
      <c r="AF807">
        <v>95.18</v>
      </c>
      <c r="AG807">
        <v>0</v>
      </c>
      <c r="AH807">
        <v>16.88</v>
      </c>
      <c r="AI807">
        <v>112.06</v>
      </c>
      <c r="AJ807" t="s">
        <v>2</v>
      </c>
      <c r="AK807" t="s">
        <v>11</v>
      </c>
    </row>
    <row r="808" spans="1:37">
      <c r="A808">
        <v>257826</v>
      </c>
      <c r="B808" s="1">
        <v>45366</v>
      </c>
      <c r="C808" t="s">
        <v>764</v>
      </c>
      <c r="D808" t="s">
        <v>765</v>
      </c>
      <c r="E808" t="s">
        <v>2</v>
      </c>
      <c r="F808" t="s">
        <v>766</v>
      </c>
      <c r="G808" t="s">
        <v>767</v>
      </c>
      <c r="H808">
        <v>37217</v>
      </c>
      <c r="I808" t="s">
        <v>1570</v>
      </c>
      <c r="J808" t="s">
        <v>1571</v>
      </c>
      <c r="K808" t="s">
        <v>2</v>
      </c>
      <c r="L808" t="s">
        <v>1572</v>
      </c>
      <c r="M808" t="s">
        <v>767</v>
      </c>
      <c r="N808" t="s">
        <v>1573</v>
      </c>
      <c r="O808" t="s">
        <v>772</v>
      </c>
      <c r="P808">
        <v>2278251</v>
      </c>
      <c r="Q808" t="s">
        <v>38</v>
      </c>
      <c r="R808">
        <v>415497</v>
      </c>
      <c r="S808" t="s">
        <v>84</v>
      </c>
      <c r="T808" s="2">
        <v>1</v>
      </c>
      <c r="U808">
        <v>0</v>
      </c>
      <c r="V808" t="s">
        <v>153</v>
      </c>
      <c r="W808">
        <v>0</v>
      </c>
      <c r="X808">
        <v>0</v>
      </c>
      <c r="Y808">
        <v>0</v>
      </c>
      <c r="Z808" t="s">
        <v>88</v>
      </c>
      <c r="AA808" t="s">
        <v>107</v>
      </c>
      <c r="AB808" t="s">
        <v>10</v>
      </c>
      <c r="AC808">
        <v>0</v>
      </c>
      <c r="AD808">
        <v>0</v>
      </c>
      <c r="AE808">
        <v>726182083546</v>
      </c>
      <c r="AF808">
        <v>95.18</v>
      </c>
      <c r="AG808">
        <v>0</v>
      </c>
      <c r="AH808">
        <v>16.88</v>
      </c>
      <c r="AI808">
        <v>112.06</v>
      </c>
      <c r="AJ808" t="s">
        <v>2</v>
      </c>
      <c r="AK808" t="s">
        <v>11</v>
      </c>
    </row>
    <row r="809" spans="1:37">
      <c r="A809">
        <v>257827</v>
      </c>
      <c r="B809" s="1">
        <v>45366</v>
      </c>
      <c r="C809" t="s">
        <v>764</v>
      </c>
      <c r="D809" t="s">
        <v>765</v>
      </c>
      <c r="E809" t="s">
        <v>2</v>
      </c>
      <c r="F809" t="s">
        <v>766</v>
      </c>
      <c r="G809" t="s">
        <v>767</v>
      </c>
      <c r="H809">
        <v>37217</v>
      </c>
      <c r="I809" t="s">
        <v>1576</v>
      </c>
      <c r="J809" t="s">
        <v>1577</v>
      </c>
      <c r="K809" t="s">
        <v>2</v>
      </c>
      <c r="L809" t="s">
        <v>1578</v>
      </c>
      <c r="M809" t="s">
        <v>1579</v>
      </c>
      <c r="N809" t="s">
        <v>1580</v>
      </c>
      <c r="O809" t="s">
        <v>772</v>
      </c>
      <c r="P809">
        <v>2278238</v>
      </c>
      <c r="Q809" t="s">
        <v>38</v>
      </c>
      <c r="R809">
        <v>415484</v>
      </c>
      <c r="S809" t="s">
        <v>84</v>
      </c>
      <c r="T809" s="2">
        <v>1</v>
      </c>
      <c r="U809">
        <v>0</v>
      </c>
      <c r="V809" t="s">
        <v>153</v>
      </c>
      <c r="W809">
        <v>0</v>
      </c>
      <c r="X809">
        <v>0</v>
      </c>
      <c r="Y809">
        <v>0</v>
      </c>
      <c r="Z809" t="s">
        <v>9</v>
      </c>
      <c r="AA809" t="s">
        <v>2</v>
      </c>
      <c r="AB809" t="s">
        <v>10</v>
      </c>
      <c r="AC809">
        <v>0</v>
      </c>
      <c r="AD809">
        <v>0</v>
      </c>
      <c r="AE809">
        <v>726182083590</v>
      </c>
      <c r="AF809">
        <v>247.44</v>
      </c>
      <c r="AG809">
        <v>0</v>
      </c>
      <c r="AH809">
        <v>22.42</v>
      </c>
      <c r="AI809">
        <v>269.86</v>
      </c>
      <c r="AJ809" t="s">
        <v>2</v>
      </c>
      <c r="AK809" t="s">
        <v>11</v>
      </c>
    </row>
    <row r="810" spans="1:37">
      <c r="A810">
        <v>257827</v>
      </c>
      <c r="B810" s="1">
        <v>45366</v>
      </c>
      <c r="C810" t="s">
        <v>764</v>
      </c>
      <c r="D810" t="s">
        <v>765</v>
      </c>
      <c r="E810" t="s">
        <v>2</v>
      </c>
      <c r="F810" t="s">
        <v>766</v>
      </c>
      <c r="G810" t="s">
        <v>767</v>
      </c>
      <c r="H810">
        <v>37217</v>
      </c>
      <c r="I810" t="s">
        <v>1576</v>
      </c>
      <c r="J810" t="s">
        <v>1577</v>
      </c>
      <c r="K810" t="s">
        <v>2</v>
      </c>
      <c r="L810" t="s">
        <v>1578</v>
      </c>
      <c r="M810" t="s">
        <v>1579</v>
      </c>
      <c r="N810" t="s">
        <v>1580</v>
      </c>
      <c r="O810" t="s">
        <v>772</v>
      </c>
      <c r="P810">
        <v>2278238</v>
      </c>
      <c r="Q810" t="s">
        <v>38</v>
      </c>
      <c r="R810">
        <v>415484</v>
      </c>
      <c r="S810" t="s">
        <v>84</v>
      </c>
      <c r="T810" s="2">
        <v>1</v>
      </c>
      <c r="U810">
        <v>0</v>
      </c>
      <c r="V810" t="s">
        <v>153</v>
      </c>
      <c r="W810">
        <v>1</v>
      </c>
      <c r="X810">
        <v>1</v>
      </c>
      <c r="Y810">
        <v>0</v>
      </c>
      <c r="Z810" t="s">
        <v>1581</v>
      </c>
      <c r="AA810" t="s">
        <v>1582</v>
      </c>
      <c r="AB810" t="s">
        <v>14</v>
      </c>
      <c r="AC810">
        <v>247.44</v>
      </c>
      <c r="AD810">
        <v>247.44</v>
      </c>
      <c r="AE810">
        <v>726182083590</v>
      </c>
      <c r="AF810">
        <v>247.44</v>
      </c>
      <c r="AG810">
        <v>0</v>
      </c>
      <c r="AH810">
        <v>22.42</v>
      </c>
      <c r="AI810">
        <v>269.86</v>
      </c>
      <c r="AJ810" t="s">
        <v>2</v>
      </c>
      <c r="AK810" t="s">
        <v>11</v>
      </c>
    </row>
    <row r="811" spans="1:37">
      <c r="A811">
        <v>257827</v>
      </c>
      <c r="B811" s="1">
        <v>45366</v>
      </c>
      <c r="C811" t="s">
        <v>764</v>
      </c>
      <c r="D811" t="s">
        <v>765</v>
      </c>
      <c r="E811" t="s">
        <v>2</v>
      </c>
      <c r="F811" t="s">
        <v>766</v>
      </c>
      <c r="G811" t="s">
        <v>767</v>
      </c>
      <c r="H811">
        <v>37217</v>
      </c>
      <c r="I811" t="s">
        <v>1576</v>
      </c>
      <c r="J811" t="s">
        <v>1577</v>
      </c>
      <c r="K811" t="s">
        <v>2</v>
      </c>
      <c r="L811" t="s">
        <v>1578</v>
      </c>
      <c r="M811" t="s">
        <v>1579</v>
      </c>
      <c r="N811" t="s">
        <v>1580</v>
      </c>
      <c r="O811" t="s">
        <v>772</v>
      </c>
      <c r="P811">
        <v>2278238</v>
      </c>
      <c r="Q811" t="s">
        <v>38</v>
      </c>
      <c r="R811">
        <v>415484</v>
      </c>
      <c r="S811" t="s">
        <v>84</v>
      </c>
      <c r="T811" s="2">
        <v>1</v>
      </c>
      <c r="U811">
        <v>0</v>
      </c>
      <c r="V811" t="s">
        <v>153</v>
      </c>
      <c r="W811">
        <v>0</v>
      </c>
      <c r="X811">
        <v>0</v>
      </c>
      <c r="Y811">
        <v>0</v>
      </c>
      <c r="Z811" t="s">
        <v>88</v>
      </c>
      <c r="AA811" t="s">
        <v>116</v>
      </c>
      <c r="AB811" t="s">
        <v>10</v>
      </c>
      <c r="AC811">
        <v>0</v>
      </c>
      <c r="AD811">
        <v>0</v>
      </c>
      <c r="AE811">
        <v>726182083590</v>
      </c>
      <c r="AF811">
        <v>247.44</v>
      </c>
      <c r="AG811">
        <v>0</v>
      </c>
      <c r="AH811">
        <v>22.42</v>
      </c>
      <c r="AI811">
        <v>269.86</v>
      </c>
      <c r="AJ811" t="s">
        <v>2</v>
      </c>
      <c r="AK811" t="s">
        <v>11</v>
      </c>
    </row>
    <row r="812" spans="1:37">
      <c r="A812">
        <v>257828</v>
      </c>
      <c r="B812" s="1">
        <v>45366</v>
      </c>
      <c r="C812" t="s">
        <v>792</v>
      </c>
      <c r="D812" t="s">
        <v>793</v>
      </c>
      <c r="E812" t="s">
        <v>794</v>
      </c>
      <c r="F812" t="s">
        <v>795</v>
      </c>
      <c r="G812" t="s">
        <v>67</v>
      </c>
      <c r="H812">
        <v>75019</v>
      </c>
      <c r="I812" t="s">
        <v>1583</v>
      </c>
      <c r="J812" t="s">
        <v>1584</v>
      </c>
      <c r="K812" t="s">
        <v>2</v>
      </c>
      <c r="L812" t="s">
        <v>1585</v>
      </c>
      <c r="M812" t="s">
        <v>67</v>
      </c>
      <c r="N812" t="s">
        <v>1586</v>
      </c>
      <c r="O812" t="s">
        <v>799</v>
      </c>
      <c r="P812">
        <v>2278241</v>
      </c>
      <c r="Q812" t="s">
        <v>38</v>
      </c>
      <c r="R812">
        <v>415482</v>
      </c>
      <c r="S812" t="s">
        <v>84</v>
      </c>
      <c r="T812" s="2">
        <v>2</v>
      </c>
      <c r="U812">
        <v>0</v>
      </c>
      <c r="V812" t="s">
        <v>153</v>
      </c>
      <c r="W812">
        <v>0</v>
      </c>
      <c r="X812">
        <v>0</v>
      </c>
      <c r="Y812">
        <v>0</v>
      </c>
      <c r="Z812" t="s">
        <v>9</v>
      </c>
      <c r="AA812" t="s">
        <v>2</v>
      </c>
      <c r="AB812" t="s">
        <v>10</v>
      </c>
      <c r="AC812">
        <v>0</v>
      </c>
      <c r="AD812">
        <v>0</v>
      </c>
      <c r="AE812">
        <v>726182083638</v>
      </c>
      <c r="AF812">
        <v>252.09</v>
      </c>
      <c r="AG812">
        <v>0</v>
      </c>
      <c r="AH812">
        <v>35.29</v>
      </c>
      <c r="AI812">
        <v>287.38</v>
      </c>
      <c r="AJ812" t="s">
        <v>2</v>
      </c>
      <c r="AK812" t="s">
        <v>11</v>
      </c>
    </row>
    <row r="813" spans="1:37">
      <c r="A813">
        <v>257828</v>
      </c>
      <c r="B813" s="1">
        <v>45366</v>
      </c>
      <c r="C813" t="s">
        <v>792</v>
      </c>
      <c r="D813" t="s">
        <v>793</v>
      </c>
      <c r="E813" t="s">
        <v>794</v>
      </c>
      <c r="F813" t="s">
        <v>795</v>
      </c>
      <c r="G813" t="s">
        <v>67</v>
      </c>
      <c r="H813">
        <v>75019</v>
      </c>
      <c r="I813" t="s">
        <v>1583</v>
      </c>
      <c r="J813" t="s">
        <v>1584</v>
      </c>
      <c r="K813" t="s">
        <v>2</v>
      </c>
      <c r="L813" t="s">
        <v>1585</v>
      </c>
      <c r="M813" t="s">
        <v>67</v>
      </c>
      <c r="N813" t="s">
        <v>1586</v>
      </c>
      <c r="O813" t="s">
        <v>799</v>
      </c>
      <c r="P813">
        <v>2278241</v>
      </c>
      <c r="Q813" t="s">
        <v>38</v>
      </c>
      <c r="R813">
        <v>415482</v>
      </c>
      <c r="S813" t="s">
        <v>84</v>
      </c>
      <c r="T813" s="2">
        <v>2</v>
      </c>
      <c r="U813">
        <v>0</v>
      </c>
      <c r="V813" t="s">
        <v>153</v>
      </c>
      <c r="W813">
        <v>1</v>
      </c>
      <c r="X813">
        <v>1</v>
      </c>
      <c r="Y813">
        <v>0</v>
      </c>
      <c r="Z813" t="s">
        <v>1587</v>
      </c>
      <c r="AA813" t="s">
        <v>1588</v>
      </c>
      <c r="AB813" t="s">
        <v>14</v>
      </c>
      <c r="AC813">
        <v>93.74</v>
      </c>
      <c r="AD813">
        <v>93.74</v>
      </c>
      <c r="AE813">
        <v>726182083638</v>
      </c>
      <c r="AF813">
        <v>252.09</v>
      </c>
      <c r="AG813">
        <v>0</v>
      </c>
      <c r="AH813">
        <v>35.29</v>
      </c>
      <c r="AI813">
        <v>287.38</v>
      </c>
      <c r="AJ813" t="s">
        <v>2</v>
      </c>
      <c r="AK813" t="s">
        <v>11</v>
      </c>
    </row>
    <row r="814" spans="1:37">
      <c r="A814">
        <v>257828</v>
      </c>
      <c r="B814" s="1">
        <v>45366</v>
      </c>
      <c r="C814" t="s">
        <v>792</v>
      </c>
      <c r="D814" t="s">
        <v>793</v>
      </c>
      <c r="E814" t="s">
        <v>794</v>
      </c>
      <c r="F814" t="s">
        <v>795</v>
      </c>
      <c r="G814" t="s">
        <v>67</v>
      </c>
      <c r="H814">
        <v>75019</v>
      </c>
      <c r="I814" t="s">
        <v>1583</v>
      </c>
      <c r="J814" t="s">
        <v>1584</v>
      </c>
      <c r="K814" t="s">
        <v>2</v>
      </c>
      <c r="L814" t="s">
        <v>1585</v>
      </c>
      <c r="M814" t="s">
        <v>67</v>
      </c>
      <c r="N814" t="s">
        <v>1586</v>
      </c>
      <c r="O814" t="s">
        <v>799</v>
      </c>
      <c r="P814">
        <v>2278241</v>
      </c>
      <c r="Q814" t="s">
        <v>38</v>
      </c>
      <c r="R814">
        <v>415482</v>
      </c>
      <c r="S814" t="s">
        <v>84</v>
      </c>
      <c r="T814" s="2">
        <v>2</v>
      </c>
      <c r="U814">
        <v>0</v>
      </c>
      <c r="V814" t="s">
        <v>153</v>
      </c>
      <c r="W814">
        <v>0</v>
      </c>
      <c r="X814">
        <v>0</v>
      </c>
      <c r="Y814">
        <v>0</v>
      </c>
      <c r="Z814" t="s">
        <v>88</v>
      </c>
      <c r="AA814" t="s">
        <v>240</v>
      </c>
      <c r="AB814" t="s">
        <v>10</v>
      </c>
      <c r="AC814">
        <v>0</v>
      </c>
      <c r="AD814">
        <v>0</v>
      </c>
      <c r="AE814">
        <v>726182083638</v>
      </c>
      <c r="AF814">
        <v>252.09</v>
      </c>
      <c r="AG814">
        <v>0</v>
      </c>
      <c r="AH814">
        <v>35.29</v>
      </c>
      <c r="AI814">
        <v>287.38</v>
      </c>
      <c r="AJ814" t="s">
        <v>2</v>
      </c>
      <c r="AK814" t="s">
        <v>11</v>
      </c>
    </row>
    <row r="815" spans="1:37">
      <c r="A815">
        <v>257828</v>
      </c>
      <c r="B815" s="1">
        <v>45366</v>
      </c>
      <c r="C815" t="s">
        <v>792</v>
      </c>
      <c r="D815" t="s">
        <v>793</v>
      </c>
      <c r="E815" t="s">
        <v>794</v>
      </c>
      <c r="F815" t="s">
        <v>795</v>
      </c>
      <c r="G815" t="s">
        <v>67</v>
      </c>
      <c r="H815">
        <v>75019</v>
      </c>
      <c r="I815" t="s">
        <v>1583</v>
      </c>
      <c r="J815" t="s">
        <v>1584</v>
      </c>
      <c r="K815" t="s">
        <v>2</v>
      </c>
      <c r="L815" t="s">
        <v>1585</v>
      </c>
      <c r="M815" t="s">
        <v>67</v>
      </c>
      <c r="N815" t="s">
        <v>1586</v>
      </c>
      <c r="O815" t="s">
        <v>799</v>
      </c>
      <c r="P815">
        <v>2278241</v>
      </c>
      <c r="Q815" t="s">
        <v>38</v>
      </c>
      <c r="R815">
        <v>415482</v>
      </c>
      <c r="S815" t="s">
        <v>84</v>
      </c>
      <c r="T815" s="2">
        <v>2</v>
      </c>
      <c r="U815">
        <v>0</v>
      </c>
      <c r="V815" t="s">
        <v>153</v>
      </c>
      <c r="W815">
        <v>1</v>
      </c>
      <c r="X815">
        <v>1</v>
      </c>
      <c r="Y815">
        <v>0</v>
      </c>
      <c r="Z815" t="s">
        <v>1589</v>
      </c>
      <c r="AA815" t="s">
        <v>1590</v>
      </c>
      <c r="AB815" t="s">
        <v>14</v>
      </c>
      <c r="AC815">
        <v>158.35</v>
      </c>
      <c r="AD815">
        <v>158.35</v>
      </c>
      <c r="AE815">
        <v>726182083638</v>
      </c>
      <c r="AF815">
        <v>252.09</v>
      </c>
      <c r="AG815">
        <v>0</v>
      </c>
      <c r="AH815">
        <v>35.29</v>
      </c>
      <c r="AI815">
        <v>287.38</v>
      </c>
      <c r="AJ815" t="s">
        <v>2</v>
      </c>
      <c r="AK815" t="s">
        <v>11</v>
      </c>
    </row>
    <row r="816" spans="1:37">
      <c r="A816">
        <v>257828</v>
      </c>
      <c r="B816" s="1">
        <v>45366</v>
      </c>
      <c r="C816" t="s">
        <v>792</v>
      </c>
      <c r="D816" t="s">
        <v>793</v>
      </c>
      <c r="E816" t="s">
        <v>794</v>
      </c>
      <c r="F816" t="s">
        <v>795</v>
      </c>
      <c r="G816" t="s">
        <v>67</v>
      </c>
      <c r="H816">
        <v>75019</v>
      </c>
      <c r="I816" t="s">
        <v>1583</v>
      </c>
      <c r="J816" t="s">
        <v>1584</v>
      </c>
      <c r="K816" t="s">
        <v>2</v>
      </c>
      <c r="L816" t="s">
        <v>1585</v>
      </c>
      <c r="M816" t="s">
        <v>67</v>
      </c>
      <c r="N816" t="s">
        <v>1586</v>
      </c>
      <c r="O816" t="s">
        <v>799</v>
      </c>
      <c r="P816">
        <v>2278241</v>
      </c>
      <c r="Q816" t="s">
        <v>38</v>
      </c>
      <c r="R816">
        <v>415482</v>
      </c>
      <c r="S816" t="s">
        <v>84</v>
      </c>
      <c r="T816" s="2">
        <v>2</v>
      </c>
      <c r="U816">
        <v>0</v>
      </c>
      <c r="V816" t="s">
        <v>153</v>
      </c>
      <c r="W816">
        <v>0</v>
      </c>
      <c r="X816">
        <v>0</v>
      </c>
      <c r="Y816">
        <v>0</v>
      </c>
      <c r="Z816" t="s">
        <v>88</v>
      </c>
      <c r="AA816" t="s">
        <v>107</v>
      </c>
      <c r="AB816" t="s">
        <v>10</v>
      </c>
      <c r="AC816">
        <v>0</v>
      </c>
      <c r="AD816">
        <v>0</v>
      </c>
      <c r="AE816">
        <v>726182083638</v>
      </c>
      <c r="AF816">
        <v>252.09</v>
      </c>
      <c r="AG816">
        <v>0</v>
      </c>
      <c r="AH816">
        <v>35.29</v>
      </c>
      <c r="AI816">
        <v>287.38</v>
      </c>
      <c r="AJ816" t="s">
        <v>2</v>
      </c>
      <c r="AK816" t="s">
        <v>11</v>
      </c>
    </row>
    <row r="817" spans="1:37">
      <c r="A817">
        <v>257829</v>
      </c>
      <c r="B817" s="1">
        <v>45366</v>
      </c>
      <c r="C817" t="s">
        <v>1591</v>
      </c>
      <c r="D817" t="s">
        <v>1592</v>
      </c>
      <c r="E817" t="s">
        <v>1426</v>
      </c>
      <c r="F817" t="s">
        <v>1593</v>
      </c>
      <c r="G817" t="s">
        <v>760</v>
      </c>
      <c r="H817">
        <v>53188</v>
      </c>
      <c r="I817" t="s">
        <v>1594</v>
      </c>
      <c r="J817" t="s">
        <v>1595</v>
      </c>
      <c r="K817" t="s">
        <v>1596</v>
      </c>
      <c r="L817" t="s">
        <v>1597</v>
      </c>
      <c r="M817" t="s">
        <v>760</v>
      </c>
      <c r="N817" t="s">
        <v>1598</v>
      </c>
      <c r="O817" t="s">
        <v>1599</v>
      </c>
      <c r="P817">
        <v>2278299</v>
      </c>
      <c r="Q817" t="s">
        <v>6</v>
      </c>
      <c r="R817">
        <v>415521</v>
      </c>
      <c r="S817" t="s">
        <v>84</v>
      </c>
      <c r="T817" s="2">
        <v>1</v>
      </c>
      <c r="U817">
        <v>0</v>
      </c>
      <c r="V817" t="s">
        <v>153</v>
      </c>
      <c r="W817">
        <v>0</v>
      </c>
      <c r="X817">
        <v>0</v>
      </c>
      <c r="Y817">
        <v>0</v>
      </c>
      <c r="Z817" t="s">
        <v>9</v>
      </c>
      <c r="AA817" t="s">
        <v>2</v>
      </c>
      <c r="AB817" t="s">
        <v>10</v>
      </c>
      <c r="AC817">
        <v>0</v>
      </c>
      <c r="AD817">
        <v>0</v>
      </c>
      <c r="AE817">
        <v>726182083888</v>
      </c>
      <c r="AF817">
        <v>139.47999999999999</v>
      </c>
      <c r="AG817">
        <v>0</v>
      </c>
      <c r="AH817">
        <v>16.07</v>
      </c>
      <c r="AI817">
        <v>155.55000000000001</v>
      </c>
      <c r="AJ817" t="s">
        <v>2</v>
      </c>
      <c r="AK817" t="s">
        <v>11</v>
      </c>
    </row>
    <row r="818" spans="1:37">
      <c r="A818">
        <v>257829</v>
      </c>
      <c r="B818" s="1">
        <v>45366</v>
      </c>
      <c r="C818" t="s">
        <v>1591</v>
      </c>
      <c r="D818" t="s">
        <v>1592</v>
      </c>
      <c r="E818" t="s">
        <v>1426</v>
      </c>
      <c r="F818" t="s">
        <v>1593</v>
      </c>
      <c r="G818" t="s">
        <v>760</v>
      </c>
      <c r="H818">
        <v>53188</v>
      </c>
      <c r="I818" t="s">
        <v>1594</v>
      </c>
      <c r="J818" t="s">
        <v>1595</v>
      </c>
      <c r="K818" t="s">
        <v>1596</v>
      </c>
      <c r="L818" t="s">
        <v>1597</v>
      </c>
      <c r="M818" t="s">
        <v>760</v>
      </c>
      <c r="N818" t="s">
        <v>1598</v>
      </c>
      <c r="O818" t="s">
        <v>1599</v>
      </c>
      <c r="P818">
        <v>2278299</v>
      </c>
      <c r="Q818" t="s">
        <v>6</v>
      </c>
      <c r="R818">
        <v>415521</v>
      </c>
      <c r="S818" t="s">
        <v>84</v>
      </c>
      <c r="T818" s="2">
        <v>1</v>
      </c>
      <c r="U818">
        <v>0</v>
      </c>
      <c r="V818" t="s">
        <v>153</v>
      </c>
      <c r="W818">
        <v>1</v>
      </c>
      <c r="X818">
        <v>1</v>
      </c>
      <c r="Y818">
        <v>0</v>
      </c>
      <c r="Z818" t="s">
        <v>1600</v>
      </c>
      <c r="AA818" t="s">
        <v>1601</v>
      </c>
      <c r="AB818" t="s">
        <v>14</v>
      </c>
      <c r="AC818">
        <v>139.47999999999999</v>
      </c>
      <c r="AD818">
        <v>139.47999999999999</v>
      </c>
      <c r="AE818">
        <v>726182083888</v>
      </c>
      <c r="AF818">
        <v>139.47999999999999</v>
      </c>
      <c r="AG818">
        <v>0</v>
      </c>
      <c r="AH818">
        <v>16.07</v>
      </c>
      <c r="AI818">
        <v>155.55000000000001</v>
      </c>
      <c r="AJ818" t="s">
        <v>2</v>
      </c>
      <c r="AK818" t="s">
        <v>11</v>
      </c>
    </row>
    <row r="819" spans="1:37">
      <c r="A819">
        <v>257829</v>
      </c>
      <c r="B819" s="1">
        <v>45366</v>
      </c>
      <c r="C819" t="s">
        <v>1591</v>
      </c>
      <c r="D819" t="s">
        <v>1592</v>
      </c>
      <c r="E819" t="s">
        <v>1426</v>
      </c>
      <c r="F819" t="s">
        <v>1593</v>
      </c>
      <c r="G819" t="s">
        <v>760</v>
      </c>
      <c r="H819">
        <v>53188</v>
      </c>
      <c r="I819" t="s">
        <v>1594</v>
      </c>
      <c r="J819" t="s">
        <v>1595</v>
      </c>
      <c r="K819" t="s">
        <v>1596</v>
      </c>
      <c r="L819" t="s">
        <v>1597</v>
      </c>
      <c r="M819" t="s">
        <v>760</v>
      </c>
      <c r="N819" t="s">
        <v>1598</v>
      </c>
      <c r="O819" t="s">
        <v>1599</v>
      </c>
      <c r="P819">
        <v>2278299</v>
      </c>
      <c r="Q819" t="s">
        <v>6</v>
      </c>
      <c r="R819">
        <v>415521</v>
      </c>
      <c r="S819" t="s">
        <v>84</v>
      </c>
      <c r="T819" s="2">
        <v>1</v>
      </c>
      <c r="U819">
        <v>0</v>
      </c>
      <c r="V819" t="s">
        <v>153</v>
      </c>
      <c r="W819">
        <v>0</v>
      </c>
      <c r="X819">
        <v>0</v>
      </c>
      <c r="Y819">
        <v>0</v>
      </c>
      <c r="Z819" t="s">
        <v>88</v>
      </c>
      <c r="AA819" t="s">
        <v>717</v>
      </c>
      <c r="AB819" t="s">
        <v>10</v>
      </c>
      <c r="AC819">
        <v>0</v>
      </c>
      <c r="AD819">
        <v>0</v>
      </c>
      <c r="AE819">
        <v>726182083888</v>
      </c>
      <c r="AF819">
        <v>139.47999999999999</v>
      </c>
      <c r="AG819">
        <v>0</v>
      </c>
      <c r="AH819">
        <v>16.07</v>
      </c>
      <c r="AI819">
        <v>155.55000000000001</v>
      </c>
      <c r="AJ819" t="s">
        <v>2</v>
      </c>
      <c r="AK819" t="s">
        <v>11</v>
      </c>
    </row>
    <row r="820" spans="1:37">
      <c r="A820">
        <v>257830</v>
      </c>
      <c r="B820" s="1">
        <v>45366</v>
      </c>
      <c r="C820" t="s">
        <v>1559</v>
      </c>
      <c r="D820" t="s">
        <v>1560</v>
      </c>
      <c r="E820" t="s">
        <v>1561</v>
      </c>
      <c r="F820" t="s">
        <v>1562</v>
      </c>
      <c r="G820" t="s">
        <v>539</v>
      </c>
      <c r="H820">
        <v>27615</v>
      </c>
      <c r="I820" t="s">
        <v>1602</v>
      </c>
      <c r="J820" t="s">
        <v>1603</v>
      </c>
      <c r="K820" t="s">
        <v>2</v>
      </c>
      <c r="L820" t="s">
        <v>859</v>
      </c>
      <c r="M820" t="s">
        <v>539</v>
      </c>
      <c r="N820" t="s">
        <v>1604</v>
      </c>
      <c r="O820" t="s">
        <v>1567</v>
      </c>
      <c r="P820">
        <v>2278273</v>
      </c>
      <c r="Q820" t="s">
        <v>38</v>
      </c>
      <c r="R820">
        <v>415506</v>
      </c>
      <c r="S820" t="s">
        <v>84</v>
      </c>
      <c r="T820" s="2">
        <v>2</v>
      </c>
      <c r="U820">
        <v>0</v>
      </c>
      <c r="V820" t="s">
        <v>153</v>
      </c>
      <c r="W820">
        <v>0</v>
      </c>
      <c r="X820">
        <v>0</v>
      </c>
      <c r="Y820">
        <v>0</v>
      </c>
      <c r="Z820" t="s">
        <v>9</v>
      </c>
      <c r="AA820" t="s">
        <v>2</v>
      </c>
      <c r="AB820" t="s">
        <v>10</v>
      </c>
      <c r="AC820">
        <v>0</v>
      </c>
      <c r="AD820">
        <v>0</v>
      </c>
      <c r="AE820">
        <v>726182083785</v>
      </c>
      <c r="AF820">
        <v>1290.9000000000001</v>
      </c>
      <c r="AG820">
        <v>0</v>
      </c>
      <c r="AH820">
        <v>63.64</v>
      </c>
      <c r="AI820">
        <v>1354.54</v>
      </c>
      <c r="AJ820" t="s">
        <v>2</v>
      </c>
      <c r="AK820" t="s">
        <v>11</v>
      </c>
    </row>
    <row r="821" spans="1:37">
      <c r="A821">
        <v>257830</v>
      </c>
      <c r="B821" s="1">
        <v>45366</v>
      </c>
      <c r="C821" t="s">
        <v>1559</v>
      </c>
      <c r="D821" t="s">
        <v>1560</v>
      </c>
      <c r="E821" t="s">
        <v>1561</v>
      </c>
      <c r="F821" t="s">
        <v>1562</v>
      </c>
      <c r="G821" t="s">
        <v>539</v>
      </c>
      <c r="H821">
        <v>27615</v>
      </c>
      <c r="I821" t="s">
        <v>1602</v>
      </c>
      <c r="J821" t="s">
        <v>1603</v>
      </c>
      <c r="K821" t="s">
        <v>2</v>
      </c>
      <c r="L821" t="s">
        <v>859</v>
      </c>
      <c r="M821" t="s">
        <v>539</v>
      </c>
      <c r="N821" t="s">
        <v>1604</v>
      </c>
      <c r="O821" t="s">
        <v>1567</v>
      </c>
      <c r="P821">
        <v>2278273</v>
      </c>
      <c r="Q821" t="s">
        <v>38</v>
      </c>
      <c r="R821">
        <v>415506</v>
      </c>
      <c r="S821" t="s">
        <v>84</v>
      </c>
      <c r="T821" s="2">
        <v>2</v>
      </c>
      <c r="U821">
        <v>0</v>
      </c>
      <c r="V821" t="s">
        <v>153</v>
      </c>
      <c r="W821">
        <v>1</v>
      </c>
      <c r="X821">
        <v>1</v>
      </c>
      <c r="Y821">
        <v>0</v>
      </c>
      <c r="Z821" t="s">
        <v>1605</v>
      </c>
      <c r="AA821" t="s">
        <v>1606</v>
      </c>
      <c r="AB821" t="s">
        <v>14</v>
      </c>
      <c r="AC821">
        <v>645.45000000000005</v>
      </c>
      <c r="AD821">
        <v>645.45000000000005</v>
      </c>
      <c r="AE821">
        <v>726182083785</v>
      </c>
      <c r="AF821">
        <v>1290.9000000000001</v>
      </c>
      <c r="AG821">
        <v>0</v>
      </c>
      <c r="AH821">
        <v>63.64</v>
      </c>
      <c r="AI821">
        <v>1354.54</v>
      </c>
      <c r="AJ821" t="s">
        <v>2</v>
      </c>
      <c r="AK821" t="s">
        <v>11</v>
      </c>
    </row>
    <row r="822" spans="1:37">
      <c r="A822">
        <v>257830</v>
      </c>
      <c r="B822" s="1">
        <v>45366</v>
      </c>
      <c r="C822" t="s">
        <v>1559</v>
      </c>
      <c r="D822" t="s">
        <v>1560</v>
      </c>
      <c r="E822" t="s">
        <v>1561</v>
      </c>
      <c r="F822" t="s">
        <v>1562</v>
      </c>
      <c r="G822" t="s">
        <v>539</v>
      </c>
      <c r="H822">
        <v>27615</v>
      </c>
      <c r="I822" t="s">
        <v>1602</v>
      </c>
      <c r="J822" t="s">
        <v>1603</v>
      </c>
      <c r="K822" t="s">
        <v>2</v>
      </c>
      <c r="L822" t="s">
        <v>859</v>
      </c>
      <c r="M822" t="s">
        <v>539</v>
      </c>
      <c r="N822" t="s">
        <v>1604</v>
      </c>
      <c r="O822" t="s">
        <v>1567</v>
      </c>
      <c r="P822">
        <v>2278273</v>
      </c>
      <c r="Q822" t="s">
        <v>38</v>
      </c>
      <c r="R822">
        <v>415506</v>
      </c>
      <c r="S822" t="s">
        <v>84</v>
      </c>
      <c r="T822" s="2">
        <v>2</v>
      </c>
      <c r="U822">
        <v>0</v>
      </c>
      <c r="V822" t="s">
        <v>153</v>
      </c>
      <c r="W822">
        <v>0</v>
      </c>
      <c r="X822">
        <v>0</v>
      </c>
      <c r="Y822">
        <v>0</v>
      </c>
      <c r="Z822" t="s">
        <v>88</v>
      </c>
      <c r="AA822" t="s">
        <v>298</v>
      </c>
      <c r="AB822" t="s">
        <v>10</v>
      </c>
      <c r="AC822">
        <v>0</v>
      </c>
      <c r="AD822">
        <v>0</v>
      </c>
      <c r="AE822">
        <v>726182083785</v>
      </c>
      <c r="AF822">
        <v>1290.9000000000001</v>
      </c>
      <c r="AG822">
        <v>0</v>
      </c>
      <c r="AH822">
        <v>63.64</v>
      </c>
      <c r="AI822">
        <v>1354.54</v>
      </c>
      <c r="AJ822" t="s">
        <v>2</v>
      </c>
      <c r="AK822" t="s">
        <v>11</v>
      </c>
    </row>
    <row r="823" spans="1:37">
      <c r="A823">
        <v>257830</v>
      </c>
      <c r="B823" s="1">
        <v>45366</v>
      </c>
      <c r="C823" t="s">
        <v>1559</v>
      </c>
      <c r="D823" t="s">
        <v>1560</v>
      </c>
      <c r="E823" t="s">
        <v>1561</v>
      </c>
      <c r="F823" t="s">
        <v>1562</v>
      </c>
      <c r="G823" t="s">
        <v>539</v>
      </c>
      <c r="H823">
        <v>27615</v>
      </c>
      <c r="I823" t="s">
        <v>1602</v>
      </c>
      <c r="J823" t="s">
        <v>1603</v>
      </c>
      <c r="K823" t="s">
        <v>2</v>
      </c>
      <c r="L823" t="s">
        <v>859</v>
      </c>
      <c r="M823" t="s">
        <v>539</v>
      </c>
      <c r="N823" t="s">
        <v>1604</v>
      </c>
      <c r="O823" t="s">
        <v>1567</v>
      </c>
      <c r="P823">
        <v>2278273</v>
      </c>
      <c r="Q823" t="s">
        <v>38</v>
      </c>
      <c r="R823">
        <v>415506</v>
      </c>
      <c r="S823" t="s">
        <v>84</v>
      </c>
      <c r="T823" s="2">
        <v>2</v>
      </c>
      <c r="U823">
        <v>0</v>
      </c>
      <c r="V823" t="s">
        <v>153</v>
      </c>
      <c r="W823">
        <v>1</v>
      </c>
      <c r="X823">
        <v>1</v>
      </c>
      <c r="Y823">
        <v>0</v>
      </c>
      <c r="Z823" t="s">
        <v>1086</v>
      </c>
      <c r="AA823" t="s">
        <v>1087</v>
      </c>
      <c r="AB823" t="s">
        <v>14</v>
      </c>
      <c r="AC823">
        <v>645.45000000000005</v>
      </c>
      <c r="AD823">
        <v>645.45000000000005</v>
      </c>
      <c r="AE823">
        <v>726182083785</v>
      </c>
      <c r="AF823">
        <v>1290.9000000000001</v>
      </c>
      <c r="AG823">
        <v>0</v>
      </c>
      <c r="AH823">
        <v>63.64</v>
      </c>
      <c r="AI823">
        <v>1354.54</v>
      </c>
      <c r="AJ823" t="s">
        <v>2</v>
      </c>
      <c r="AK823" t="s">
        <v>11</v>
      </c>
    </row>
    <row r="824" spans="1:37">
      <c r="A824">
        <v>257830</v>
      </c>
      <c r="B824" s="1">
        <v>45366</v>
      </c>
      <c r="C824" t="s">
        <v>1559</v>
      </c>
      <c r="D824" t="s">
        <v>1560</v>
      </c>
      <c r="E824" t="s">
        <v>1561</v>
      </c>
      <c r="F824" t="s">
        <v>1562</v>
      </c>
      <c r="G824" t="s">
        <v>539</v>
      </c>
      <c r="H824">
        <v>27615</v>
      </c>
      <c r="I824" t="s">
        <v>1602</v>
      </c>
      <c r="J824" t="s">
        <v>1603</v>
      </c>
      <c r="K824" t="s">
        <v>2</v>
      </c>
      <c r="L824" t="s">
        <v>859</v>
      </c>
      <c r="M824" t="s">
        <v>539</v>
      </c>
      <c r="N824" t="s">
        <v>1604</v>
      </c>
      <c r="O824" t="s">
        <v>1567</v>
      </c>
      <c r="P824">
        <v>2278273</v>
      </c>
      <c r="Q824" t="s">
        <v>38</v>
      </c>
      <c r="R824">
        <v>415506</v>
      </c>
      <c r="S824" t="s">
        <v>84</v>
      </c>
      <c r="T824" s="2">
        <v>2</v>
      </c>
      <c r="U824">
        <v>0</v>
      </c>
      <c r="V824" t="s">
        <v>153</v>
      </c>
      <c r="W824">
        <v>0</v>
      </c>
      <c r="X824">
        <v>0</v>
      </c>
      <c r="Y824">
        <v>0</v>
      </c>
      <c r="Z824" t="s">
        <v>88</v>
      </c>
      <c r="AA824" t="s">
        <v>298</v>
      </c>
      <c r="AB824" t="s">
        <v>10</v>
      </c>
      <c r="AC824">
        <v>0</v>
      </c>
      <c r="AD824">
        <v>0</v>
      </c>
      <c r="AE824">
        <v>726182083785</v>
      </c>
      <c r="AF824">
        <v>1290.9000000000001</v>
      </c>
      <c r="AG824">
        <v>0</v>
      </c>
      <c r="AH824">
        <v>63.64</v>
      </c>
      <c r="AI824">
        <v>1354.54</v>
      </c>
      <c r="AJ824" t="s">
        <v>2</v>
      </c>
      <c r="AK824" t="s">
        <v>11</v>
      </c>
    </row>
    <row r="825" spans="1:37">
      <c r="A825">
        <v>257831</v>
      </c>
      <c r="B825" s="1">
        <v>45366</v>
      </c>
      <c r="C825" t="s">
        <v>1318</v>
      </c>
      <c r="D825" t="s">
        <v>1319</v>
      </c>
      <c r="E825" t="s">
        <v>2</v>
      </c>
      <c r="F825" t="s">
        <v>1320</v>
      </c>
      <c r="G825" t="s">
        <v>1321</v>
      </c>
      <c r="H825">
        <v>6457</v>
      </c>
      <c r="I825" t="s">
        <v>1607</v>
      </c>
      <c r="J825" t="s">
        <v>1608</v>
      </c>
      <c r="K825" t="s">
        <v>2</v>
      </c>
      <c r="L825" t="s">
        <v>1609</v>
      </c>
      <c r="M825" t="s">
        <v>103</v>
      </c>
      <c r="N825" t="s">
        <v>1610</v>
      </c>
      <c r="O825" t="s">
        <v>1326</v>
      </c>
      <c r="P825">
        <v>2278213</v>
      </c>
      <c r="Q825" t="s">
        <v>38</v>
      </c>
      <c r="R825">
        <v>415464</v>
      </c>
      <c r="S825" t="s">
        <v>84</v>
      </c>
      <c r="T825" s="2">
        <v>1</v>
      </c>
      <c r="U825">
        <v>0</v>
      </c>
      <c r="V825" t="s">
        <v>153</v>
      </c>
      <c r="W825">
        <v>0</v>
      </c>
      <c r="X825">
        <v>0</v>
      </c>
      <c r="Y825">
        <v>0</v>
      </c>
      <c r="Z825" t="s">
        <v>9</v>
      </c>
      <c r="AA825" t="s">
        <v>2</v>
      </c>
      <c r="AB825" t="s">
        <v>10</v>
      </c>
      <c r="AC825">
        <v>0</v>
      </c>
      <c r="AD825">
        <v>0</v>
      </c>
      <c r="AE825">
        <v>726182083899</v>
      </c>
      <c r="AF825">
        <v>222.55</v>
      </c>
      <c r="AG825">
        <v>0</v>
      </c>
      <c r="AH825">
        <v>38.29</v>
      </c>
      <c r="AI825">
        <v>260.83999999999997</v>
      </c>
      <c r="AJ825" t="s">
        <v>2</v>
      </c>
      <c r="AK825" t="s">
        <v>11</v>
      </c>
    </row>
    <row r="826" spans="1:37">
      <c r="A826">
        <v>257831</v>
      </c>
      <c r="B826" s="1">
        <v>45366</v>
      </c>
      <c r="C826" t="s">
        <v>1318</v>
      </c>
      <c r="D826" t="s">
        <v>1319</v>
      </c>
      <c r="E826" t="s">
        <v>2</v>
      </c>
      <c r="F826" t="s">
        <v>1320</v>
      </c>
      <c r="G826" t="s">
        <v>1321</v>
      </c>
      <c r="H826">
        <v>6457</v>
      </c>
      <c r="I826" t="s">
        <v>1607</v>
      </c>
      <c r="J826" t="s">
        <v>1608</v>
      </c>
      <c r="K826" t="s">
        <v>2</v>
      </c>
      <c r="L826" t="s">
        <v>1609</v>
      </c>
      <c r="M826" t="s">
        <v>103</v>
      </c>
      <c r="N826" t="s">
        <v>1610</v>
      </c>
      <c r="O826" t="s">
        <v>1326</v>
      </c>
      <c r="P826">
        <v>2278213</v>
      </c>
      <c r="Q826" t="s">
        <v>38</v>
      </c>
      <c r="R826">
        <v>415464</v>
      </c>
      <c r="S826" t="s">
        <v>84</v>
      </c>
      <c r="T826" s="2">
        <v>1</v>
      </c>
      <c r="U826">
        <v>0</v>
      </c>
      <c r="V826" t="s">
        <v>153</v>
      </c>
      <c r="W826">
        <v>1</v>
      </c>
      <c r="X826">
        <v>1</v>
      </c>
      <c r="Y826">
        <v>0</v>
      </c>
      <c r="Z826" t="s">
        <v>1611</v>
      </c>
      <c r="AA826" t="s">
        <v>1612</v>
      </c>
      <c r="AB826" t="s">
        <v>14</v>
      </c>
      <c r="AC826">
        <v>222.55</v>
      </c>
      <c r="AD826">
        <v>222.55</v>
      </c>
      <c r="AE826">
        <v>726182083899</v>
      </c>
      <c r="AF826">
        <v>222.55</v>
      </c>
      <c r="AG826">
        <v>0</v>
      </c>
      <c r="AH826">
        <v>38.29</v>
      </c>
      <c r="AI826">
        <v>260.83999999999997</v>
      </c>
      <c r="AJ826" t="s">
        <v>2</v>
      </c>
      <c r="AK826" t="s">
        <v>11</v>
      </c>
    </row>
    <row r="827" spans="1:37">
      <c r="A827">
        <v>257831</v>
      </c>
      <c r="B827" s="1">
        <v>45366</v>
      </c>
      <c r="C827" t="s">
        <v>1318</v>
      </c>
      <c r="D827" t="s">
        <v>1319</v>
      </c>
      <c r="E827" t="s">
        <v>2</v>
      </c>
      <c r="F827" t="s">
        <v>1320</v>
      </c>
      <c r="G827" t="s">
        <v>1321</v>
      </c>
      <c r="H827">
        <v>6457</v>
      </c>
      <c r="I827" t="s">
        <v>1607</v>
      </c>
      <c r="J827" t="s">
        <v>1608</v>
      </c>
      <c r="K827" t="s">
        <v>2</v>
      </c>
      <c r="L827" t="s">
        <v>1609</v>
      </c>
      <c r="M827" t="s">
        <v>103</v>
      </c>
      <c r="N827" t="s">
        <v>1610</v>
      </c>
      <c r="O827" t="s">
        <v>1326</v>
      </c>
      <c r="P827">
        <v>2278213</v>
      </c>
      <c r="Q827" t="s">
        <v>38</v>
      </c>
      <c r="R827">
        <v>415464</v>
      </c>
      <c r="S827" t="s">
        <v>84</v>
      </c>
      <c r="T827" s="2">
        <v>1</v>
      </c>
      <c r="U827">
        <v>0</v>
      </c>
      <c r="V827" t="s">
        <v>153</v>
      </c>
      <c r="W827">
        <v>0</v>
      </c>
      <c r="X827">
        <v>0</v>
      </c>
      <c r="Y827">
        <v>0</v>
      </c>
      <c r="Z827" t="s">
        <v>88</v>
      </c>
      <c r="AA827" t="s">
        <v>240</v>
      </c>
      <c r="AB827" t="s">
        <v>10</v>
      </c>
      <c r="AC827">
        <v>0</v>
      </c>
      <c r="AD827">
        <v>0</v>
      </c>
      <c r="AE827">
        <v>726182083899</v>
      </c>
      <c r="AF827">
        <v>222.55</v>
      </c>
      <c r="AG827">
        <v>0</v>
      </c>
      <c r="AH827">
        <v>38.29</v>
      </c>
      <c r="AI827">
        <v>260.83999999999997</v>
      </c>
      <c r="AJ827" t="s">
        <v>2</v>
      </c>
      <c r="AK827" t="s">
        <v>11</v>
      </c>
    </row>
    <row r="828" spans="1:37">
      <c r="A828">
        <v>257832</v>
      </c>
      <c r="B828" s="1">
        <v>45366</v>
      </c>
      <c r="C828" t="s">
        <v>1476</v>
      </c>
      <c r="D828" t="s">
        <v>1477</v>
      </c>
      <c r="E828" t="s">
        <v>1196</v>
      </c>
      <c r="F828" t="s">
        <v>1374</v>
      </c>
      <c r="G828" t="s">
        <v>575</v>
      </c>
      <c r="H828">
        <v>49548</v>
      </c>
      <c r="I828" t="s">
        <v>1613</v>
      </c>
      <c r="J828" t="s">
        <v>1614</v>
      </c>
      <c r="K828" t="s">
        <v>2</v>
      </c>
      <c r="L828" t="s">
        <v>1615</v>
      </c>
      <c r="M828" t="s">
        <v>575</v>
      </c>
      <c r="N828" t="s">
        <v>1616</v>
      </c>
      <c r="O828" t="s">
        <v>1482</v>
      </c>
      <c r="P828">
        <v>2278212</v>
      </c>
      <c r="Q828" t="s">
        <v>38</v>
      </c>
      <c r="R828">
        <v>415471</v>
      </c>
      <c r="S828" t="s">
        <v>84</v>
      </c>
      <c r="T828" s="2">
        <v>2</v>
      </c>
      <c r="U828">
        <v>0</v>
      </c>
      <c r="V828" t="s">
        <v>153</v>
      </c>
      <c r="W828">
        <v>0</v>
      </c>
      <c r="X828">
        <v>0</v>
      </c>
      <c r="Y828">
        <v>0</v>
      </c>
      <c r="Z828" t="s">
        <v>9</v>
      </c>
      <c r="AA828" t="s">
        <v>2</v>
      </c>
      <c r="AB828" t="s">
        <v>10</v>
      </c>
      <c r="AC828">
        <v>0</v>
      </c>
      <c r="AD828">
        <v>0</v>
      </c>
      <c r="AE828">
        <v>726182084174</v>
      </c>
      <c r="AF828">
        <v>73.05</v>
      </c>
      <c r="AG828">
        <v>0</v>
      </c>
      <c r="AH828">
        <v>13.31</v>
      </c>
      <c r="AI828">
        <v>86.36</v>
      </c>
      <c r="AJ828" t="s">
        <v>2</v>
      </c>
      <c r="AK828" t="s">
        <v>11</v>
      </c>
    </row>
    <row r="829" spans="1:37">
      <c r="A829">
        <v>257832</v>
      </c>
      <c r="B829" s="1">
        <v>45366</v>
      </c>
      <c r="C829" t="s">
        <v>1476</v>
      </c>
      <c r="D829" t="s">
        <v>1477</v>
      </c>
      <c r="E829" t="s">
        <v>1196</v>
      </c>
      <c r="F829" t="s">
        <v>1374</v>
      </c>
      <c r="G829" t="s">
        <v>575</v>
      </c>
      <c r="H829">
        <v>49548</v>
      </c>
      <c r="I829" t="s">
        <v>1613</v>
      </c>
      <c r="J829" t="s">
        <v>1614</v>
      </c>
      <c r="K829" t="s">
        <v>2</v>
      </c>
      <c r="L829" t="s">
        <v>1615</v>
      </c>
      <c r="M829" t="s">
        <v>575</v>
      </c>
      <c r="N829" t="s">
        <v>1616</v>
      </c>
      <c r="O829" t="s">
        <v>1482</v>
      </c>
      <c r="P829">
        <v>2278212</v>
      </c>
      <c r="Q829" t="s">
        <v>38</v>
      </c>
      <c r="R829">
        <v>415471</v>
      </c>
      <c r="S829" t="s">
        <v>84</v>
      </c>
      <c r="T829" s="2">
        <v>2</v>
      </c>
      <c r="U829">
        <v>0</v>
      </c>
      <c r="V829" t="s">
        <v>153</v>
      </c>
      <c r="W829">
        <v>1</v>
      </c>
      <c r="X829">
        <v>1</v>
      </c>
      <c r="Y829">
        <v>0</v>
      </c>
      <c r="Z829" t="s">
        <v>1617</v>
      </c>
      <c r="AA829" t="s">
        <v>224</v>
      </c>
      <c r="AB829" t="s">
        <v>14</v>
      </c>
      <c r="AC829">
        <v>35</v>
      </c>
      <c r="AD829">
        <v>35</v>
      </c>
      <c r="AE829">
        <v>726182084174</v>
      </c>
      <c r="AF829">
        <v>73.05</v>
      </c>
      <c r="AG829">
        <v>0</v>
      </c>
      <c r="AH829">
        <v>13.31</v>
      </c>
      <c r="AI829">
        <v>86.36</v>
      </c>
      <c r="AJ829" t="s">
        <v>2</v>
      </c>
      <c r="AK829" t="s">
        <v>11</v>
      </c>
    </row>
    <row r="830" spans="1:37">
      <c r="A830">
        <v>257832</v>
      </c>
      <c r="B830" s="1">
        <v>45366</v>
      </c>
      <c r="C830" t="s">
        <v>1476</v>
      </c>
      <c r="D830" t="s">
        <v>1477</v>
      </c>
      <c r="E830" t="s">
        <v>1196</v>
      </c>
      <c r="F830" t="s">
        <v>1374</v>
      </c>
      <c r="G830" t="s">
        <v>575</v>
      </c>
      <c r="H830">
        <v>49548</v>
      </c>
      <c r="I830" t="s">
        <v>1613</v>
      </c>
      <c r="J830" t="s">
        <v>1614</v>
      </c>
      <c r="K830" t="s">
        <v>2</v>
      </c>
      <c r="L830" t="s">
        <v>1615</v>
      </c>
      <c r="M830" t="s">
        <v>575</v>
      </c>
      <c r="N830" t="s">
        <v>1616</v>
      </c>
      <c r="O830" t="s">
        <v>1482</v>
      </c>
      <c r="P830">
        <v>2278212</v>
      </c>
      <c r="Q830" t="s">
        <v>38</v>
      </c>
      <c r="R830">
        <v>415471</v>
      </c>
      <c r="S830" t="s">
        <v>84</v>
      </c>
      <c r="T830" s="2">
        <v>2</v>
      </c>
      <c r="U830">
        <v>0</v>
      </c>
      <c r="V830" t="s">
        <v>153</v>
      </c>
      <c r="W830">
        <v>0</v>
      </c>
      <c r="X830">
        <v>0</v>
      </c>
      <c r="Y830">
        <v>0</v>
      </c>
      <c r="Z830" t="s">
        <v>88</v>
      </c>
      <c r="AA830" t="s">
        <v>144</v>
      </c>
      <c r="AB830" t="s">
        <v>10</v>
      </c>
      <c r="AC830">
        <v>0</v>
      </c>
      <c r="AD830">
        <v>0</v>
      </c>
      <c r="AE830">
        <v>726182084174</v>
      </c>
      <c r="AF830">
        <v>73.05</v>
      </c>
      <c r="AG830">
        <v>0</v>
      </c>
      <c r="AH830">
        <v>13.31</v>
      </c>
      <c r="AI830">
        <v>86.36</v>
      </c>
      <c r="AJ830" t="s">
        <v>2</v>
      </c>
      <c r="AK830" t="s">
        <v>11</v>
      </c>
    </row>
    <row r="831" spans="1:37">
      <c r="A831">
        <v>257832</v>
      </c>
      <c r="B831" s="1">
        <v>45366</v>
      </c>
      <c r="C831" t="s">
        <v>1476</v>
      </c>
      <c r="D831" t="s">
        <v>1477</v>
      </c>
      <c r="E831" t="s">
        <v>1196</v>
      </c>
      <c r="F831" t="s">
        <v>1374</v>
      </c>
      <c r="G831" t="s">
        <v>575</v>
      </c>
      <c r="H831">
        <v>49548</v>
      </c>
      <c r="I831" t="s">
        <v>1613</v>
      </c>
      <c r="J831" t="s">
        <v>1614</v>
      </c>
      <c r="K831" t="s">
        <v>2</v>
      </c>
      <c r="L831" t="s">
        <v>1615</v>
      </c>
      <c r="M831" t="s">
        <v>575</v>
      </c>
      <c r="N831" t="s">
        <v>1616</v>
      </c>
      <c r="O831" t="s">
        <v>1482</v>
      </c>
      <c r="P831">
        <v>2278212</v>
      </c>
      <c r="Q831" t="s">
        <v>38</v>
      </c>
      <c r="R831">
        <v>415471</v>
      </c>
      <c r="S831" t="s">
        <v>84</v>
      </c>
      <c r="T831" s="2">
        <v>2</v>
      </c>
      <c r="U831">
        <v>0</v>
      </c>
      <c r="V831" t="s">
        <v>153</v>
      </c>
      <c r="W831">
        <v>1</v>
      </c>
      <c r="X831">
        <v>1</v>
      </c>
      <c r="Y831">
        <v>0</v>
      </c>
      <c r="Z831" t="s">
        <v>1618</v>
      </c>
      <c r="AA831" t="s">
        <v>1619</v>
      </c>
      <c r="AB831" t="s">
        <v>14</v>
      </c>
      <c r="AC831">
        <v>38.049999999999997</v>
      </c>
      <c r="AD831">
        <v>38.049999999999997</v>
      </c>
      <c r="AE831">
        <v>726182084174</v>
      </c>
      <c r="AF831">
        <v>73.05</v>
      </c>
      <c r="AG831">
        <v>0</v>
      </c>
      <c r="AH831">
        <v>13.31</v>
      </c>
      <c r="AI831">
        <v>86.36</v>
      </c>
      <c r="AJ831" t="s">
        <v>2</v>
      </c>
      <c r="AK831" t="s">
        <v>11</v>
      </c>
    </row>
    <row r="832" spans="1:37">
      <c r="A832">
        <v>257832</v>
      </c>
      <c r="B832" s="1">
        <v>45366</v>
      </c>
      <c r="C832" t="s">
        <v>1476</v>
      </c>
      <c r="D832" t="s">
        <v>1477</v>
      </c>
      <c r="E832" t="s">
        <v>1196</v>
      </c>
      <c r="F832" t="s">
        <v>1374</v>
      </c>
      <c r="G832" t="s">
        <v>575</v>
      </c>
      <c r="H832">
        <v>49548</v>
      </c>
      <c r="I832" t="s">
        <v>1613</v>
      </c>
      <c r="J832" t="s">
        <v>1614</v>
      </c>
      <c r="K832" t="s">
        <v>2</v>
      </c>
      <c r="L832" t="s">
        <v>1615</v>
      </c>
      <c r="M832" t="s">
        <v>575</v>
      </c>
      <c r="N832" t="s">
        <v>1616</v>
      </c>
      <c r="O832" t="s">
        <v>1482</v>
      </c>
      <c r="P832">
        <v>2278212</v>
      </c>
      <c r="Q832" t="s">
        <v>38</v>
      </c>
      <c r="R832">
        <v>415471</v>
      </c>
      <c r="S832" t="s">
        <v>84</v>
      </c>
      <c r="T832" s="2">
        <v>2</v>
      </c>
      <c r="U832">
        <v>0</v>
      </c>
      <c r="V832" t="s">
        <v>153</v>
      </c>
      <c r="W832">
        <v>0</v>
      </c>
      <c r="X832">
        <v>0</v>
      </c>
      <c r="Y832">
        <v>0</v>
      </c>
      <c r="Z832" t="s">
        <v>88</v>
      </c>
      <c r="AA832" t="s">
        <v>144</v>
      </c>
      <c r="AB832" t="s">
        <v>10</v>
      </c>
      <c r="AC832">
        <v>0</v>
      </c>
      <c r="AD832">
        <v>0</v>
      </c>
      <c r="AE832">
        <v>726182084174</v>
      </c>
      <c r="AF832">
        <v>73.05</v>
      </c>
      <c r="AG832">
        <v>0</v>
      </c>
      <c r="AH832">
        <v>13.31</v>
      </c>
      <c r="AI832">
        <v>86.36</v>
      </c>
      <c r="AJ832" t="s">
        <v>2</v>
      </c>
      <c r="AK832" t="s">
        <v>11</v>
      </c>
    </row>
    <row r="833" spans="1:37">
      <c r="A833">
        <v>257833</v>
      </c>
      <c r="B833" s="1">
        <v>45366</v>
      </c>
      <c r="C833" t="s">
        <v>1521</v>
      </c>
      <c r="D833" t="s">
        <v>1522</v>
      </c>
      <c r="E833" t="s">
        <v>1523</v>
      </c>
      <c r="F833" t="s">
        <v>866</v>
      </c>
      <c r="G833" t="s">
        <v>67</v>
      </c>
      <c r="H833">
        <v>77041</v>
      </c>
      <c r="I833" t="s">
        <v>1620</v>
      </c>
      <c r="J833" t="s">
        <v>1621</v>
      </c>
      <c r="K833" t="s">
        <v>2</v>
      </c>
      <c r="L833" t="s">
        <v>1622</v>
      </c>
      <c r="M833" t="s">
        <v>67</v>
      </c>
      <c r="N833" t="s">
        <v>1623</v>
      </c>
      <c r="O833" t="s">
        <v>1527</v>
      </c>
      <c r="P833">
        <v>2278279</v>
      </c>
      <c r="Q833" t="s">
        <v>38</v>
      </c>
      <c r="R833">
        <v>415515</v>
      </c>
      <c r="S833" t="s">
        <v>84</v>
      </c>
      <c r="T833" s="2">
        <v>1</v>
      </c>
      <c r="U833">
        <v>0</v>
      </c>
      <c r="V833" t="s">
        <v>153</v>
      </c>
      <c r="W833">
        <v>0</v>
      </c>
      <c r="X833">
        <v>0</v>
      </c>
      <c r="Y833">
        <v>0</v>
      </c>
      <c r="Z833" t="s">
        <v>9</v>
      </c>
      <c r="AA833" t="s">
        <v>2</v>
      </c>
      <c r="AB833" t="s">
        <v>10</v>
      </c>
      <c r="AC833">
        <v>0</v>
      </c>
      <c r="AD833">
        <v>0</v>
      </c>
      <c r="AE833">
        <v>726182084255</v>
      </c>
      <c r="AF833">
        <v>250.67</v>
      </c>
      <c r="AG833">
        <v>0</v>
      </c>
      <c r="AH833">
        <v>23.35</v>
      </c>
      <c r="AI833">
        <v>274.02</v>
      </c>
      <c r="AJ833" t="s">
        <v>2</v>
      </c>
      <c r="AK833" t="s">
        <v>11</v>
      </c>
    </row>
    <row r="834" spans="1:37">
      <c r="A834">
        <v>257833</v>
      </c>
      <c r="B834" s="1">
        <v>45366</v>
      </c>
      <c r="C834" t="s">
        <v>1521</v>
      </c>
      <c r="D834" t="s">
        <v>1522</v>
      </c>
      <c r="E834" t="s">
        <v>1523</v>
      </c>
      <c r="F834" t="s">
        <v>866</v>
      </c>
      <c r="G834" t="s">
        <v>67</v>
      </c>
      <c r="H834">
        <v>77041</v>
      </c>
      <c r="I834" t="s">
        <v>1620</v>
      </c>
      <c r="J834" t="s">
        <v>1621</v>
      </c>
      <c r="K834" t="s">
        <v>2</v>
      </c>
      <c r="L834" t="s">
        <v>1622</v>
      </c>
      <c r="M834" t="s">
        <v>67</v>
      </c>
      <c r="N834" t="s">
        <v>1623</v>
      </c>
      <c r="O834" t="s">
        <v>1527</v>
      </c>
      <c r="P834">
        <v>2278279</v>
      </c>
      <c r="Q834" t="s">
        <v>38</v>
      </c>
      <c r="R834">
        <v>415515</v>
      </c>
      <c r="S834" t="s">
        <v>84</v>
      </c>
      <c r="T834" s="2">
        <v>1</v>
      </c>
      <c r="U834">
        <v>0</v>
      </c>
      <c r="V834" t="s">
        <v>153</v>
      </c>
      <c r="W834">
        <v>1</v>
      </c>
      <c r="X834">
        <v>1</v>
      </c>
      <c r="Y834">
        <v>0</v>
      </c>
      <c r="Z834" t="s">
        <v>1624</v>
      </c>
      <c r="AA834" t="s">
        <v>1625</v>
      </c>
      <c r="AB834" t="s">
        <v>14</v>
      </c>
      <c r="AC834">
        <v>250.67</v>
      </c>
      <c r="AD834">
        <v>250.67</v>
      </c>
      <c r="AE834">
        <v>726182084255</v>
      </c>
      <c r="AF834">
        <v>250.67</v>
      </c>
      <c r="AG834">
        <v>0</v>
      </c>
      <c r="AH834">
        <v>23.35</v>
      </c>
      <c r="AI834">
        <v>274.02</v>
      </c>
      <c r="AJ834" t="s">
        <v>2</v>
      </c>
      <c r="AK834" t="s">
        <v>11</v>
      </c>
    </row>
    <row r="835" spans="1:37">
      <c r="A835">
        <v>257833</v>
      </c>
      <c r="B835" s="1">
        <v>45366</v>
      </c>
      <c r="C835" t="s">
        <v>1521</v>
      </c>
      <c r="D835" t="s">
        <v>1522</v>
      </c>
      <c r="E835" t="s">
        <v>1523</v>
      </c>
      <c r="F835" t="s">
        <v>866</v>
      </c>
      <c r="G835" t="s">
        <v>67</v>
      </c>
      <c r="H835">
        <v>77041</v>
      </c>
      <c r="I835" t="s">
        <v>1620</v>
      </c>
      <c r="J835" t="s">
        <v>1621</v>
      </c>
      <c r="K835" t="s">
        <v>2</v>
      </c>
      <c r="L835" t="s">
        <v>1622</v>
      </c>
      <c r="M835" t="s">
        <v>67</v>
      </c>
      <c r="N835" t="s">
        <v>1623</v>
      </c>
      <c r="O835" t="s">
        <v>1527</v>
      </c>
      <c r="P835">
        <v>2278279</v>
      </c>
      <c r="Q835" t="s">
        <v>38</v>
      </c>
      <c r="R835">
        <v>415515</v>
      </c>
      <c r="S835" t="s">
        <v>84</v>
      </c>
      <c r="T835" s="2">
        <v>1</v>
      </c>
      <c r="U835">
        <v>0</v>
      </c>
      <c r="V835" t="s">
        <v>153</v>
      </c>
      <c r="W835">
        <v>0</v>
      </c>
      <c r="X835">
        <v>0</v>
      </c>
      <c r="Y835">
        <v>0</v>
      </c>
      <c r="Z835" t="s">
        <v>88</v>
      </c>
      <c r="AA835" t="s">
        <v>1626</v>
      </c>
      <c r="AB835" t="s">
        <v>10</v>
      </c>
      <c r="AC835">
        <v>0</v>
      </c>
      <c r="AD835">
        <v>0</v>
      </c>
      <c r="AE835">
        <v>726182084255</v>
      </c>
      <c r="AF835">
        <v>250.67</v>
      </c>
      <c r="AG835">
        <v>0</v>
      </c>
      <c r="AH835">
        <v>23.35</v>
      </c>
      <c r="AI835">
        <v>274.02</v>
      </c>
      <c r="AJ835" t="s">
        <v>2</v>
      </c>
      <c r="AK835" t="s">
        <v>11</v>
      </c>
    </row>
    <row r="836" spans="1:37">
      <c r="A836">
        <v>257834</v>
      </c>
      <c r="B836" s="1">
        <v>45366</v>
      </c>
      <c r="C836" t="s">
        <v>1335</v>
      </c>
      <c r="D836" t="s">
        <v>1336</v>
      </c>
      <c r="E836" t="s">
        <v>2</v>
      </c>
      <c r="F836" t="s">
        <v>3</v>
      </c>
      <c r="G836" t="s">
        <v>4</v>
      </c>
      <c r="H836">
        <v>57104</v>
      </c>
      <c r="I836" t="s">
        <v>1627</v>
      </c>
      <c r="J836" t="s">
        <v>1628</v>
      </c>
      <c r="K836" t="s">
        <v>2</v>
      </c>
      <c r="L836" t="s">
        <v>1629</v>
      </c>
      <c r="M836" t="s">
        <v>173</v>
      </c>
      <c r="N836" t="s">
        <v>1630</v>
      </c>
      <c r="O836" t="s">
        <v>1340</v>
      </c>
      <c r="P836">
        <v>865900</v>
      </c>
      <c r="Q836" t="s">
        <v>6</v>
      </c>
      <c r="R836">
        <v>415511</v>
      </c>
      <c r="S836" t="s">
        <v>84</v>
      </c>
      <c r="T836" s="2">
        <v>1</v>
      </c>
      <c r="U836">
        <v>0</v>
      </c>
      <c r="V836" t="s">
        <v>260</v>
      </c>
      <c r="W836">
        <v>0</v>
      </c>
      <c r="X836">
        <v>0</v>
      </c>
      <c r="Y836">
        <v>0</v>
      </c>
      <c r="Z836" t="s">
        <v>9</v>
      </c>
      <c r="AA836" t="s">
        <v>2</v>
      </c>
      <c r="AB836" t="s">
        <v>10</v>
      </c>
      <c r="AC836">
        <v>0</v>
      </c>
      <c r="AD836">
        <v>0</v>
      </c>
      <c r="AE836">
        <v>726182084211</v>
      </c>
      <c r="AF836">
        <v>78.73</v>
      </c>
      <c r="AG836">
        <v>0</v>
      </c>
      <c r="AH836">
        <v>24.12</v>
      </c>
      <c r="AI836">
        <v>102.85</v>
      </c>
      <c r="AJ836" t="s">
        <v>2</v>
      </c>
      <c r="AK836" t="s">
        <v>11</v>
      </c>
    </row>
    <row r="837" spans="1:37">
      <c r="A837">
        <v>257834</v>
      </c>
      <c r="B837" s="1">
        <v>45366</v>
      </c>
      <c r="C837" t="s">
        <v>1335</v>
      </c>
      <c r="D837" t="s">
        <v>1336</v>
      </c>
      <c r="E837" t="s">
        <v>2</v>
      </c>
      <c r="F837" t="s">
        <v>3</v>
      </c>
      <c r="G837" t="s">
        <v>4</v>
      </c>
      <c r="H837">
        <v>57104</v>
      </c>
      <c r="I837" t="s">
        <v>1627</v>
      </c>
      <c r="J837" t="s">
        <v>1628</v>
      </c>
      <c r="K837" t="s">
        <v>2</v>
      </c>
      <c r="L837" t="s">
        <v>1629</v>
      </c>
      <c r="M837" t="s">
        <v>173</v>
      </c>
      <c r="N837" t="s">
        <v>1630</v>
      </c>
      <c r="O837" t="s">
        <v>1340</v>
      </c>
      <c r="P837">
        <v>865900</v>
      </c>
      <c r="Q837" t="s">
        <v>6</v>
      </c>
      <c r="R837">
        <v>415511</v>
      </c>
      <c r="S837" t="s">
        <v>84</v>
      </c>
      <c r="T837" s="2">
        <v>1</v>
      </c>
      <c r="U837">
        <v>0</v>
      </c>
      <c r="V837" t="s">
        <v>260</v>
      </c>
      <c r="W837">
        <v>1</v>
      </c>
      <c r="X837">
        <v>1</v>
      </c>
      <c r="Y837">
        <v>0</v>
      </c>
      <c r="Z837" t="s">
        <v>1631</v>
      </c>
      <c r="AA837" t="s">
        <v>1632</v>
      </c>
      <c r="AB837" t="s">
        <v>14</v>
      </c>
      <c r="AC837">
        <v>78.73</v>
      </c>
      <c r="AD837">
        <v>78.73</v>
      </c>
      <c r="AE837">
        <v>726182084211</v>
      </c>
      <c r="AF837">
        <v>78.73</v>
      </c>
      <c r="AG837">
        <v>0</v>
      </c>
      <c r="AH837">
        <v>24.12</v>
      </c>
      <c r="AI837">
        <v>102.85</v>
      </c>
      <c r="AJ837" t="s">
        <v>2</v>
      </c>
      <c r="AK837" t="s">
        <v>11</v>
      </c>
    </row>
    <row r="838" spans="1:37">
      <c r="A838">
        <v>257834</v>
      </c>
      <c r="B838" s="1">
        <v>45366</v>
      </c>
      <c r="C838" t="s">
        <v>1335</v>
      </c>
      <c r="D838" t="s">
        <v>1336</v>
      </c>
      <c r="E838" t="s">
        <v>2</v>
      </c>
      <c r="F838" t="s">
        <v>3</v>
      </c>
      <c r="G838" t="s">
        <v>4</v>
      </c>
      <c r="H838">
        <v>57104</v>
      </c>
      <c r="I838" t="s">
        <v>1627</v>
      </c>
      <c r="J838" t="s">
        <v>1628</v>
      </c>
      <c r="K838" t="s">
        <v>2</v>
      </c>
      <c r="L838" t="s">
        <v>1629</v>
      </c>
      <c r="M838" t="s">
        <v>173</v>
      </c>
      <c r="N838" t="s">
        <v>1630</v>
      </c>
      <c r="O838" t="s">
        <v>1340</v>
      </c>
      <c r="P838">
        <v>865900</v>
      </c>
      <c r="Q838" t="s">
        <v>6</v>
      </c>
      <c r="R838">
        <v>415511</v>
      </c>
      <c r="S838" t="s">
        <v>84</v>
      </c>
      <c r="T838" s="2">
        <v>1</v>
      </c>
      <c r="U838">
        <v>0</v>
      </c>
      <c r="V838" t="s">
        <v>260</v>
      </c>
      <c r="W838">
        <v>0</v>
      </c>
      <c r="X838">
        <v>0</v>
      </c>
      <c r="Y838">
        <v>0</v>
      </c>
      <c r="Z838" t="s">
        <v>88</v>
      </c>
      <c r="AA838" t="s">
        <v>107</v>
      </c>
      <c r="AB838" t="s">
        <v>10</v>
      </c>
      <c r="AC838">
        <v>0</v>
      </c>
      <c r="AD838">
        <v>0</v>
      </c>
      <c r="AE838">
        <v>726182084211</v>
      </c>
      <c r="AF838">
        <v>78.73</v>
      </c>
      <c r="AG838">
        <v>0</v>
      </c>
      <c r="AH838">
        <v>24.12</v>
      </c>
      <c r="AI838">
        <v>102.85</v>
      </c>
      <c r="AJ838" t="s">
        <v>2</v>
      </c>
      <c r="AK838" t="s">
        <v>11</v>
      </c>
    </row>
    <row r="839" spans="1:37">
      <c r="A839">
        <v>257835</v>
      </c>
      <c r="B839" s="1">
        <v>45366</v>
      </c>
      <c r="C839" t="s">
        <v>1633</v>
      </c>
      <c r="D839" t="s">
        <v>1634</v>
      </c>
      <c r="E839" t="s">
        <v>1635</v>
      </c>
      <c r="F839" t="s">
        <v>1636</v>
      </c>
      <c r="G839" t="s">
        <v>28</v>
      </c>
      <c r="H839">
        <v>33069</v>
      </c>
      <c r="I839" t="s">
        <v>1637</v>
      </c>
      <c r="J839" t="s">
        <v>1638</v>
      </c>
      <c r="K839" t="s">
        <v>2</v>
      </c>
      <c r="L839" t="s">
        <v>1636</v>
      </c>
      <c r="M839" t="s">
        <v>28</v>
      </c>
      <c r="N839" t="s">
        <v>1639</v>
      </c>
      <c r="O839" t="s">
        <v>1640</v>
      </c>
      <c r="P839">
        <v>2278215</v>
      </c>
      <c r="Q839" t="s">
        <v>38</v>
      </c>
      <c r="R839">
        <v>415470</v>
      </c>
      <c r="S839" t="s">
        <v>84</v>
      </c>
      <c r="T839" s="2">
        <v>2</v>
      </c>
      <c r="U839">
        <v>0</v>
      </c>
      <c r="V839" t="s">
        <v>153</v>
      </c>
      <c r="W839">
        <v>0</v>
      </c>
      <c r="X839">
        <v>0</v>
      </c>
      <c r="Y839">
        <v>0</v>
      </c>
      <c r="Z839" t="s">
        <v>9</v>
      </c>
      <c r="AA839" t="s">
        <v>2</v>
      </c>
      <c r="AB839" t="s">
        <v>10</v>
      </c>
      <c r="AC839">
        <v>0</v>
      </c>
      <c r="AD839">
        <v>0</v>
      </c>
      <c r="AE839">
        <v>726182084222</v>
      </c>
      <c r="AF839">
        <v>1644.08</v>
      </c>
      <c r="AG839">
        <v>0</v>
      </c>
      <c r="AH839">
        <v>89.4</v>
      </c>
      <c r="AI839">
        <v>1733.48</v>
      </c>
      <c r="AJ839" t="s">
        <v>2</v>
      </c>
      <c r="AK839" t="s">
        <v>11</v>
      </c>
    </row>
    <row r="840" spans="1:37">
      <c r="A840">
        <v>257835</v>
      </c>
      <c r="B840" s="1">
        <v>45366</v>
      </c>
      <c r="C840" t="s">
        <v>1633</v>
      </c>
      <c r="D840" t="s">
        <v>1634</v>
      </c>
      <c r="E840" t="s">
        <v>1635</v>
      </c>
      <c r="F840" t="s">
        <v>1636</v>
      </c>
      <c r="G840" t="s">
        <v>28</v>
      </c>
      <c r="H840">
        <v>33069</v>
      </c>
      <c r="I840" t="s">
        <v>1637</v>
      </c>
      <c r="J840" t="s">
        <v>1638</v>
      </c>
      <c r="K840" t="s">
        <v>2</v>
      </c>
      <c r="L840" t="s">
        <v>1636</v>
      </c>
      <c r="M840" t="s">
        <v>28</v>
      </c>
      <c r="N840" t="s">
        <v>1639</v>
      </c>
      <c r="O840" t="s">
        <v>1640</v>
      </c>
      <c r="P840">
        <v>2278215</v>
      </c>
      <c r="Q840" t="s">
        <v>38</v>
      </c>
      <c r="R840">
        <v>415470</v>
      </c>
      <c r="S840" t="s">
        <v>84</v>
      </c>
      <c r="T840" s="2">
        <v>2</v>
      </c>
      <c r="U840">
        <v>0</v>
      </c>
      <c r="V840" t="s">
        <v>153</v>
      </c>
      <c r="W840">
        <v>2</v>
      </c>
      <c r="X840">
        <v>2</v>
      </c>
      <c r="Y840">
        <v>0</v>
      </c>
      <c r="Z840" t="s">
        <v>1641</v>
      </c>
      <c r="AA840" t="s">
        <v>1642</v>
      </c>
      <c r="AB840" t="s">
        <v>14</v>
      </c>
      <c r="AC840">
        <v>822.04</v>
      </c>
      <c r="AD840">
        <v>1644.08</v>
      </c>
      <c r="AE840">
        <v>726182084222</v>
      </c>
      <c r="AF840">
        <v>1644.08</v>
      </c>
      <c r="AG840">
        <v>0</v>
      </c>
      <c r="AH840">
        <v>89.4</v>
      </c>
      <c r="AI840">
        <v>1733.48</v>
      </c>
      <c r="AJ840" t="s">
        <v>2</v>
      </c>
      <c r="AK840" t="s">
        <v>11</v>
      </c>
    </row>
    <row r="841" spans="1:37">
      <c r="A841">
        <v>257835</v>
      </c>
      <c r="B841" s="1">
        <v>45366</v>
      </c>
      <c r="C841" t="s">
        <v>1633</v>
      </c>
      <c r="D841" t="s">
        <v>1634</v>
      </c>
      <c r="E841" t="s">
        <v>1635</v>
      </c>
      <c r="F841" t="s">
        <v>1636</v>
      </c>
      <c r="G841" t="s">
        <v>28</v>
      </c>
      <c r="H841">
        <v>33069</v>
      </c>
      <c r="I841" t="s">
        <v>1637</v>
      </c>
      <c r="J841" t="s">
        <v>1638</v>
      </c>
      <c r="K841" t="s">
        <v>2</v>
      </c>
      <c r="L841" t="s">
        <v>1636</v>
      </c>
      <c r="M841" t="s">
        <v>28</v>
      </c>
      <c r="N841" t="s">
        <v>1639</v>
      </c>
      <c r="O841" t="s">
        <v>1640</v>
      </c>
      <c r="P841">
        <v>2278215</v>
      </c>
      <c r="Q841" t="s">
        <v>38</v>
      </c>
      <c r="R841">
        <v>415470</v>
      </c>
      <c r="S841" t="s">
        <v>84</v>
      </c>
      <c r="T841" s="2">
        <v>2</v>
      </c>
      <c r="U841">
        <v>0</v>
      </c>
      <c r="V841" t="s">
        <v>153</v>
      </c>
      <c r="W841">
        <v>0</v>
      </c>
      <c r="X841">
        <v>0</v>
      </c>
      <c r="Y841">
        <v>0</v>
      </c>
      <c r="Z841" t="s">
        <v>88</v>
      </c>
      <c r="AA841" t="s">
        <v>298</v>
      </c>
      <c r="AB841" t="s">
        <v>10</v>
      </c>
      <c r="AC841">
        <v>0</v>
      </c>
      <c r="AD841">
        <v>0</v>
      </c>
      <c r="AE841">
        <v>726182084222</v>
      </c>
      <c r="AF841">
        <v>1644.08</v>
      </c>
      <c r="AG841">
        <v>0</v>
      </c>
      <c r="AH841">
        <v>89.4</v>
      </c>
      <c r="AI841">
        <v>1733.48</v>
      </c>
      <c r="AJ841" t="s">
        <v>2</v>
      </c>
      <c r="AK841" t="s">
        <v>11</v>
      </c>
    </row>
    <row r="842" spans="1:37">
      <c r="A842">
        <v>257836</v>
      </c>
      <c r="B842" s="1">
        <v>45366</v>
      </c>
      <c r="C842" t="s">
        <v>601</v>
      </c>
      <c r="D842" t="s">
        <v>602</v>
      </c>
      <c r="E842" t="s">
        <v>2</v>
      </c>
      <c r="F842" t="s">
        <v>603</v>
      </c>
      <c r="G842" t="s">
        <v>566</v>
      </c>
      <c r="H842">
        <v>35209</v>
      </c>
      <c r="I842" t="s">
        <v>1643</v>
      </c>
      <c r="J842" t="s">
        <v>1644</v>
      </c>
      <c r="K842" t="s">
        <v>2</v>
      </c>
      <c r="L842" t="s">
        <v>1645</v>
      </c>
      <c r="M842" t="s">
        <v>566</v>
      </c>
      <c r="N842" t="s">
        <v>1646</v>
      </c>
      <c r="O842" t="s">
        <v>608</v>
      </c>
      <c r="P842">
        <v>2278298</v>
      </c>
      <c r="Q842" t="s">
        <v>38</v>
      </c>
      <c r="R842">
        <v>415520</v>
      </c>
      <c r="S842" t="s">
        <v>84</v>
      </c>
      <c r="T842" s="2">
        <v>1</v>
      </c>
      <c r="U842">
        <v>0</v>
      </c>
      <c r="V842" t="s">
        <v>153</v>
      </c>
      <c r="W842">
        <v>0</v>
      </c>
      <c r="X842">
        <v>0</v>
      </c>
      <c r="Y842">
        <v>0</v>
      </c>
      <c r="Z842" t="s">
        <v>9</v>
      </c>
      <c r="AA842" t="s">
        <v>2</v>
      </c>
      <c r="AB842" t="s">
        <v>10</v>
      </c>
      <c r="AC842">
        <v>0</v>
      </c>
      <c r="AD842">
        <v>0</v>
      </c>
      <c r="AE842">
        <v>726182084690</v>
      </c>
      <c r="AF842">
        <v>172.63</v>
      </c>
      <c r="AG842">
        <v>0</v>
      </c>
      <c r="AH842">
        <v>17.28</v>
      </c>
      <c r="AI842">
        <v>189.91</v>
      </c>
      <c r="AJ842" t="s">
        <v>2</v>
      </c>
      <c r="AK842" t="s">
        <v>11</v>
      </c>
    </row>
    <row r="843" spans="1:37">
      <c r="A843">
        <v>257836</v>
      </c>
      <c r="B843" s="1">
        <v>45366</v>
      </c>
      <c r="C843" t="s">
        <v>601</v>
      </c>
      <c r="D843" t="s">
        <v>602</v>
      </c>
      <c r="E843" t="s">
        <v>2</v>
      </c>
      <c r="F843" t="s">
        <v>603</v>
      </c>
      <c r="G843" t="s">
        <v>566</v>
      </c>
      <c r="H843">
        <v>35209</v>
      </c>
      <c r="I843" t="s">
        <v>1643</v>
      </c>
      <c r="J843" t="s">
        <v>1644</v>
      </c>
      <c r="K843" t="s">
        <v>2</v>
      </c>
      <c r="L843" t="s">
        <v>1645</v>
      </c>
      <c r="M843" t="s">
        <v>566</v>
      </c>
      <c r="N843" t="s">
        <v>1646</v>
      </c>
      <c r="O843" t="s">
        <v>608</v>
      </c>
      <c r="P843">
        <v>2278298</v>
      </c>
      <c r="Q843" t="s">
        <v>38</v>
      </c>
      <c r="R843">
        <v>415520</v>
      </c>
      <c r="S843" t="s">
        <v>84</v>
      </c>
      <c r="T843" s="2">
        <v>1</v>
      </c>
      <c r="U843">
        <v>0</v>
      </c>
      <c r="V843" t="s">
        <v>153</v>
      </c>
      <c r="W843">
        <v>1</v>
      </c>
      <c r="X843">
        <v>1</v>
      </c>
      <c r="Y843">
        <v>0</v>
      </c>
      <c r="Z843" t="s">
        <v>1403</v>
      </c>
      <c r="AA843" t="s">
        <v>1404</v>
      </c>
      <c r="AB843" t="s">
        <v>14</v>
      </c>
      <c r="AC843">
        <v>172.63</v>
      </c>
      <c r="AD843">
        <v>172.63</v>
      </c>
      <c r="AE843">
        <v>726182084690</v>
      </c>
      <c r="AF843">
        <v>172.63</v>
      </c>
      <c r="AG843">
        <v>0</v>
      </c>
      <c r="AH843">
        <v>17.28</v>
      </c>
      <c r="AI843">
        <v>189.91</v>
      </c>
      <c r="AJ843" t="s">
        <v>2</v>
      </c>
      <c r="AK843" t="s">
        <v>11</v>
      </c>
    </row>
    <row r="844" spans="1:37">
      <c r="A844">
        <v>257836</v>
      </c>
      <c r="B844" s="1">
        <v>45366</v>
      </c>
      <c r="C844" t="s">
        <v>601</v>
      </c>
      <c r="D844" t="s">
        <v>602</v>
      </c>
      <c r="E844" t="s">
        <v>2</v>
      </c>
      <c r="F844" t="s">
        <v>603</v>
      </c>
      <c r="G844" t="s">
        <v>566</v>
      </c>
      <c r="H844">
        <v>35209</v>
      </c>
      <c r="I844" t="s">
        <v>1643</v>
      </c>
      <c r="J844" t="s">
        <v>1644</v>
      </c>
      <c r="K844" t="s">
        <v>2</v>
      </c>
      <c r="L844" t="s">
        <v>1645</v>
      </c>
      <c r="M844" t="s">
        <v>566</v>
      </c>
      <c r="N844" t="s">
        <v>1646</v>
      </c>
      <c r="O844" t="s">
        <v>608</v>
      </c>
      <c r="P844">
        <v>2278298</v>
      </c>
      <c r="Q844" t="s">
        <v>38</v>
      </c>
      <c r="R844">
        <v>415520</v>
      </c>
      <c r="S844" t="s">
        <v>84</v>
      </c>
      <c r="T844" s="2">
        <v>1</v>
      </c>
      <c r="U844">
        <v>0</v>
      </c>
      <c r="V844" t="s">
        <v>153</v>
      </c>
      <c r="W844">
        <v>0</v>
      </c>
      <c r="X844">
        <v>0</v>
      </c>
      <c r="Y844">
        <v>0</v>
      </c>
      <c r="Z844" t="s">
        <v>88</v>
      </c>
      <c r="AA844" t="s">
        <v>298</v>
      </c>
      <c r="AB844" t="s">
        <v>10</v>
      </c>
      <c r="AC844">
        <v>0</v>
      </c>
      <c r="AD844">
        <v>0</v>
      </c>
      <c r="AE844">
        <v>726182084690</v>
      </c>
      <c r="AF844">
        <v>172.63</v>
      </c>
      <c r="AG844">
        <v>0</v>
      </c>
      <c r="AH844">
        <v>17.28</v>
      </c>
      <c r="AI844">
        <v>189.91</v>
      </c>
      <c r="AJ844" t="s">
        <v>2</v>
      </c>
      <c r="AK844" t="s">
        <v>11</v>
      </c>
    </row>
    <row r="845" spans="1:37">
      <c r="A845">
        <v>257837</v>
      </c>
      <c r="B845" s="1">
        <v>45366</v>
      </c>
      <c r="C845" t="s">
        <v>522</v>
      </c>
      <c r="D845" t="s">
        <v>523</v>
      </c>
      <c r="E845" t="s">
        <v>2</v>
      </c>
      <c r="F845" t="s">
        <v>34</v>
      </c>
      <c r="G845" t="s">
        <v>35</v>
      </c>
      <c r="H845">
        <v>63110</v>
      </c>
      <c r="I845" t="s">
        <v>1647</v>
      </c>
      <c r="J845" t="s">
        <v>1648</v>
      </c>
      <c r="K845" t="s">
        <v>2</v>
      </c>
      <c r="L845" t="s">
        <v>1649</v>
      </c>
      <c r="M845" t="s">
        <v>255</v>
      </c>
      <c r="N845" t="s">
        <v>1650</v>
      </c>
      <c r="O845" t="s">
        <v>528</v>
      </c>
      <c r="P845">
        <v>2278236</v>
      </c>
      <c r="Q845" t="s">
        <v>38</v>
      </c>
      <c r="R845">
        <v>415486</v>
      </c>
      <c r="S845" t="s">
        <v>84</v>
      </c>
      <c r="T845" s="2">
        <v>3</v>
      </c>
      <c r="U845">
        <v>0</v>
      </c>
      <c r="V845" t="s">
        <v>153</v>
      </c>
      <c r="W845">
        <v>0</v>
      </c>
      <c r="X845">
        <v>0</v>
      </c>
      <c r="Y845">
        <v>0</v>
      </c>
      <c r="Z845" t="s">
        <v>9</v>
      </c>
      <c r="AA845" t="s">
        <v>2</v>
      </c>
      <c r="AB845" t="s">
        <v>10</v>
      </c>
      <c r="AC845">
        <v>0</v>
      </c>
      <c r="AD845">
        <v>0</v>
      </c>
      <c r="AE845">
        <v>726182084851</v>
      </c>
      <c r="AF845">
        <v>310.64999999999998</v>
      </c>
      <c r="AG845">
        <v>0</v>
      </c>
      <c r="AH845">
        <v>40.770000000000003</v>
      </c>
      <c r="AI845">
        <v>351.42</v>
      </c>
      <c r="AJ845" t="s">
        <v>2</v>
      </c>
      <c r="AK845" t="s">
        <v>11</v>
      </c>
    </row>
    <row r="846" spans="1:37">
      <c r="A846">
        <v>257837</v>
      </c>
      <c r="B846" s="1">
        <v>45366</v>
      </c>
      <c r="C846" t="s">
        <v>522</v>
      </c>
      <c r="D846" t="s">
        <v>523</v>
      </c>
      <c r="E846" t="s">
        <v>2</v>
      </c>
      <c r="F846" t="s">
        <v>34</v>
      </c>
      <c r="G846" t="s">
        <v>35</v>
      </c>
      <c r="H846">
        <v>63110</v>
      </c>
      <c r="I846" t="s">
        <v>1647</v>
      </c>
      <c r="J846" t="s">
        <v>1648</v>
      </c>
      <c r="K846" t="s">
        <v>2</v>
      </c>
      <c r="L846" t="s">
        <v>1649</v>
      </c>
      <c r="M846" t="s">
        <v>255</v>
      </c>
      <c r="N846" t="s">
        <v>1650</v>
      </c>
      <c r="O846" t="s">
        <v>528</v>
      </c>
      <c r="P846">
        <v>2278236</v>
      </c>
      <c r="Q846" t="s">
        <v>38</v>
      </c>
      <c r="R846">
        <v>415486</v>
      </c>
      <c r="S846" t="s">
        <v>84</v>
      </c>
      <c r="T846" s="2">
        <v>3</v>
      </c>
      <c r="U846">
        <v>0</v>
      </c>
      <c r="V846" t="s">
        <v>153</v>
      </c>
      <c r="W846">
        <v>2</v>
      </c>
      <c r="X846">
        <v>2</v>
      </c>
      <c r="Y846">
        <v>0</v>
      </c>
      <c r="Z846" t="s">
        <v>1651</v>
      </c>
      <c r="AA846" t="s">
        <v>1652</v>
      </c>
      <c r="AB846" t="s">
        <v>14</v>
      </c>
      <c r="AC846">
        <v>135.54</v>
      </c>
      <c r="AD846">
        <v>271.08</v>
      </c>
      <c r="AE846">
        <v>726182084851</v>
      </c>
      <c r="AF846">
        <v>310.64999999999998</v>
      </c>
      <c r="AG846">
        <v>0</v>
      </c>
      <c r="AH846">
        <v>40.770000000000003</v>
      </c>
      <c r="AI846">
        <v>351.42</v>
      </c>
      <c r="AJ846" t="s">
        <v>2</v>
      </c>
      <c r="AK846" t="s">
        <v>11</v>
      </c>
    </row>
    <row r="847" spans="1:37">
      <c r="A847">
        <v>257837</v>
      </c>
      <c r="B847" s="1">
        <v>45366</v>
      </c>
      <c r="C847" t="s">
        <v>522</v>
      </c>
      <c r="D847" t="s">
        <v>523</v>
      </c>
      <c r="E847" t="s">
        <v>2</v>
      </c>
      <c r="F847" t="s">
        <v>34</v>
      </c>
      <c r="G847" t="s">
        <v>35</v>
      </c>
      <c r="H847">
        <v>63110</v>
      </c>
      <c r="I847" t="s">
        <v>1647</v>
      </c>
      <c r="J847" t="s">
        <v>1648</v>
      </c>
      <c r="K847" t="s">
        <v>2</v>
      </c>
      <c r="L847" t="s">
        <v>1649</v>
      </c>
      <c r="M847" t="s">
        <v>255</v>
      </c>
      <c r="N847" t="s">
        <v>1650</v>
      </c>
      <c r="O847" t="s">
        <v>528</v>
      </c>
      <c r="P847">
        <v>2278236</v>
      </c>
      <c r="Q847" t="s">
        <v>38</v>
      </c>
      <c r="R847">
        <v>415486</v>
      </c>
      <c r="S847" t="s">
        <v>84</v>
      </c>
      <c r="T847" s="2">
        <v>3</v>
      </c>
      <c r="U847">
        <v>0</v>
      </c>
      <c r="V847" t="s">
        <v>153</v>
      </c>
      <c r="W847">
        <v>0</v>
      </c>
      <c r="X847">
        <v>0</v>
      </c>
      <c r="Y847">
        <v>0</v>
      </c>
      <c r="Z847" t="s">
        <v>88</v>
      </c>
      <c r="AA847" t="s">
        <v>298</v>
      </c>
      <c r="AB847" t="s">
        <v>10</v>
      </c>
      <c r="AC847">
        <v>0</v>
      </c>
      <c r="AD847">
        <v>0</v>
      </c>
      <c r="AE847">
        <v>726182084851</v>
      </c>
      <c r="AF847">
        <v>310.64999999999998</v>
      </c>
      <c r="AG847">
        <v>0</v>
      </c>
      <c r="AH847">
        <v>40.770000000000003</v>
      </c>
      <c r="AI847">
        <v>351.42</v>
      </c>
      <c r="AJ847" t="s">
        <v>2</v>
      </c>
      <c r="AK847" t="s">
        <v>11</v>
      </c>
    </row>
    <row r="848" spans="1:37">
      <c r="A848">
        <v>257837</v>
      </c>
      <c r="B848" s="1">
        <v>45366</v>
      </c>
      <c r="C848" t="s">
        <v>522</v>
      </c>
      <c r="D848" t="s">
        <v>523</v>
      </c>
      <c r="E848" t="s">
        <v>2</v>
      </c>
      <c r="F848" t="s">
        <v>34</v>
      </c>
      <c r="G848" t="s">
        <v>35</v>
      </c>
      <c r="H848">
        <v>63110</v>
      </c>
      <c r="I848" t="s">
        <v>1647</v>
      </c>
      <c r="J848" t="s">
        <v>1648</v>
      </c>
      <c r="K848" t="s">
        <v>2</v>
      </c>
      <c r="L848" t="s">
        <v>1649</v>
      </c>
      <c r="M848" t="s">
        <v>255</v>
      </c>
      <c r="N848" t="s">
        <v>1650</v>
      </c>
      <c r="O848" t="s">
        <v>528</v>
      </c>
      <c r="P848">
        <v>2278236</v>
      </c>
      <c r="Q848" t="s">
        <v>38</v>
      </c>
      <c r="R848">
        <v>415486</v>
      </c>
      <c r="S848" t="s">
        <v>84</v>
      </c>
      <c r="T848" s="2">
        <v>3</v>
      </c>
      <c r="U848">
        <v>0</v>
      </c>
      <c r="V848" t="s">
        <v>153</v>
      </c>
      <c r="W848">
        <v>1</v>
      </c>
      <c r="X848">
        <v>1</v>
      </c>
      <c r="Y848">
        <v>0</v>
      </c>
      <c r="Z848" t="s">
        <v>1653</v>
      </c>
      <c r="AA848" t="s">
        <v>1654</v>
      </c>
      <c r="AB848" t="s">
        <v>14</v>
      </c>
      <c r="AC848">
        <v>39.57</v>
      </c>
      <c r="AD848">
        <v>39.57</v>
      </c>
      <c r="AE848">
        <v>726182084851</v>
      </c>
      <c r="AF848">
        <v>310.64999999999998</v>
      </c>
      <c r="AG848">
        <v>0</v>
      </c>
      <c r="AH848">
        <v>40.770000000000003</v>
      </c>
      <c r="AI848">
        <v>351.42</v>
      </c>
      <c r="AJ848" t="s">
        <v>2</v>
      </c>
      <c r="AK848" t="s">
        <v>11</v>
      </c>
    </row>
    <row r="849" spans="1:37">
      <c r="A849">
        <v>257837</v>
      </c>
      <c r="B849" s="1">
        <v>45366</v>
      </c>
      <c r="C849" t="s">
        <v>522</v>
      </c>
      <c r="D849" t="s">
        <v>523</v>
      </c>
      <c r="E849" t="s">
        <v>2</v>
      </c>
      <c r="F849" t="s">
        <v>34</v>
      </c>
      <c r="G849" t="s">
        <v>35</v>
      </c>
      <c r="H849">
        <v>63110</v>
      </c>
      <c r="I849" t="s">
        <v>1647</v>
      </c>
      <c r="J849" t="s">
        <v>1648</v>
      </c>
      <c r="K849" t="s">
        <v>2</v>
      </c>
      <c r="L849" t="s">
        <v>1649</v>
      </c>
      <c r="M849" t="s">
        <v>255</v>
      </c>
      <c r="N849" t="s">
        <v>1650</v>
      </c>
      <c r="O849" t="s">
        <v>528</v>
      </c>
      <c r="P849">
        <v>2278236</v>
      </c>
      <c r="Q849" t="s">
        <v>38</v>
      </c>
      <c r="R849">
        <v>415486</v>
      </c>
      <c r="S849" t="s">
        <v>84</v>
      </c>
      <c r="T849" s="2">
        <v>3</v>
      </c>
      <c r="U849">
        <v>0</v>
      </c>
      <c r="V849" t="s">
        <v>153</v>
      </c>
      <c r="W849">
        <v>0</v>
      </c>
      <c r="X849">
        <v>0</v>
      </c>
      <c r="Y849">
        <v>0</v>
      </c>
      <c r="Z849" t="s">
        <v>88</v>
      </c>
      <c r="AA849" t="s">
        <v>144</v>
      </c>
      <c r="AB849" t="s">
        <v>10</v>
      </c>
      <c r="AC849">
        <v>0</v>
      </c>
      <c r="AD849">
        <v>0</v>
      </c>
      <c r="AE849">
        <v>726182084851</v>
      </c>
      <c r="AF849">
        <v>310.64999999999998</v>
      </c>
      <c r="AG849">
        <v>0</v>
      </c>
      <c r="AH849">
        <v>40.770000000000003</v>
      </c>
      <c r="AI849">
        <v>351.42</v>
      </c>
      <c r="AJ849" t="s">
        <v>2</v>
      </c>
      <c r="AK849" t="s">
        <v>11</v>
      </c>
    </row>
    <row r="850" spans="1:37">
      <c r="A850">
        <v>257838</v>
      </c>
      <c r="B850" s="1">
        <v>45366</v>
      </c>
      <c r="C850" t="s">
        <v>1655</v>
      </c>
      <c r="D850" t="s">
        <v>1656</v>
      </c>
      <c r="E850" t="s">
        <v>1657</v>
      </c>
      <c r="F850" t="s">
        <v>1658</v>
      </c>
      <c r="G850" t="s">
        <v>255</v>
      </c>
      <c r="H850">
        <v>60133</v>
      </c>
      <c r="I850" t="s">
        <v>1659</v>
      </c>
      <c r="J850" t="s">
        <v>1660</v>
      </c>
      <c r="K850" t="s">
        <v>1661</v>
      </c>
      <c r="L850" t="s">
        <v>1662</v>
      </c>
      <c r="M850" t="s">
        <v>255</v>
      </c>
      <c r="N850">
        <v>60520</v>
      </c>
      <c r="O850" t="s">
        <v>1663</v>
      </c>
      <c r="P850">
        <v>960388</v>
      </c>
      <c r="Q850" t="s">
        <v>21</v>
      </c>
      <c r="R850">
        <v>415353</v>
      </c>
      <c r="S850" t="s">
        <v>84</v>
      </c>
      <c r="T850" s="2">
        <v>8</v>
      </c>
      <c r="U850">
        <v>0</v>
      </c>
      <c r="V850" t="s">
        <v>236</v>
      </c>
      <c r="W850">
        <v>0</v>
      </c>
      <c r="X850">
        <v>0</v>
      </c>
      <c r="Y850">
        <v>0</v>
      </c>
      <c r="Z850" t="s">
        <v>9</v>
      </c>
      <c r="AA850" t="s">
        <v>2</v>
      </c>
      <c r="AB850" t="s">
        <v>10</v>
      </c>
      <c r="AC850">
        <v>0</v>
      </c>
      <c r="AD850">
        <v>0</v>
      </c>
      <c r="AE850">
        <v>726182082377</v>
      </c>
      <c r="AF850">
        <v>2156.7800000000002</v>
      </c>
      <c r="AG850">
        <v>0</v>
      </c>
      <c r="AH850">
        <v>75.760000000000005</v>
      </c>
      <c r="AI850">
        <v>2232.54</v>
      </c>
      <c r="AJ850" t="s">
        <v>2</v>
      </c>
      <c r="AK850" t="s">
        <v>11</v>
      </c>
    </row>
    <row r="851" spans="1:37">
      <c r="A851">
        <v>257838</v>
      </c>
      <c r="B851" s="1">
        <v>45366</v>
      </c>
      <c r="C851" t="s">
        <v>1655</v>
      </c>
      <c r="D851" t="s">
        <v>1656</v>
      </c>
      <c r="E851" t="s">
        <v>1657</v>
      </c>
      <c r="F851" t="s">
        <v>1658</v>
      </c>
      <c r="G851" t="s">
        <v>255</v>
      </c>
      <c r="H851">
        <v>60133</v>
      </c>
      <c r="I851" t="s">
        <v>1659</v>
      </c>
      <c r="J851" t="s">
        <v>1660</v>
      </c>
      <c r="K851" t="s">
        <v>1661</v>
      </c>
      <c r="L851" t="s">
        <v>1662</v>
      </c>
      <c r="M851" t="s">
        <v>255</v>
      </c>
      <c r="N851">
        <v>60520</v>
      </c>
      <c r="O851" t="s">
        <v>1663</v>
      </c>
      <c r="P851">
        <v>960388</v>
      </c>
      <c r="Q851" t="s">
        <v>21</v>
      </c>
      <c r="R851">
        <v>415353</v>
      </c>
      <c r="S851" t="s">
        <v>84</v>
      </c>
      <c r="T851" s="2">
        <v>8</v>
      </c>
      <c r="U851">
        <v>0</v>
      </c>
      <c r="V851" t="s">
        <v>236</v>
      </c>
      <c r="W851">
        <v>4</v>
      </c>
      <c r="X851">
        <v>4</v>
      </c>
      <c r="Y851">
        <v>0</v>
      </c>
      <c r="Z851" t="s">
        <v>1664</v>
      </c>
      <c r="AA851" t="s">
        <v>1665</v>
      </c>
      <c r="AB851" t="s">
        <v>14</v>
      </c>
      <c r="AC851">
        <v>269.59769999999997</v>
      </c>
      <c r="AD851">
        <v>1078.3900000000001</v>
      </c>
      <c r="AE851">
        <v>726182082377</v>
      </c>
      <c r="AF851">
        <v>2156.7800000000002</v>
      </c>
      <c r="AG851">
        <v>0</v>
      </c>
      <c r="AH851">
        <v>75.760000000000005</v>
      </c>
      <c r="AI851">
        <v>2232.54</v>
      </c>
      <c r="AJ851" t="s">
        <v>2</v>
      </c>
      <c r="AK851" t="s">
        <v>11</v>
      </c>
    </row>
    <row r="852" spans="1:37">
      <c r="A852">
        <v>257838</v>
      </c>
      <c r="B852" s="1">
        <v>45366</v>
      </c>
      <c r="C852" t="s">
        <v>1655</v>
      </c>
      <c r="D852" t="s">
        <v>1656</v>
      </c>
      <c r="E852" t="s">
        <v>1657</v>
      </c>
      <c r="F852" t="s">
        <v>1658</v>
      </c>
      <c r="G852" t="s">
        <v>255</v>
      </c>
      <c r="H852">
        <v>60133</v>
      </c>
      <c r="I852" t="s">
        <v>1659</v>
      </c>
      <c r="J852" t="s">
        <v>1660</v>
      </c>
      <c r="K852" t="s">
        <v>1661</v>
      </c>
      <c r="L852" t="s">
        <v>1662</v>
      </c>
      <c r="M852" t="s">
        <v>255</v>
      </c>
      <c r="N852">
        <v>60520</v>
      </c>
      <c r="O852" t="s">
        <v>1663</v>
      </c>
      <c r="P852">
        <v>960388</v>
      </c>
      <c r="Q852" t="s">
        <v>21</v>
      </c>
      <c r="R852">
        <v>415353</v>
      </c>
      <c r="S852" t="s">
        <v>84</v>
      </c>
      <c r="T852" s="2">
        <v>8</v>
      </c>
      <c r="U852">
        <v>0</v>
      </c>
      <c r="V852" t="s">
        <v>236</v>
      </c>
      <c r="W852">
        <v>0</v>
      </c>
      <c r="X852">
        <v>0</v>
      </c>
      <c r="Y852">
        <v>0</v>
      </c>
      <c r="Z852" t="s">
        <v>88</v>
      </c>
      <c r="AA852" t="s">
        <v>1666</v>
      </c>
      <c r="AB852" t="s">
        <v>10</v>
      </c>
      <c r="AC852">
        <v>0</v>
      </c>
      <c r="AD852">
        <v>0</v>
      </c>
      <c r="AE852">
        <v>726182082377</v>
      </c>
      <c r="AF852">
        <v>2156.7800000000002</v>
      </c>
      <c r="AG852">
        <v>0</v>
      </c>
      <c r="AH852">
        <v>75.760000000000005</v>
      </c>
      <c r="AI852">
        <v>2232.54</v>
      </c>
      <c r="AJ852" t="s">
        <v>2</v>
      </c>
      <c r="AK852" t="s">
        <v>11</v>
      </c>
    </row>
    <row r="853" spans="1:37">
      <c r="A853">
        <v>257838</v>
      </c>
      <c r="B853" s="1">
        <v>45366</v>
      </c>
      <c r="C853" t="s">
        <v>1655</v>
      </c>
      <c r="D853" t="s">
        <v>1656</v>
      </c>
      <c r="E853" t="s">
        <v>1657</v>
      </c>
      <c r="F853" t="s">
        <v>1658</v>
      </c>
      <c r="G853" t="s">
        <v>255</v>
      </c>
      <c r="H853">
        <v>60133</v>
      </c>
      <c r="I853" t="s">
        <v>1659</v>
      </c>
      <c r="J853" t="s">
        <v>1660</v>
      </c>
      <c r="K853" t="s">
        <v>1661</v>
      </c>
      <c r="L853" t="s">
        <v>1662</v>
      </c>
      <c r="M853" t="s">
        <v>255</v>
      </c>
      <c r="N853">
        <v>60520</v>
      </c>
      <c r="O853" t="s">
        <v>1663</v>
      </c>
      <c r="P853">
        <v>960388</v>
      </c>
      <c r="Q853" t="s">
        <v>21</v>
      </c>
      <c r="R853">
        <v>415353</v>
      </c>
      <c r="S853" t="s">
        <v>84</v>
      </c>
      <c r="T853" s="2">
        <v>8</v>
      </c>
      <c r="U853">
        <v>0</v>
      </c>
      <c r="V853" t="s">
        <v>236</v>
      </c>
      <c r="W853">
        <v>4</v>
      </c>
      <c r="X853">
        <v>4</v>
      </c>
      <c r="Y853">
        <v>0</v>
      </c>
      <c r="Z853" t="s">
        <v>1667</v>
      </c>
      <c r="AA853" t="s">
        <v>1668</v>
      </c>
      <c r="AB853" t="s">
        <v>14</v>
      </c>
      <c r="AC853">
        <v>269.59769999999997</v>
      </c>
      <c r="AD853">
        <v>1078.3900000000001</v>
      </c>
      <c r="AE853">
        <v>726182082377</v>
      </c>
      <c r="AF853">
        <v>2156.7800000000002</v>
      </c>
      <c r="AG853">
        <v>0</v>
      </c>
      <c r="AH853">
        <v>75.760000000000005</v>
      </c>
      <c r="AI853">
        <v>2232.54</v>
      </c>
      <c r="AJ853" t="s">
        <v>2</v>
      </c>
      <c r="AK853" t="s">
        <v>11</v>
      </c>
    </row>
    <row r="854" spans="1:37">
      <c r="A854">
        <v>257838</v>
      </c>
      <c r="B854" s="1">
        <v>45366</v>
      </c>
      <c r="C854" t="s">
        <v>1655</v>
      </c>
      <c r="D854" t="s">
        <v>1656</v>
      </c>
      <c r="E854" t="s">
        <v>1657</v>
      </c>
      <c r="F854" t="s">
        <v>1658</v>
      </c>
      <c r="G854" t="s">
        <v>255</v>
      </c>
      <c r="H854">
        <v>60133</v>
      </c>
      <c r="I854" t="s">
        <v>1659</v>
      </c>
      <c r="J854" t="s">
        <v>1660</v>
      </c>
      <c r="K854" t="s">
        <v>1661</v>
      </c>
      <c r="L854" t="s">
        <v>1662</v>
      </c>
      <c r="M854" t="s">
        <v>255</v>
      </c>
      <c r="N854">
        <v>60520</v>
      </c>
      <c r="O854" t="s">
        <v>1663</v>
      </c>
      <c r="P854">
        <v>960388</v>
      </c>
      <c r="Q854" t="s">
        <v>21</v>
      </c>
      <c r="R854">
        <v>415353</v>
      </c>
      <c r="S854" t="s">
        <v>84</v>
      </c>
      <c r="T854" s="2">
        <v>8</v>
      </c>
      <c r="U854">
        <v>0</v>
      </c>
      <c r="V854" t="s">
        <v>236</v>
      </c>
      <c r="W854">
        <v>0</v>
      </c>
      <c r="X854">
        <v>0</v>
      </c>
      <c r="Y854">
        <v>0</v>
      </c>
      <c r="Z854" t="s">
        <v>88</v>
      </c>
      <c r="AA854" t="s">
        <v>1669</v>
      </c>
      <c r="AB854" t="s">
        <v>10</v>
      </c>
      <c r="AC854">
        <v>0</v>
      </c>
      <c r="AD854">
        <v>0</v>
      </c>
      <c r="AE854">
        <v>726182082377</v>
      </c>
      <c r="AF854">
        <v>2156.7800000000002</v>
      </c>
      <c r="AG854">
        <v>0</v>
      </c>
      <c r="AH854">
        <v>75.760000000000005</v>
      </c>
      <c r="AI854">
        <v>2232.54</v>
      </c>
      <c r="AJ854" t="s">
        <v>2</v>
      </c>
      <c r="AK854" t="s">
        <v>11</v>
      </c>
    </row>
    <row r="855" spans="1:37">
      <c r="A855">
        <v>257839</v>
      </c>
      <c r="B855" s="1">
        <v>45366</v>
      </c>
      <c r="C855" t="s">
        <v>826</v>
      </c>
      <c r="D855" t="s">
        <v>827</v>
      </c>
      <c r="E855" t="s">
        <v>2</v>
      </c>
      <c r="F855" t="s">
        <v>828</v>
      </c>
      <c r="G855" t="s">
        <v>103</v>
      </c>
      <c r="H855">
        <v>11211</v>
      </c>
      <c r="I855" t="s">
        <v>1670</v>
      </c>
      <c r="J855" t="s">
        <v>1671</v>
      </c>
      <c r="K855" t="s">
        <v>1672</v>
      </c>
      <c r="L855" t="s">
        <v>694</v>
      </c>
      <c r="M855" t="s">
        <v>67</v>
      </c>
      <c r="N855">
        <v>78216</v>
      </c>
      <c r="O855" t="s">
        <v>832</v>
      </c>
      <c r="P855">
        <v>36527</v>
      </c>
      <c r="Q855" t="s">
        <v>21</v>
      </c>
      <c r="R855">
        <v>415354</v>
      </c>
      <c r="S855" t="s">
        <v>84</v>
      </c>
      <c r="T855" s="2">
        <v>1</v>
      </c>
      <c r="U855">
        <v>0</v>
      </c>
      <c r="V855" t="s">
        <v>260</v>
      </c>
      <c r="W855">
        <v>0</v>
      </c>
      <c r="X855">
        <v>0</v>
      </c>
      <c r="Y855">
        <v>0</v>
      </c>
      <c r="Z855" t="s">
        <v>9</v>
      </c>
      <c r="AA855" t="s">
        <v>2</v>
      </c>
      <c r="AB855" t="s">
        <v>10</v>
      </c>
      <c r="AC855">
        <v>0</v>
      </c>
      <c r="AD855">
        <v>0</v>
      </c>
      <c r="AE855">
        <v>726182083237</v>
      </c>
      <c r="AF855">
        <v>725.8</v>
      </c>
      <c r="AG855">
        <v>0</v>
      </c>
      <c r="AH855">
        <v>82.56</v>
      </c>
      <c r="AI855">
        <v>808.36</v>
      </c>
      <c r="AJ855" t="s">
        <v>2</v>
      </c>
      <c r="AK855" t="s">
        <v>11</v>
      </c>
    </row>
    <row r="856" spans="1:37">
      <c r="A856">
        <v>257839</v>
      </c>
      <c r="B856" s="1">
        <v>45366</v>
      </c>
      <c r="C856" t="s">
        <v>826</v>
      </c>
      <c r="D856" t="s">
        <v>827</v>
      </c>
      <c r="E856" t="s">
        <v>2</v>
      </c>
      <c r="F856" t="s">
        <v>828</v>
      </c>
      <c r="G856" t="s">
        <v>103</v>
      </c>
      <c r="H856">
        <v>11211</v>
      </c>
      <c r="I856" t="s">
        <v>1670</v>
      </c>
      <c r="J856" t="s">
        <v>1671</v>
      </c>
      <c r="K856" t="s">
        <v>1672</v>
      </c>
      <c r="L856" t="s">
        <v>694</v>
      </c>
      <c r="M856" t="s">
        <v>67</v>
      </c>
      <c r="N856">
        <v>78216</v>
      </c>
      <c r="O856" t="s">
        <v>832</v>
      </c>
      <c r="P856">
        <v>36527</v>
      </c>
      <c r="Q856" t="s">
        <v>21</v>
      </c>
      <c r="R856">
        <v>415354</v>
      </c>
      <c r="S856" t="s">
        <v>84</v>
      </c>
      <c r="T856" s="2">
        <v>1</v>
      </c>
      <c r="U856">
        <v>0</v>
      </c>
      <c r="V856" t="s">
        <v>260</v>
      </c>
      <c r="W856">
        <v>1</v>
      </c>
      <c r="X856">
        <v>1</v>
      </c>
      <c r="Y856">
        <v>0</v>
      </c>
      <c r="Z856" t="s">
        <v>1673</v>
      </c>
      <c r="AA856" t="s">
        <v>1674</v>
      </c>
      <c r="AB856" t="s">
        <v>14</v>
      </c>
      <c r="AC856">
        <v>725.79930000000002</v>
      </c>
      <c r="AD856">
        <v>725.8</v>
      </c>
      <c r="AE856">
        <v>726182083237</v>
      </c>
      <c r="AF856">
        <v>725.8</v>
      </c>
      <c r="AG856">
        <v>0</v>
      </c>
      <c r="AH856">
        <v>82.56</v>
      </c>
      <c r="AI856">
        <v>808.36</v>
      </c>
      <c r="AJ856" t="s">
        <v>2</v>
      </c>
      <c r="AK856" t="s">
        <v>11</v>
      </c>
    </row>
    <row r="857" spans="1:37">
      <c r="A857">
        <v>257839</v>
      </c>
      <c r="B857" s="1">
        <v>45366</v>
      </c>
      <c r="C857" t="s">
        <v>826</v>
      </c>
      <c r="D857" t="s">
        <v>827</v>
      </c>
      <c r="E857" t="s">
        <v>2</v>
      </c>
      <c r="F857" t="s">
        <v>828</v>
      </c>
      <c r="G857" t="s">
        <v>103</v>
      </c>
      <c r="H857">
        <v>11211</v>
      </c>
      <c r="I857" t="s">
        <v>1670</v>
      </c>
      <c r="J857" t="s">
        <v>1671</v>
      </c>
      <c r="K857" t="s">
        <v>1672</v>
      </c>
      <c r="L857" t="s">
        <v>694</v>
      </c>
      <c r="M857" t="s">
        <v>67</v>
      </c>
      <c r="N857">
        <v>78216</v>
      </c>
      <c r="O857" t="s">
        <v>832</v>
      </c>
      <c r="P857">
        <v>36527</v>
      </c>
      <c r="Q857" t="s">
        <v>21</v>
      </c>
      <c r="R857">
        <v>415354</v>
      </c>
      <c r="S857" t="s">
        <v>84</v>
      </c>
      <c r="T857" s="2">
        <v>1</v>
      </c>
      <c r="U857">
        <v>0</v>
      </c>
      <c r="V857" t="s">
        <v>260</v>
      </c>
      <c r="W857">
        <v>0</v>
      </c>
      <c r="X857">
        <v>0</v>
      </c>
      <c r="Y857">
        <v>0</v>
      </c>
      <c r="Z857" t="s">
        <v>88</v>
      </c>
      <c r="AA857" t="s">
        <v>1675</v>
      </c>
      <c r="AB857" t="s">
        <v>10</v>
      </c>
      <c r="AC857">
        <v>0</v>
      </c>
      <c r="AD857">
        <v>0</v>
      </c>
      <c r="AE857">
        <v>726182083237</v>
      </c>
      <c r="AF857">
        <v>725.8</v>
      </c>
      <c r="AG857">
        <v>0</v>
      </c>
      <c r="AH857">
        <v>82.56</v>
      </c>
      <c r="AI857">
        <v>808.36</v>
      </c>
      <c r="AJ857" t="s">
        <v>2</v>
      </c>
      <c r="AK857" t="s">
        <v>11</v>
      </c>
    </row>
    <row r="858" spans="1:37">
      <c r="A858">
        <v>257840</v>
      </c>
      <c r="B858" s="1">
        <v>45366</v>
      </c>
      <c r="C858" t="s">
        <v>1676</v>
      </c>
      <c r="D858" t="s">
        <v>1677</v>
      </c>
      <c r="E858" t="s">
        <v>1678</v>
      </c>
      <c r="F858" t="s">
        <v>1679</v>
      </c>
      <c r="G858" t="s">
        <v>1579</v>
      </c>
      <c r="H858">
        <v>40505</v>
      </c>
      <c r="I858" t="s">
        <v>1680</v>
      </c>
      <c r="J858" t="s">
        <v>1681</v>
      </c>
      <c r="K858" t="s">
        <v>1682</v>
      </c>
      <c r="L858" t="s">
        <v>1683</v>
      </c>
      <c r="M858" t="s">
        <v>255</v>
      </c>
      <c r="N858">
        <v>62946</v>
      </c>
      <c r="O858" t="s">
        <v>1684</v>
      </c>
      <c r="P858" t="s">
        <v>1685</v>
      </c>
      <c r="Q858" t="s">
        <v>21</v>
      </c>
      <c r="R858">
        <v>415405</v>
      </c>
      <c r="S858" t="s">
        <v>84</v>
      </c>
      <c r="T858" s="2">
        <v>1</v>
      </c>
      <c r="U858">
        <v>0</v>
      </c>
      <c r="V858" t="s">
        <v>260</v>
      </c>
      <c r="W858">
        <v>0</v>
      </c>
      <c r="X858">
        <v>0</v>
      </c>
      <c r="Y858">
        <v>0</v>
      </c>
      <c r="Z858" t="s">
        <v>9</v>
      </c>
      <c r="AA858" t="s">
        <v>2</v>
      </c>
      <c r="AB858" t="s">
        <v>10</v>
      </c>
      <c r="AC858">
        <v>0</v>
      </c>
      <c r="AD858">
        <v>0</v>
      </c>
      <c r="AE858">
        <v>726182083400</v>
      </c>
      <c r="AF858">
        <v>905.77</v>
      </c>
      <c r="AG858">
        <v>0</v>
      </c>
      <c r="AH858">
        <v>66.59</v>
      </c>
      <c r="AI858">
        <v>972.36</v>
      </c>
      <c r="AJ858" t="s">
        <v>2</v>
      </c>
      <c r="AK858" t="s">
        <v>11</v>
      </c>
    </row>
    <row r="859" spans="1:37">
      <c r="A859">
        <v>257840</v>
      </c>
      <c r="B859" s="1">
        <v>45366</v>
      </c>
      <c r="C859" t="s">
        <v>1676</v>
      </c>
      <c r="D859" t="s">
        <v>1677</v>
      </c>
      <c r="E859" t="s">
        <v>1678</v>
      </c>
      <c r="F859" t="s">
        <v>1679</v>
      </c>
      <c r="G859" t="s">
        <v>1579</v>
      </c>
      <c r="H859">
        <v>40505</v>
      </c>
      <c r="I859" t="s">
        <v>1680</v>
      </c>
      <c r="J859" t="s">
        <v>1681</v>
      </c>
      <c r="K859" t="s">
        <v>1682</v>
      </c>
      <c r="L859" t="s">
        <v>1683</v>
      </c>
      <c r="M859" t="s">
        <v>255</v>
      </c>
      <c r="N859">
        <v>62946</v>
      </c>
      <c r="O859" t="s">
        <v>1684</v>
      </c>
      <c r="P859" t="s">
        <v>1685</v>
      </c>
      <c r="Q859" t="s">
        <v>21</v>
      </c>
      <c r="R859">
        <v>415405</v>
      </c>
      <c r="S859" t="s">
        <v>84</v>
      </c>
      <c r="T859" s="2">
        <v>1</v>
      </c>
      <c r="U859">
        <v>0</v>
      </c>
      <c r="V859" t="s">
        <v>260</v>
      </c>
      <c r="W859">
        <v>1</v>
      </c>
      <c r="X859">
        <v>1</v>
      </c>
      <c r="Y859">
        <v>0</v>
      </c>
      <c r="Z859" t="s">
        <v>1686</v>
      </c>
      <c r="AA859" t="s">
        <v>1687</v>
      </c>
      <c r="AB859" t="s">
        <v>14</v>
      </c>
      <c r="AC859">
        <v>905.77</v>
      </c>
      <c r="AD859">
        <v>905.77</v>
      </c>
      <c r="AE859">
        <v>726182083400</v>
      </c>
      <c r="AF859">
        <v>905.77</v>
      </c>
      <c r="AG859">
        <v>0</v>
      </c>
      <c r="AH859">
        <v>66.59</v>
      </c>
      <c r="AI859">
        <v>972.36</v>
      </c>
      <c r="AJ859" t="s">
        <v>2</v>
      </c>
      <c r="AK859" t="s">
        <v>11</v>
      </c>
    </row>
    <row r="860" spans="1:37">
      <c r="A860">
        <v>257840</v>
      </c>
      <c r="B860" s="1">
        <v>45366</v>
      </c>
      <c r="C860" t="s">
        <v>1676</v>
      </c>
      <c r="D860" t="s">
        <v>1677</v>
      </c>
      <c r="E860" t="s">
        <v>1678</v>
      </c>
      <c r="F860" t="s">
        <v>1679</v>
      </c>
      <c r="G860" t="s">
        <v>1579</v>
      </c>
      <c r="H860">
        <v>40505</v>
      </c>
      <c r="I860" t="s">
        <v>1680</v>
      </c>
      <c r="J860" t="s">
        <v>1681</v>
      </c>
      <c r="K860" t="s">
        <v>1682</v>
      </c>
      <c r="L860" t="s">
        <v>1683</v>
      </c>
      <c r="M860" t="s">
        <v>255</v>
      </c>
      <c r="N860">
        <v>62946</v>
      </c>
      <c r="O860" t="s">
        <v>1684</v>
      </c>
      <c r="P860" t="s">
        <v>1685</v>
      </c>
      <c r="Q860" t="s">
        <v>21</v>
      </c>
      <c r="R860">
        <v>415405</v>
      </c>
      <c r="S860" t="s">
        <v>84</v>
      </c>
      <c r="T860" s="2">
        <v>1</v>
      </c>
      <c r="U860">
        <v>0</v>
      </c>
      <c r="V860" t="s">
        <v>260</v>
      </c>
      <c r="W860">
        <v>0</v>
      </c>
      <c r="X860">
        <v>0</v>
      </c>
      <c r="Y860">
        <v>0</v>
      </c>
      <c r="Z860" t="s">
        <v>88</v>
      </c>
      <c r="AA860" t="s">
        <v>1688</v>
      </c>
      <c r="AB860" t="s">
        <v>10</v>
      </c>
      <c r="AC860">
        <v>0</v>
      </c>
      <c r="AD860">
        <v>0</v>
      </c>
      <c r="AE860">
        <v>726182083400</v>
      </c>
      <c r="AF860">
        <v>905.77</v>
      </c>
      <c r="AG860">
        <v>0</v>
      </c>
      <c r="AH860">
        <v>66.59</v>
      </c>
      <c r="AI860">
        <v>972.36</v>
      </c>
      <c r="AJ860" t="s">
        <v>2</v>
      </c>
      <c r="AK860" t="s">
        <v>11</v>
      </c>
    </row>
    <row r="861" spans="1:37">
      <c r="A861">
        <v>257845</v>
      </c>
      <c r="B861" s="1">
        <v>45366</v>
      </c>
      <c r="C861" t="s">
        <v>1689</v>
      </c>
      <c r="D861" t="s">
        <v>1690</v>
      </c>
      <c r="E861" t="s">
        <v>1691</v>
      </c>
      <c r="F861" t="s">
        <v>1692</v>
      </c>
      <c r="G861" t="s">
        <v>75</v>
      </c>
      <c r="H861" t="s">
        <v>1693</v>
      </c>
      <c r="I861" t="s">
        <v>1694</v>
      </c>
      <c r="J861" t="s">
        <v>1695</v>
      </c>
      <c r="K861" t="s">
        <v>2</v>
      </c>
      <c r="L861" t="s">
        <v>1696</v>
      </c>
      <c r="M861" t="s">
        <v>535</v>
      </c>
      <c r="N861">
        <v>30305</v>
      </c>
      <c r="O861" t="s">
        <v>1697</v>
      </c>
      <c r="P861" t="s">
        <v>1698</v>
      </c>
      <c r="Q861" t="s">
        <v>1699</v>
      </c>
      <c r="R861">
        <v>414186</v>
      </c>
      <c r="S861" t="s">
        <v>1314</v>
      </c>
      <c r="T861" s="2">
        <v>2</v>
      </c>
      <c r="U861">
        <v>0</v>
      </c>
      <c r="V861" t="s">
        <v>260</v>
      </c>
      <c r="W861">
        <v>0</v>
      </c>
      <c r="X861">
        <v>0</v>
      </c>
      <c r="Y861">
        <v>0</v>
      </c>
      <c r="Z861" t="s">
        <v>9</v>
      </c>
      <c r="AA861" t="s">
        <v>2</v>
      </c>
      <c r="AB861" t="s">
        <v>10</v>
      </c>
      <c r="AC861">
        <v>0</v>
      </c>
      <c r="AD861">
        <v>0</v>
      </c>
      <c r="AE861">
        <v>726182075170</v>
      </c>
      <c r="AF861">
        <v>5.0199999999999996</v>
      </c>
      <c r="AG861">
        <v>0</v>
      </c>
      <c r="AH861">
        <v>15</v>
      </c>
      <c r="AI861">
        <v>20.02</v>
      </c>
      <c r="AJ861" t="s">
        <v>2</v>
      </c>
      <c r="AK861" t="s">
        <v>11</v>
      </c>
    </row>
    <row r="862" spans="1:37">
      <c r="A862">
        <v>257845</v>
      </c>
      <c r="B862" s="1">
        <v>45366</v>
      </c>
      <c r="C862" t="s">
        <v>1689</v>
      </c>
      <c r="D862" t="s">
        <v>1690</v>
      </c>
      <c r="E862" t="s">
        <v>1691</v>
      </c>
      <c r="F862" t="s">
        <v>1692</v>
      </c>
      <c r="G862" t="s">
        <v>75</v>
      </c>
      <c r="H862" t="s">
        <v>1693</v>
      </c>
      <c r="I862" t="s">
        <v>1694</v>
      </c>
      <c r="J862" t="s">
        <v>1695</v>
      </c>
      <c r="K862" t="s">
        <v>2</v>
      </c>
      <c r="L862" t="s">
        <v>1696</v>
      </c>
      <c r="M862" t="s">
        <v>535</v>
      </c>
      <c r="N862">
        <v>30305</v>
      </c>
      <c r="O862" t="s">
        <v>1697</v>
      </c>
      <c r="P862" t="s">
        <v>1698</v>
      </c>
      <c r="Q862" t="s">
        <v>1699</v>
      </c>
      <c r="R862">
        <v>414186</v>
      </c>
      <c r="S862" t="s">
        <v>1314</v>
      </c>
      <c r="T862" s="2">
        <v>2</v>
      </c>
      <c r="U862">
        <v>0</v>
      </c>
      <c r="V862" t="s">
        <v>260</v>
      </c>
      <c r="W862">
        <v>1</v>
      </c>
      <c r="X862">
        <v>0</v>
      </c>
      <c r="Y862">
        <v>1</v>
      </c>
      <c r="Z862" t="s">
        <v>1700</v>
      </c>
      <c r="AA862" t="s">
        <v>1701</v>
      </c>
      <c r="AB862" t="s">
        <v>14</v>
      </c>
      <c r="AC862">
        <v>2.5099999999999998</v>
      </c>
      <c r="AD862">
        <v>0</v>
      </c>
      <c r="AE862">
        <v>726182075170</v>
      </c>
      <c r="AF862">
        <v>5.0199999999999996</v>
      </c>
      <c r="AG862">
        <v>0</v>
      </c>
      <c r="AH862">
        <v>15</v>
      </c>
      <c r="AI862">
        <v>20.02</v>
      </c>
      <c r="AJ862" t="s">
        <v>2</v>
      </c>
      <c r="AK862" t="s">
        <v>11</v>
      </c>
    </row>
    <row r="863" spans="1:37">
      <c r="A863">
        <v>257845</v>
      </c>
      <c r="B863" s="1">
        <v>45366</v>
      </c>
      <c r="C863" t="s">
        <v>1689</v>
      </c>
      <c r="D863" t="s">
        <v>1690</v>
      </c>
      <c r="E863" t="s">
        <v>1691</v>
      </c>
      <c r="F863" t="s">
        <v>1692</v>
      </c>
      <c r="G863" t="s">
        <v>75</v>
      </c>
      <c r="H863" t="s">
        <v>1693</v>
      </c>
      <c r="I863" t="s">
        <v>1694</v>
      </c>
      <c r="J863" t="s">
        <v>1695</v>
      </c>
      <c r="K863" t="s">
        <v>2</v>
      </c>
      <c r="L863" t="s">
        <v>1696</v>
      </c>
      <c r="M863" t="s">
        <v>535</v>
      </c>
      <c r="N863">
        <v>30305</v>
      </c>
      <c r="O863" t="s">
        <v>1697</v>
      </c>
      <c r="P863" t="s">
        <v>1698</v>
      </c>
      <c r="Q863" t="s">
        <v>1699</v>
      </c>
      <c r="R863">
        <v>414186</v>
      </c>
      <c r="S863" t="s">
        <v>1314</v>
      </c>
      <c r="T863" s="2">
        <v>2</v>
      </c>
      <c r="U863">
        <v>0</v>
      </c>
      <c r="V863" t="s">
        <v>260</v>
      </c>
      <c r="W863">
        <v>0</v>
      </c>
      <c r="X863">
        <v>0</v>
      </c>
      <c r="Y863">
        <v>0</v>
      </c>
      <c r="Z863" t="s">
        <v>88</v>
      </c>
      <c r="AA863" t="s">
        <v>1702</v>
      </c>
      <c r="AB863" t="s">
        <v>10</v>
      </c>
      <c r="AC863">
        <v>0</v>
      </c>
      <c r="AD863">
        <v>0</v>
      </c>
      <c r="AE863">
        <v>726182075170</v>
      </c>
      <c r="AF863">
        <v>5.0199999999999996</v>
      </c>
      <c r="AG863">
        <v>0</v>
      </c>
      <c r="AH863">
        <v>15</v>
      </c>
      <c r="AI863">
        <v>20.02</v>
      </c>
      <c r="AJ863" t="s">
        <v>2</v>
      </c>
      <c r="AK863" t="s">
        <v>11</v>
      </c>
    </row>
    <row r="864" spans="1:37">
      <c r="A864">
        <v>257845</v>
      </c>
      <c r="B864" s="1">
        <v>45366</v>
      </c>
      <c r="C864" t="s">
        <v>1689</v>
      </c>
      <c r="D864" t="s">
        <v>1690</v>
      </c>
      <c r="E864" t="s">
        <v>1691</v>
      </c>
      <c r="F864" t="s">
        <v>1692</v>
      </c>
      <c r="G864" t="s">
        <v>75</v>
      </c>
      <c r="H864" t="s">
        <v>1693</v>
      </c>
      <c r="I864" t="s">
        <v>1694</v>
      </c>
      <c r="J864" t="s">
        <v>1695</v>
      </c>
      <c r="K864" t="s">
        <v>2</v>
      </c>
      <c r="L864" t="s">
        <v>1696</v>
      </c>
      <c r="M864" t="s">
        <v>535</v>
      </c>
      <c r="N864">
        <v>30305</v>
      </c>
      <c r="O864" t="s">
        <v>1697</v>
      </c>
      <c r="P864" t="s">
        <v>1698</v>
      </c>
      <c r="Q864" t="s">
        <v>1699</v>
      </c>
      <c r="R864">
        <v>414186</v>
      </c>
      <c r="S864" t="s">
        <v>1314</v>
      </c>
      <c r="T864" s="2">
        <v>2</v>
      </c>
      <c r="U864">
        <v>0</v>
      </c>
      <c r="V864" t="s">
        <v>260</v>
      </c>
      <c r="W864">
        <v>1</v>
      </c>
      <c r="X864">
        <v>1</v>
      </c>
      <c r="Y864">
        <v>0</v>
      </c>
      <c r="Z864" t="s">
        <v>1703</v>
      </c>
      <c r="AA864" t="s">
        <v>1704</v>
      </c>
      <c r="AB864" t="s">
        <v>14</v>
      </c>
      <c r="AC864">
        <v>2.5099999999999998</v>
      </c>
      <c r="AD864">
        <v>2.5099999999999998</v>
      </c>
      <c r="AE864">
        <v>726182075170</v>
      </c>
      <c r="AF864">
        <v>5.0199999999999996</v>
      </c>
      <c r="AG864">
        <v>0</v>
      </c>
      <c r="AH864">
        <v>15</v>
      </c>
      <c r="AI864">
        <v>20.02</v>
      </c>
      <c r="AJ864" t="s">
        <v>2</v>
      </c>
      <c r="AK864" t="s">
        <v>11</v>
      </c>
    </row>
    <row r="865" spans="1:37">
      <c r="A865">
        <v>257845</v>
      </c>
      <c r="B865" s="1">
        <v>45366</v>
      </c>
      <c r="C865" t="s">
        <v>1689</v>
      </c>
      <c r="D865" t="s">
        <v>1690</v>
      </c>
      <c r="E865" t="s">
        <v>1691</v>
      </c>
      <c r="F865" t="s">
        <v>1692</v>
      </c>
      <c r="G865" t="s">
        <v>75</v>
      </c>
      <c r="H865" t="s">
        <v>1693</v>
      </c>
      <c r="I865" t="s">
        <v>1694</v>
      </c>
      <c r="J865" t="s">
        <v>1695</v>
      </c>
      <c r="K865" t="s">
        <v>2</v>
      </c>
      <c r="L865" t="s">
        <v>1696</v>
      </c>
      <c r="M865" t="s">
        <v>535</v>
      </c>
      <c r="N865">
        <v>30305</v>
      </c>
      <c r="O865" t="s">
        <v>1697</v>
      </c>
      <c r="P865" t="s">
        <v>1698</v>
      </c>
      <c r="Q865" t="s">
        <v>1699</v>
      </c>
      <c r="R865">
        <v>414186</v>
      </c>
      <c r="S865" t="s">
        <v>1314</v>
      </c>
      <c r="T865" s="2">
        <v>2</v>
      </c>
      <c r="U865">
        <v>0</v>
      </c>
      <c r="V865" t="s">
        <v>260</v>
      </c>
      <c r="W865">
        <v>0</v>
      </c>
      <c r="X865">
        <v>0</v>
      </c>
      <c r="Y865">
        <v>0</v>
      </c>
      <c r="Z865" t="s">
        <v>88</v>
      </c>
      <c r="AA865" t="s">
        <v>1702</v>
      </c>
      <c r="AB865" t="s">
        <v>10</v>
      </c>
      <c r="AC865">
        <v>0</v>
      </c>
      <c r="AD865">
        <v>0</v>
      </c>
      <c r="AE865">
        <v>726182075170</v>
      </c>
      <c r="AF865">
        <v>5.0199999999999996</v>
      </c>
      <c r="AG865">
        <v>0</v>
      </c>
      <c r="AH865">
        <v>15</v>
      </c>
      <c r="AI865">
        <v>20.02</v>
      </c>
      <c r="AJ865" t="s">
        <v>2</v>
      </c>
      <c r="AK865" t="s">
        <v>11</v>
      </c>
    </row>
    <row r="866" spans="1:37">
      <c r="A866">
        <v>257845</v>
      </c>
      <c r="B866" s="1">
        <v>45366</v>
      </c>
      <c r="C866" t="s">
        <v>1689</v>
      </c>
      <c r="D866" t="s">
        <v>1690</v>
      </c>
      <c r="E866" t="s">
        <v>1691</v>
      </c>
      <c r="F866" t="s">
        <v>1692</v>
      </c>
      <c r="G866" t="s">
        <v>75</v>
      </c>
      <c r="H866" t="s">
        <v>1693</v>
      </c>
      <c r="I866" t="s">
        <v>1694</v>
      </c>
      <c r="J866" t="s">
        <v>1695</v>
      </c>
      <c r="K866" t="s">
        <v>2</v>
      </c>
      <c r="L866" t="s">
        <v>1696</v>
      </c>
      <c r="M866" t="s">
        <v>535</v>
      </c>
      <c r="N866">
        <v>30305</v>
      </c>
      <c r="O866" t="s">
        <v>1697</v>
      </c>
      <c r="P866" t="s">
        <v>1698</v>
      </c>
      <c r="Q866" t="s">
        <v>1699</v>
      </c>
      <c r="R866">
        <v>414186</v>
      </c>
      <c r="S866" t="s">
        <v>1314</v>
      </c>
      <c r="T866" s="2">
        <v>2</v>
      </c>
      <c r="U866">
        <v>0</v>
      </c>
      <c r="V866" t="s">
        <v>260</v>
      </c>
      <c r="W866">
        <v>1</v>
      </c>
      <c r="X866">
        <v>1</v>
      </c>
      <c r="Y866">
        <v>0</v>
      </c>
      <c r="Z866" t="s">
        <v>1705</v>
      </c>
      <c r="AA866" t="s">
        <v>1706</v>
      </c>
      <c r="AB866" t="s">
        <v>14</v>
      </c>
      <c r="AC866">
        <v>2.5099999999999998</v>
      </c>
      <c r="AD866">
        <v>2.5099999999999998</v>
      </c>
      <c r="AE866">
        <v>726182075170</v>
      </c>
      <c r="AF866">
        <v>5.0199999999999996</v>
      </c>
      <c r="AG866">
        <v>0</v>
      </c>
      <c r="AH866">
        <v>15</v>
      </c>
      <c r="AI866">
        <v>20.02</v>
      </c>
      <c r="AJ866" t="s">
        <v>2</v>
      </c>
      <c r="AK866" t="s">
        <v>11</v>
      </c>
    </row>
    <row r="867" spans="1:37">
      <c r="A867">
        <v>257845</v>
      </c>
      <c r="B867" s="1">
        <v>45366</v>
      </c>
      <c r="C867" t="s">
        <v>1689</v>
      </c>
      <c r="D867" t="s">
        <v>1690</v>
      </c>
      <c r="E867" t="s">
        <v>1691</v>
      </c>
      <c r="F867" t="s">
        <v>1692</v>
      </c>
      <c r="G867" t="s">
        <v>75</v>
      </c>
      <c r="H867" t="s">
        <v>1693</v>
      </c>
      <c r="I867" t="s">
        <v>1694</v>
      </c>
      <c r="J867" t="s">
        <v>1695</v>
      </c>
      <c r="K867" t="s">
        <v>2</v>
      </c>
      <c r="L867" t="s">
        <v>1696</v>
      </c>
      <c r="M867" t="s">
        <v>535</v>
      </c>
      <c r="N867">
        <v>30305</v>
      </c>
      <c r="O867" t="s">
        <v>1697</v>
      </c>
      <c r="P867" t="s">
        <v>1698</v>
      </c>
      <c r="Q867" t="s">
        <v>1699</v>
      </c>
      <c r="R867">
        <v>414186</v>
      </c>
      <c r="S867" t="s">
        <v>1314</v>
      </c>
      <c r="T867" s="2">
        <v>2</v>
      </c>
      <c r="U867">
        <v>0</v>
      </c>
      <c r="V867" t="s">
        <v>260</v>
      </c>
      <c r="W867">
        <v>0</v>
      </c>
      <c r="X867">
        <v>0</v>
      </c>
      <c r="Y867">
        <v>0</v>
      </c>
      <c r="Z867" t="s">
        <v>88</v>
      </c>
      <c r="AA867" t="s">
        <v>1702</v>
      </c>
      <c r="AB867" t="s">
        <v>10</v>
      </c>
      <c r="AC867">
        <v>0</v>
      </c>
      <c r="AD867">
        <v>0</v>
      </c>
      <c r="AE867">
        <v>726182075170</v>
      </c>
      <c r="AF867">
        <v>5.0199999999999996</v>
      </c>
      <c r="AG867">
        <v>0</v>
      </c>
      <c r="AH867">
        <v>15</v>
      </c>
      <c r="AI867">
        <v>20.02</v>
      </c>
      <c r="AJ867" t="s">
        <v>2</v>
      </c>
      <c r="AK867" t="s">
        <v>11</v>
      </c>
    </row>
    <row r="868" spans="1:37">
      <c r="A868">
        <v>257845</v>
      </c>
      <c r="B868" s="1">
        <v>45366</v>
      </c>
      <c r="C868" t="s">
        <v>1689</v>
      </c>
      <c r="D868" t="s">
        <v>1690</v>
      </c>
      <c r="E868" t="s">
        <v>1691</v>
      </c>
      <c r="F868" t="s">
        <v>1692</v>
      </c>
      <c r="G868" t="s">
        <v>75</v>
      </c>
      <c r="H868" t="s">
        <v>1693</v>
      </c>
      <c r="I868" t="s">
        <v>1694</v>
      </c>
      <c r="J868" t="s">
        <v>1695</v>
      </c>
      <c r="K868" t="s">
        <v>2</v>
      </c>
      <c r="L868" t="s">
        <v>1696</v>
      </c>
      <c r="M868" t="s">
        <v>535</v>
      </c>
      <c r="N868">
        <v>30305</v>
      </c>
      <c r="O868" t="s">
        <v>1697</v>
      </c>
      <c r="P868" t="s">
        <v>1698</v>
      </c>
      <c r="Q868" t="s">
        <v>1699</v>
      </c>
      <c r="R868">
        <v>414186</v>
      </c>
      <c r="S868" t="s">
        <v>1314</v>
      </c>
      <c r="T868" s="2">
        <v>2</v>
      </c>
      <c r="U868">
        <v>0</v>
      </c>
      <c r="V868" t="s">
        <v>260</v>
      </c>
      <c r="W868">
        <v>0</v>
      </c>
      <c r="X868">
        <v>0</v>
      </c>
      <c r="Y868">
        <v>0</v>
      </c>
      <c r="Z868" t="s">
        <v>88</v>
      </c>
      <c r="AA868" t="s">
        <v>2</v>
      </c>
      <c r="AB868" t="s">
        <v>10</v>
      </c>
      <c r="AC868">
        <v>0</v>
      </c>
      <c r="AD868">
        <v>0</v>
      </c>
      <c r="AE868">
        <v>726182075170</v>
      </c>
      <c r="AF868">
        <v>5.0199999999999996</v>
      </c>
      <c r="AG868">
        <v>0</v>
      </c>
      <c r="AH868">
        <v>15</v>
      </c>
      <c r="AI868">
        <v>20.02</v>
      </c>
      <c r="AJ868" t="s">
        <v>2</v>
      </c>
      <c r="AK868" t="s">
        <v>11</v>
      </c>
    </row>
    <row r="869" spans="1:37">
      <c r="A869">
        <v>257845</v>
      </c>
      <c r="B869" s="1">
        <v>45366</v>
      </c>
      <c r="C869" t="s">
        <v>1689</v>
      </c>
      <c r="D869" t="s">
        <v>1690</v>
      </c>
      <c r="E869" t="s">
        <v>1691</v>
      </c>
      <c r="F869" t="s">
        <v>1692</v>
      </c>
      <c r="G869" t="s">
        <v>75</v>
      </c>
      <c r="H869" t="s">
        <v>1693</v>
      </c>
      <c r="I869" t="s">
        <v>1694</v>
      </c>
      <c r="J869" t="s">
        <v>1695</v>
      </c>
      <c r="K869" t="s">
        <v>2</v>
      </c>
      <c r="L869" t="s">
        <v>1696</v>
      </c>
      <c r="M869" t="s">
        <v>535</v>
      </c>
      <c r="N869">
        <v>30305</v>
      </c>
      <c r="O869" t="s">
        <v>1697</v>
      </c>
      <c r="P869" t="s">
        <v>1698</v>
      </c>
      <c r="Q869" t="s">
        <v>1699</v>
      </c>
      <c r="R869">
        <v>414186</v>
      </c>
      <c r="S869" t="s">
        <v>1314</v>
      </c>
      <c r="T869" s="2">
        <v>2</v>
      </c>
      <c r="U869">
        <v>0</v>
      </c>
      <c r="V869" t="s">
        <v>260</v>
      </c>
      <c r="W869">
        <v>0</v>
      </c>
      <c r="X869">
        <v>0</v>
      </c>
      <c r="Y869">
        <v>0</v>
      </c>
      <c r="Z869" t="s">
        <v>88</v>
      </c>
      <c r="AA869" t="s">
        <v>1707</v>
      </c>
      <c r="AB869" t="s">
        <v>10</v>
      </c>
      <c r="AC869">
        <v>0</v>
      </c>
      <c r="AD869">
        <v>0</v>
      </c>
      <c r="AE869">
        <v>726182075170</v>
      </c>
      <c r="AF869">
        <v>5.0199999999999996</v>
      </c>
      <c r="AG869">
        <v>0</v>
      </c>
      <c r="AH869">
        <v>15</v>
      </c>
      <c r="AI869">
        <v>20.02</v>
      </c>
      <c r="AJ869" t="s">
        <v>2</v>
      </c>
      <c r="AK869" t="s">
        <v>11</v>
      </c>
    </row>
    <row r="870" spans="1:37">
      <c r="A870">
        <v>257845</v>
      </c>
      <c r="B870" s="1">
        <v>45366</v>
      </c>
      <c r="C870" t="s">
        <v>1689</v>
      </c>
      <c r="D870" t="s">
        <v>1690</v>
      </c>
      <c r="E870" t="s">
        <v>1691</v>
      </c>
      <c r="F870" t="s">
        <v>1692</v>
      </c>
      <c r="G870" t="s">
        <v>75</v>
      </c>
      <c r="H870" t="s">
        <v>1693</v>
      </c>
      <c r="I870" t="s">
        <v>1694</v>
      </c>
      <c r="J870" t="s">
        <v>1695</v>
      </c>
      <c r="K870" t="s">
        <v>2</v>
      </c>
      <c r="L870" t="s">
        <v>1696</v>
      </c>
      <c r="M870" t="s">
        <v>535</v>
      </c>
      <c r="N870">
        <v>30305</v>
      </c>
      <c r="O870" t="s">
        <v>1697</v>
      </c>
      <c r="P870" t="s">
        <v>1698</v>
      </c>
      <c r="Q870" t="s">
        <v>1699</v>
      </c>
      <c r="R870">
        <v>414186</v>
      </c>
      <c r="S870" t="s">
        <v>1314</v>
      </c>
      <c r="T870" s="2">
        <v>2</v>
      </c>
      <c r="U870">
        <v>0</v>
      </c>
      <c r="V870" t="s">
        <v>260</v>
      </c>
      <c r="W870">
        <v>0</v>
      </c>
      <c r="X870">
        <v>0</v>
      </c>
      <c r="Y870">
        <v>0</v>
      </c>
      <c r="Z870" t="s">
        <v>88</v>
      </c>
      <c r="AA870" t="s">
        <v>2</v>
      </c>
      <c r="AB870" t="s">
        <v>10</v>
      </c>
      <c r="AC870">
        <v>0</v>
      </c>
      <c r="AD870">
        <v>0</v>
      </c>
      <c r="AE870">
        <v>726182075170</v>
      </c>
      <c r="AF870">
        <v>5.0199999999999996</v>
      </c>
      <c r="AG870">
        <v>0</v>
      </c>
      <c r="AH870">
        <v>15</v>
      </c>
      <c r="AI870">
        <v>20.02</v>
      </c>
      <c r="AJ870" t="s">
        <v>2</v>
      </c>
      <c r="AK870" t="s">
        <v>11</v>
      </c>
    </row>
    <row r="871" spans="1:37">
      <c r="A871">
        <v>257845</v>
      </c>
      <c r="B871" s="1">
        <v>45366</v>
      </c>
      <c r="C871" t="s">
        <v>1689</v>
      </c>
      <c r="D871" t="s">
        <v>1690</v>
      </c>
      <c r="E871" t="s">
        <v>1691</v>
      </c>
      <c r="F871" t="s">
        <v>1692</v>
      </c>
      <c r="G871" t="s">
        <v>75</v>
      </c>
      <c r="H871" t="s">
        <v>1693</v>
      </c>
      <c r="I871" t="s">
        <v>1694</v>
      </c>
      <c r="J871" t="s">
        <v>1695</v>
      </c>
      <c r="K871" t="s">
        <v>2</v>
      </c>
      <c r="L871" t="s">
        <v>1696</v>
      </c>
      <c r="M871" t="s">
        <v>535</v>
      </c>
      <c r="N871">
        <v>30305</v>
      </c>
      <c r="O871" t="s">
        <v>1697</v>
      </c>
      <c r="P871" t="s">
        <v>1698</v>
      </c>
      <c r="Q871" t="s">
        <v>1699</v>
      </c>
      <c r="R871">
        <v>414186</v>
      </c>
      <c r="S871" t="s">
        <v>1314</v>
      </c>
      <c r="T871" s="2">
        <v>2</v>
      </c>
      <c r="U871">
        <v>0</v>
      </c>
      <c r="V871" t="s">
        <v>260</v>
      </c>
      <c r="W871">
        <v>0</v>
      </c>
      <c r="X871">
        <v>0</v>
      </c>
      <c r="Y871">
        <v>0</v>
      </c>
      <c r="Z871" t="s">
        <v>88</v>
      </c>
      <c r="AA871" t="s">
        <v>1035</v>
      </c>
      <c r="AB871" t="s">
        <v>10</v>
      </c>
      <c r="AC871">
        <v>0</v>
      </c>
      <c r="AD871">
        <v>0</v>
      </c>
      <c r="AE871">
        <v>726182075170</v>
      </c>
      <c r="AF871">
        <v>5.0199999999999996</v>
      </c>
      <c r="AG871">
        <v>0</v>
      </c>
      <c r="AH871">
        <v>15</v>
      </c>
      <c r="AI871">
        <v>20.02</v>
      </c>
      <c r="AJ871" t="s">
        <v>2</v>
      </c>
      <c r="AK871" t="s">
        <v>11</v>
      </c>
    </row>
    <row r="872" spans="1:37">
      <c r="A872">
        <v>257845</v>
      </c>
      <c r="B872" s="1">
        <v>45366</v>
      </c>
      <c r="C872" t="s">
        <v>1689</v>
      </c>
      <c r="D872" t="s">
        <v>1690</v>
      </c>
      <c r="E872" t="s">
        <v>1691</v>
      </c>
      <c r="F872" t="s">
        <v>1692</v>
      </c>
      <c r="G872" t="s">
        <v>75</v>
      </c>
      <c r="H872" t="s">
        <v>1693</v>
      </c>
      <c r="I872" t="s">
        <v>1694</v>
      </c>
      <c r="J872" t="s">
        <v>1695</v>
      </c>
      <c r="K872" t="s">
        <v>2</v>
      </c>
      <c r="L872" t="s">
        <v>1696</v>
      </c>
      <c r="M872" t="s">
        <v>535</v>
      </c>
      <c r="N872">
        <v>30305</v>
      </c>
      <c r="O872" t="s">
        <v>1697</v>
      </c>
      <c r="P872" t="s">
        <v>1698</v>
      </c>
      <c r="Q872" t="s">
        <v>1699</v>
      </c>
      <c r="R872">
        <v>414186</v>
      </c>
      <c r="S872" t="s">
        <v>1314</v>
      </c>
      <c r="T872" s="2">
        <v>2</v>
      </c>
      <c r="U872">
        <v>0</v>
      </c>
      <c r="V872" t="s">
        <v>260</v>
      </c>
      <c r="W872">
        <v>0</v>
      </c>
      <c r="X872">
        <v>0</v>
      </c>
      <c r="Y872">
        <v>0</v>
      </c>
      <c r="Z872" t="s">
        <v>88</v>
      </c>
      <c r="AA872" t="s">
        <v>1317</v>
      </c>
      <c r="AB872" t="s">
        <v>10</v>
      </c>
      <c r="AC872">
        <v>0</v>
      </c>
      <c r="AD872">
        <v>0</v>
      </c>
      <c r="AE872">
        <v>726182075170</v>
      </c>
      <c r="AF872">
        <v>5.0199999999999996</v>
      </c>
      <c r="AG872">
        <v>0</v>
      </c>
      <c r="AH872">
        <v>15</v>
      </c>
      <c r="AI872">
        <v>20.02</v>
      </c>
      <c r="AJ872" t="s">
        <v>2</v>
      </c>
      <c r="AK872" t="s">
        <v>11</v>
      </c>
    </row>
    <row r="873" spans="1:37">
      <c r="A873">
        <v>257845</v>
      </c>
      <c r="B873" s="1">
        <v>45366</v>
      </c>
      <c r="C873" t="s">
        <v>1689</v>
      </c>
      <c r="D873" t="s">
        <v>1690</v>
      </c>
      <c r="E873" t="s">
        <v>1691</v>
      </c>
      <c r="F873" t="s">
        <v>1692</v>
      </c>
      <c r="G873" t="s">
        <v>75</v>
      </c>
      <c r="H873" t="s">
        <v>1693</v>
      </c>
      <c r="I873" t="s">
        <v>1694</v>
      </c>
      <c r="J873" t="s">
        <v>1695</v>
      </c>
      <c r="K873" t="s">
        <v>2</v>
      </c>
      <c r="L873" t="s">
        <v>1696</v>
      </c>
      <c r="M873" t="s">
        <v>535</v>
      </c>
      <c r="N873">
        <v>30305</v>
      </c>
      <c r="O873" t="s">
        <v>1697</v>
      </c>
      <c r="P873" t="s">
        <v>1698</v>
      </c>
      <c r="Q873" t="s">
        <v>1699</v>
      </c>
      <c r="R873">
        <v>414186</v>
      </c>
      <c r="S873" t="s">
        <v>1314</v>
      </c>
      <c r="T873" s="2">
        <v>2</v>
      </c>
      <c r="U873">
        <v>0</v>
      </c>
      <c r="V873" t="s">
        <v>260</v>
      </c>
      <c r="W873">
        <v>0</v>
      </c>
      <c r="X873">
        <v>0</v>
      </c>
      <c r="Y873">
        <v>0</v>
      </c>
      <c r="Z873" t="s">
        <v>88</v>
      </c>
      <c r="AA873" t="s">
        <v>1035</v>
      </c>
      <c r="AB873" t="s">
        <v>10</v>
      </c>
      <c r="AC873">
        <v>0</v>
      </c>
      <c r="AD873">
        <v>0</v>
      </c>
      <c r="AE873">
        <v>726182075170</v>
      </c>
      <c r="AF873">
        <v>5.0199999999999996</v>
      </c>
      <c r="AG873">
        <v>0</v>
      </c>
      <c r="AH873">
        <v>15</v>
      </c>
      <c r="AI873">
        <v>20.02</v>
      </c>
      <c r="AJ873" t="s">
        <v>2</v>
      </c>
      <c r="AK873" t="s">
        <v>11</v>
      </c>
    </row>
    <row r="874" spans="1:37">
      <c r="A874">
        <v>257846</v>
      </c>
      <c r="B874" s="1">
        <v>45366</v>
      </c>
      <c r="C874" t="s">
        <v>1689</v>
      </c>
      <c r="D874" t="s">
        <v>1690</v>
      </c>
      <c r="E874" t="s">
        <v>1691</v>
      </c>
      <c r="F874" t="s">
        <v>1692</v>
      </c>
      <c r="G874" t="s">
        <v>75</v>
      </c>
      <c r="H874" t="s">
        <v>1693</v>
      </c>
      <c r="I874" t="s">
        <v>1708</v>
      </c>
      <c r="J874" t="s">
        <v>1709</v>
      </c>
      <c r="K874" t="s">
        <v>1710</v>
      </c>
      <c r="L874" t="s">
        <v>1692</v>
      </c>
      <c r="M874" t="s">
        <v>75</v>
      </c>
      <c r="N874">
        <v>55144</v>
      </c>
      <c r="O874" t="s">
        <v>1697</v>
      </c>
      <c r="P874" t="s">
        <v>1711</v>
      </c>
      <c r="Q874" t="s">
        <v>1699</v>
      </c>
      <c r="R874">
        <v>415394</v>
      </c>
      <c r="S874" t="s">
        <v>1314</v>
      </c>
      <c r="T874" s="2">
        <v>10</v>
      </c>
      <c r="U874">
        <v>0</v>
      </c>
      <c r="V874" t="s">
        <v>260</v>
      </c>
      <c r="W874">
        <v>0</v>
      </c>
      <c r="X874">
        <v>0</v>
      </c>
      <c r="Y874">
        <v>0</v>
      </c>
      <c r="Z874" t="s">
        <v>9</v>
      </c>
      <c r="AA874" t="s">
        <v>2</v>
      </c>
      <c r="AB874" t="s">
        <v>10</v>
      </c>
      <c r="AC874">
        <v>0</v>
      </c>
      <c r="AD874">
        <v>0</v>
      </c>
      <c r="AE874">
        <v>726182084303</v>
      </c>
      <c r="AF874">
        <v>24.05</v>
      </c>
      <c r="AG874">
        <v>0</v>
      </c>
      <c r="AH874">
        <v>15</v>
      </c>
      <c r="AI874">
        <v>39.049999999999997</v>
      </c>
      <c r="AJ874" t="s">
        <v>2</v>
      </c>
      <c r="AK874" t="s">
        <v>11</v>
      </c>
    </row>
    <row r="875" spans="1:37">
      <c r="A875">
        <v>257846</v>
      </c>
      <c r="B875" s="1">
        <v>45366</v>
      </c>
      <c r="C875" t="s">
        <v>1689</v>
      </c>
      <c r="D875" t="s">
        <v>1690</v>
      </c>
      <c r="E875" t="s">
        <v>1691</v>
      </c>
      <c r="F875" t="s">
        <v>1692</v>
      </c>
      <c r="G875" t="s">
        <v>75</v>
      </c>
      <c r="H875" t="s">
        <v>1693</v>
      </c>
      <c r="I875" t="s">
        <v>1708</v>
      </c>
      <c r="J875" t="s">
        <v>1709</v>
      </c>
      <c r="K875" t="s">
        <v>1710</v>
      </c>
      <c r="L875" t="s">
        <v>1692</v>
      </c>
      <c r="M875" t="s">
        <v>75</v>
      </c>
      <c r="N875">
        <v>55144</v>
      </c>
      <c r="O875" t="s">
        <v>1697</v>
      </c>
      <c r="P875" t="s">
        <v>1711</v>
      </c>
      <c r="Q875" t="s">
        <v>1699</v>
      </c>
      <c r="R875">
        <v>415394</v>
      </c>
      <c r="S875" t="s">
        <v>1314</v>
      </c>
      <c r="T875" s="2">
        <v>10</v>
      </c>
      <c r="U875">
        <v>0</v>
      </c>
      <c r="V875" t="s">
        <v>260</v>
      </c>
      <c r="W875">
        <v>1</v>
      </c>
      <c r="X875">
        <v>1</v>
      </c>
      <c r="Y875">
        <v>0</v>
      </c>
      <c r="Z875" t="s">
        <v>1712</v>
      </c>
      <c r="AA875" t="s">
        <v>1713</v>
      </c>
      <c r="AB875" t="s">
        <v>14</v>
      </c>
      <c r="AC875">
        <v>2.83</v>
      </c>
      <c r="AD875">
        <v>2.83</v>
      </c>
      <c r="AE875">
        <v>726182084303</v>
      </c>
      <c r="AF875">
        <v>24.05</v>
      </c>
      <c r="AG875">
        <v>0</v>
      </c>
      <c r="AH875">
        <v>15</v>
      </c>
      <c r="AI875">
        <v>39.049999999999997</v>
      </c>
      <c r="AJ875" t="s">
        <v>2</v>
      </c>
      <c r="AK875" t="s">
        <v>11</v>
      </c>
    </row>
    <row r="876" spans="1:37">
      <c r="A876">
        <v>257846</v>
      </c>
      <c r="B876" s="1">
        <v>45366</v>
      </c>
      <c r="C876" t="s">
        <v>1689</v>
      </c>
      <c r="D876" t="s">
        <v>1690</v>
      </c>
      <c r="E876" t="s">
        <v>1691</v>
      </c>
      <c r="F876" t="s">
        <v>1692</v>
      </c>
      <c r="G876" t="s">
        <v>75</v>
      </c>
      <c r="H876" t="s">
        <v>1693</v>
      </c>
      <c r="I876" t="s">
        <v>1708</v>
      </c>
      <c r="J876" t="s">
        <v>1709</v>
      </c>
      <c r="K876" t="s">
        <v>1710</v>
      </c>
      <c r="L876" t="s">
        <v>1692</v>
      </c>
      <c r="M876" t="s">
        <v>75</v>
      </c>
      <c r="N876">
        <v>55144</v>
      </c>
      <c r="O876" t="s">
        <v>1697</v>
      </c>
      <c r="P876" t="s">
        <v>1711</v>
      </c>
      <c r="Q876" t="s">
        <v>1699</v>
      </c>
      <c r="R876">
        <v>415394</v>
      </c>
      <c r="S876" t="s">
        <v>1314</v>
      </c>
      <c r="T876" s="2">
        <v>10</v>
      </c>
      <c r="U876">
        <v>0</v>
      </c>
      <c r="V876" t="s">
        <v>260</v>
      </c>
      <c r="W876">
        <v>0</v>
      </c>
      <c r="X876">
        <v>0</v>
      </c>
      <c r="Y876">
        <v>0</v>
      </c>
      <c r="Z876" t="s">
        <v>88</v>
      </c>
      <c r="AA876" t="s">
        <v>434</v>
      </c>
      <c r="AB876" t="s">
        <v>10</v>
      </c>
      <c r="AC876">
        <v>0</v>
      </c>
      <c r="AD876">
        <v>0</v>
      </c>
      <c r="AE876">
        <v>726182084303</v>
      </c>
      <c r="AF876">
        <v>24.05</v>
      </c>
      <c r="AG876">
        <v>0</v>
      </c>
      <c r="AH876">
        <v>15</v>
      </c>
      <c r="AI876">
        <v>39.049999999999997</v>
      </c>
      <c r="AJ876" t="s">
        <v>2</v>
      </c>
      <c r="AK876" t="s">
        <v>11</v>
      </c>
    </row>
    <row r="877" spans="1:37">
      <c r="A877">
        <v>257846</v>
      </c>
      <c r="B877" s="1">
        <v>45366</v>
      </c>
      <c r="C877" t="s">
        <v>1689</v>
      </c>
      <c r="D877" t="s">
        <v>1690</v>
      </c>
      <c r="E877" t="s">
        <v>1691</v>
      </c>
      <c r="F877" t="s">
        <v>1692</v>
      </c>
      <c r="G877" t="s">
        <v>75</v>
      </c>
      <c r="H877" t="s">
        <v>1693</v>
      </c>
      <c r="I877" t="s">
        <v>1708</v>
      </c>
      <c r="J877" t="s">
        <v>1709</v>
      </c>
      <c r="K877" t="s">
        <v>1710</v>
      </c>
      <c r="L877" t="s">
        <v>1692</v>
      </c>
      <c r="M877" t="s">
        <v>75</v>
      </c>
      <c r="N877">
        <v>55144</v>
      </c>
      <c r="O877" t="s">
        <v>1697</v>
      </c>
      <c r="P877" t="s">
        <v>1711</v>
      </c>
      <c r="Q877" t="s">
        <v>1699</v>
      </c>
      <c r="R877">
        <v>415394</v>
      </c>
      <c r="S877" t="s">
        <v>1314</v>
      </c>
      <c r="T877" s="2">
        <v>10</v>
      </c>
      <c r="U877">
        <v>0</v>
      </c>
      <c r="V877" t="s">
        <v>260</v>
      </c>
      <c r="W877">
        <v>1</v>
      </c>
      <c r="X877">
        <v>1</v>
      </c>
      <c r="Y877">
        <v>0</v>
      </c>
      <c r="Z877" t="s">
        <v>1714</v>
      </c>
      <c r="AA877" t="s">
        <v>1715</v>
      </c>
      <c r="AB877" t="s">
        <v>14</v>
      </c>
      <c r="AC877">
        <v>2.83</v>
      </c>
      <c r="AD877">
        <v>2.83</v>
      </c>
      <c r="AE877">
        <v>726182084303</v>
      </c>
      <c r="AF877">
        <v>24.05</v>
      </c>
      <c r="AG877">
        <v>0</v>
      </c>
      <c r="AH877">
        <v>15</v>
      </c>
      <c r="AI877">
        <v>39.049999999999997</v>
      </c>
      <c r="AJ877" t="s">
        <v>2</v>
      </c>
      <c r="AK877" t="s">
        <v>11</v>
      </c>
    </row>
    <row r="878" spans="1:37">
      <c r="A878">
        <v>257846</v>
      </c>
      <c r="B878" s="1">
        <v>45366</v>
      </c>
      <c r="C878" t="s">
        <v>1689</v>
      </c>
      <c r="D878" t="s">
        <v>1690</v>
      </c>
      <c r="E878" t="s">
        <v>1691</v>
      </c>
      <c r="F878" t="s">
        <v>1692</v>
      </c>
      <c r="G878" t="s">
        <v>75</v>
      </c>
      <c r="H878" t="s">
        <v>1693</v>
      </c>
      <c r="I878" t="s">
        <v>1708</v>
      </c>
      <c r="J878" t="s">
        <v>1709</v>
      </c>
      <c r="K878" t="s">
        <v>1710</v>
      </c>
      <c r="L878" t="s">
        <v>1692</v>
      </c>
      <c r="M878" t="s">
        <v>75</v>
      </c>
      <c r="N878">
        <v>55144</v>
      </c>
      <c r="O878" t="s">
        <v>1697</v>
      </c>
      <c r="P878" t="s">
        <v>1711</v>
      </c>
      <c r="Q878" t="s">
        <v>1699</v>
      </c>
      <c r="R878">
        <v>415394</v>
      </c>
      <c r="S878" t="s">
        <v>1314</v>
      </c>
      <c r="T878" s="2">
        <v>10</v>
      </c>
      <c r="U878">
        <v>0</v>
      </c>
      <c r="V878" t="s">
        <v>260</v>
      </c>
      <c r="W878">
        <v>0</v>
      </c>
      <c r="X878">
        <v>0</v>
      </c>
      <c r="Y878">
        <v>0</v>
      </c>
      <c r="Z878" t="s">
        <v>88</v>
      </c>
      <c r="AA878" t="s">
        <v>434</v>
      </c>
      <c r="AB878" t="s">
        <v>10</v>
      </c>
      <c r="AC878">
        <v>0</v>
      </c>
      <c r="AD878">
        <v>0</v>
      </c>
      <c r="AE878">
        <v>726182084303</v>
      </c>
      <c r="AF878">
        <v>24.05</v>
      </c>
      <c r="AG878">
        <v>0</v>
      </c>
      <c r="AH878">
        <v>15</v>
      </c>
      <c r="AI878">
        <v>39.049999999999997</v>
      </c>
      <c r="AJ878" t="s">
        <v>2</v>
      </c>
      <c r="AK878" t="s">
        <v>11</v>
      </c>
    </row>
    <row r="879" spans="1:37">
      <c r="A879">
        <v>257846</v>
      </c>
      <c r="B879" s="1">
        <v>45366</v>
      </c>
      <c r="C879" t="s">
        <v>1689</v>
      </c>
      <c r="D879" t="s">
        <v>1690</v>
      </c>
      <c r="E879" t="s">
        <v>1691</v>
      </c>
      <c r="F879" t="s">
        <v>1692</v>
      </c>
      <c r="G879" t="s">
        <v>75</v>
      </c>
      <c r="H879" t="s">
        <v>1693</v>
      </c>
      <c r="I879" t="s">
        <v>1708</v>
      </c>
      <c r="J879" t="s">
        <v>1709</v>
      </c>
      <c r="K879" t="s">
        <v>1710</v>
      </c>
      <c r="L879" t="s">
        <v>1692</v>
      </c>
      <c r="M879" t="s">
        <v>75</v>
      </c>
      <c r="N879">
        <v>55144</v>
      </c>
      <c r="O879" t="s">
        <v>1697</v>
      </c>
      <c r="P879" t="s">
        <v>1711</v>
      </c>
      <c r="Q879" t="s">
        <v>1699</v>
      </c>
      <c r="R879">
        <v>415394</v>
      </c>
      <c r="S879" t="s">
        <v>1314</v>
      </c>
      <c r="T879" s="2">
        <v>10</v>
      </c>
      <c r="U879">
        <v>0</v>
      </c>
      <c r="V879" t="s">
        <v>260</v>
      </c>
      <c r="W879">
        <v>1</v>
      </c>
      <c r="X879">
        <v>1</v>
      </c>
      <c r="Y879">
        <v>0</v>
      </c>
      <c r="Z879" t="s">
        <v>1716</v>
      </c>
      <c r="AA879" t="s">
        <v>1717</v>
      </c>
      <c r="AB879" t="s">
        <v>14</v>
      </c>
      <c r="AC879">
        <v>2.83</v>
      </c>
      <c r="AD879">
        <v>2.83</v>
      </c>
      <c r="AE879">
        <v>726182084303</v>
      </c>
      <c r="AF879">
        <v>24.05</v>
      </c>
      <c r="AG879">
        <v>0</v>
      </c>
      <c r="AH879">
        <v>15</v>
      </c>
      <c r="AI879">
        <v>39.049999999999997</v>
      </c>
      <c r="AJ879" t="s">
        <v>2</v>
      </c>
      <c r="AK879" t="s">
        <v>11</v>
      </c>
    </row>
    <row r="880" spans="1:37">
      <c r="A880">
        <v>257846</v>
      </c>
      <c r="B880" s="1">
        <v>45366</v>
      </c>
      <c r="C880" t="s">
        <v>1689</v>
      </c>
      <c r="D880" t="s">
        <v>1690</v>
      </c>
      <c r="E880" t="s">
        <v>1691</v>
      </c>
      <c r="F880" t="s">
        <v>1692</v>
      </c>
      <c r="G880" t="s">
        <v>75</v>
      </c>
      <c r="H880" t="s">
        <v>1693</v>
      </c>
      <c r="I880" t="s">
        <v>1708</v>
      </c>
      <c r="J880" t="s">
        <v>1709</v>
      </c>
      <c r="K880" t="s">
        <v>1710</v>
      </c>
      <c r="L880" t="s">
        <v>1692</v>
      </c>
      <c r="M880" t="s">
        <v>75</v>
      </c>
      <c r="N880">
        <v>55144</v>
      </c>
      <c r="O880" t="s">
        <v>1697</v>
      </c>
      <c r="P880" t="s">
        <v>1711</v>
      </c>
      <c r="Q880" t="s">
        <v>1699</v>
      </c>
      <c r="R880">
        <v>415394</v>
      </c>
      <c r="S880" t="s">
        <v>1314</v>
      </c>
      <c r="T880" s="2">
        <v>10</v>
      </c>
      <c r="U880">
        <v>0</v>
      </c>
      <c r="V880" t="s">
        <v>260</v>
      </c>
      <c r="W880">
        <v>0</v>
      </c>
      <c r="X880">
        <v>0</v>
      </c>
      <c r="Y880">
        <v>0</v>
      </c>
      <c r="Z880" t="s">
        <v>88</v>
      </c>
      <c r="AA880" t="s">
        <v>434</v>
      </c>
      <c r="AB880" t="s">
        <v>10</v>
      </c>
      <c r="AC880">
        <v>0</v>
      </c>
      <c r="AD880">
        <v>0</v>
      </c>
      <c r="AE880">
        <v>726182084303</v>
      </c>
      <c r="AF880">
        <v>24.05</v>
      </c>
      <c r="AG880">
        <v>0</v>
      </c>
      <c r="AH880">
        <v>15</v>
      </c>
      <c r="AI880">
        <v>39.049999999999997</v>
      </c>
      <c r="AJ880" t="s">
        <v>2</v>
      </c>
      <c r="AK880" t="s">
        <v>11</v>
      </c>
    </row>
    <row r="881" spans="1:37">
      <c r="A881">
        <v>257846</v>
      </c>
      <c r="B881" s="1">
        <v>45366</v>
      </c>
      <c r="C881" t="s">
        <v>1689</v>
      </c>
      <c r="D881" t="s">
        <v>1690</v>
      </c>
      <c r="E881" t="s">
        <v>1691</v>
      </c>
      <c r="F881" t="s">
        <v>1692</v>
      </c>
      <c r="G881" t="s">
        <v>75</v>
      </c>
      <c r="H881" t="s">
        <v>1693</v>
      </c>
      <c r="I881" t="s">
        <v>1708</v>
      </c>
      <c r="J881" t="s">
        <v>1709</v>
      </c>
      <c r="K881" t="s">
        <v>1710</v>
      </c>
      <c r="L881" t="s">
        <v>1692</v>
      </c>
      <c r="M881" t="s">
        <v>75</v>
      </c>
      <c r="N881">
        <v>55144</v>
      </c>
      <c r="O881" t="s">
        <v>1697</v>
      </c>
      <c r="P881" t="s">
        <v>1711</v>
      </c>
      <c r="Q881" t="s">
        <v>1699</v>
      </c>
      <c r="R881">
        <v>415394</v>
      </c>
      <c r="S881" t="s">
        <v>1314</v>
      </c>
      <c r="T881" s="2">
        <v>10</v>
      </c>
      <c r="U881">
        <v>0</v>
      </c>
      <c r="V881" t="s">
        <v>260</v>
      </c>
      <c r="W881">
        <v>1</v>
      </c>
      <c r="X881">
        <v>1</v>
      </c>
      <c r="Y881">
        <v>0</v>
      </c>
      <c r="Z881" t="s">
        <v>1718</v>
      </c>
      <c r="AA881" t="s">
        <v>1719</v>
      </c>
      <c r="AB881" t="s">
        <v>14</v>
      </c>
      <c r="AC881">
        <v>2.99</v>
      </c>
      <c r="AD881">
        <v>2.99</v>
      </c>
      <c r="AE881">
        <v>726182084303</v>
      </c>
      <c r="AF881">
        <v>24.05</v>
      </c>
      <c r="AG881">
        <v>0</v>
      </c>
      <c r="AH881">
        <v>15</v>
      </c>
      <c r="AI881">
        <v>39.049999999999997</v>
      </c>
      <c r="AJ881" t="s">
        <v>2</v>
      </c>
      <c r="AK881" t="s">
        <v>11</v>
      </c>
    </row>
    <row r="882" spans="1:37">
      <c r="A882">
        <v>257846</v>
      </c>
      <c r="B882" s="1">
        <v>45366</v>
      </c>
      <c r="C882" t="s">
        <v>1689</v>
      </c>
      <c r="D882" t="s">
        <v>1690</v>
      </c>
      <c r="E882" t="s">
        <v>1691</v>
      </c>
      <c r="F882" t="s">
        <v>1692</v>
      </c>
      <c r="G882" t="s">
        <v>75</v>
      </c>
      <c r="H882" t="s">
        <v>1693</v>
      </c>
      <c r="I882" t="s">
        <v>1708</v>
      </c>
      <c r="J882" t="s">
        <v>1709</v>
      </c>
      <c r="K882" t="s">
        <v>1710</v>
      </c>
      <c r="L882" t="s">
        <v>1692</v>
      </c>
      <c r="M882" t="s">
        <v>75</v>
      </c>
      <c r="N882">
        <v>55144</v>
      </c>
      <c r="O882" t="s">
        <v>1697</v>
      </c>
      <c r="P882" t="s">
        <v>1711</v>
      </c>
      <c r="Q882" t="s">
        <v>1699</v>
      </c>
      <c r="R882">
        <v>415394</v>
      </c>
      <c r="S882" t="s">
        <v>1314</v>
      </c>
      <c r="T882" s="2">
        <v>10</v>
      </c>
      <c r="U882">
        <v>0</v>
      </c>
      <c r="V882" t="s">
        <v>260</v>
      </c>
      <c r="W882">
        <v>0</v>
      </c>
      <c r="X882">
        <v>0</v>
      </c>
      <c r="Y882">
        <v>0</v>
      </c>
      <c r="Z882" t="s">
        <v>88</v>
      </c>
      <c r="AA882" t="s">
        <v>1720</v>
      </c>
      <c r="AB882" t="s">
        <v>10</v>
      </c>
      <c r="AC882">
        <v>0</v>
      </c>
      <c r="AD882">
        <v>0</v>
      </c>
      <c r="AE882">
        <v>726182084303</v>
      </c>
      <c r="AF882">
        <v>24.05</v>
      </c>
      <c r="AG882">
        <v>0</v>
      </c>
      <c r="AH882">
        <v>15</v>
      </c>
      <c r="AI882">
        <v>39.049999999999997</v>
      </c>
      <c r="AJ882" t="s">
        <v>2</v>
      </c>
      <c r="AK882" t="s">
        <v>11</v>
      </c>
    </row>
    <row r="883" spans="1:37">
      <c r="A883">
        <v>257846</v>
      </c>
      <c r="B883" s="1">
        <v>45366</v>
      </c>
      <c r="C883" t="s">
        <v>1689</v>
      </c>
      <c r="D883" t="s">
        <v>1690</v>
      </c>
      <c r="E883" t="s">
        <v>1691</v>
      </c>
      <c r="F883" t="s">
        <v>1692</v>
      </c>
      <c r="G883" t="s">
        <v>75</v>
      </c>
      <c r="H883" t="s">
        <v>1693</v>
      </c>
      <c r="I883" t="s">
        <v>1708</v>
      </c>
      <c r="J883" t="s">
        <v>1709</v>
      </c>
      <c r="K883" t="s">
        <v>1710</v>
      </c>
      <c r="L883" t="s">
        <v>1692</v>
      </c>
      <c r="M883" t="s">
        <v>75</v>
      </c>
      <c r="N883">
        <v>55144</v>
      </c>
      <c r="O883" t="s">
        <v>1697</v>
      </c>
      <c r="P883" t="s">
        <v>1711</v>
      </c>
      <c r="Q883" t="s">
        <v>1699</v>
      </c>
      <c r="R883">
        <v>415394</v>
      </c>
      <c r="S883" t="s">
        <v>1314</v>
      </c>
      <c r="T883" s="2">
        <v>10</v>
      </c>
      <c r="U883">
        <v>0</v>
      </c>
      <c r="V883" t="s">
        <v>260</v>
      </c>
      <c r="W883">
        <v>1</v>
      </c>
      <c r="X883">
        <v>1</v>
      </c>
      <c r="Y883">
        <v>0</v>
      </c>
      <c r="Z883" t="s">
        <v>1721</v>
      </c>
      <c r="AA883" t="s">
        <v>1722</v>
      </c>
      <c r="AB883" t="s">
        <v>14</v>
      </c>
      <c r="AC883">
        <v>2.29</v>
      </c>
      <c r="AD883">
        <v>2.29</v>
      </c>
      <c r="AE883">
        <v>726182084303</v>
      </c>
      <c r="AF883">
        <v>24.05</v>
      </c>
      <c r="AG883">
        <v>0</v>
      </c>
      <c r="AH883">
        <v>15</v>
      </c>
      <c r="AI883">
        <v>39.049999999999997</v>
      </c>
      <c r="AJ883" t="s">
        <v>2</v>
      </c>
      <c r="AK883" t="s">
        <v>11</v>
      </c>
    </row>
    <row r="884" spans="1:37">
      <c r="A884">
        <v>257846</v>
      </c>
      <c r="B884" s="1">
        <v>45366</v>
      </c>
      <c r="C884" t="s">
        <v>1689</v>
      </c>
      <c r="D884" t="s">
        <v>1690</v>
      </c>
      <c r="E884" t="s">
        <v>1691</v>
      </c>
      <c r="F884" t="s">
        <v>1692</v>
      </c>
      <c r="G884" t="s">
        <v>75</v>
      </c>
      <c r="H884" t="s">
        <v>1693</v>
      </c>
      <c r="I884" t="s">
        <v>1708</v>
      </c>
      <c r="J884" t="s">
        <v>1709</v>
      </c>
      <c r="K884" t="s">
        <v>1710</v>
      </c>
      <c r="L884" t="s">
        <v>1692</v>
      </c>
      <c r="M884" t="s">
        <v>75</v>
      </c>
      <c r="N884">
        <v>55144</v>
      </c>
      <c r="O884" t="s">
        <v>1697</v>
      </c>
      <c r="P884" t="s">
        <v>1711</v>
      </c>
      <c r="Q884" t="s">
        <v>1699</v>
      </c>
      <c r="R884">
        <v>415394</v>
      </c>
      <c r="S884" t="s">
        <v>1314</v>
      </c>
      <c r="T884" s="2">
        <v>10</v>
      </c>
      <c r="U884">
        <v>0</v>
      </c>
      <c r="V884" t="s">
        <v>260</v>
      </c>
      <c r="W884">
        <v>0</v>
      </c>
      <c r="X884">
        <v>0</v>
      </c>
      <c r="Y884">
        <v>0</v>
      </c>
      <c r="Z884" t="s">
        <v>88</v>
      </c>
      <c r="AA884" t="s">
        <v>1723</v>
      </c>
      <c r="AB884" t="s">
        <v>10</v>
      </c>
      <c r="AC884">
        <v>0</v>
      </c>
      <c r="AD884">
        <v>0</v>
      </c>
      <c r="AE884">
        <v>726182084303</v>
      </c>
      <c r="AF884">
        <v>24.05</v>
      </c>
      <c r="AG884">
        <v>0</v>
      </c>
      <c r="AH884">
        <v>15</v>
      </c>
      <c r="AI884">
        <v>39.049999999999997</v>
      </c>
      <c r="AJ884" t="s">
        <v>2</v>
      </c>
      <c r="AK884" t="s">
        <v>11</v>
      </c>
    </row>
    <row r="885" spans="1:37">
      <c r="A885">
        <v>257846</v>
      </c>
      <c r="B885" s="1">
        <v>45366</v>
      </c>
      <c r="C885" t="s">
        <v>1689</v>
      </c>
      <c r="D885" t="s">
        <v>1690</v>
      </c>
      <c r="E885" t="s">
        <v>1691</v>
      </c>
      <c r="F885" t="s">
        <v>1692</v>
      </c>
      <c r="G885" t="s">
        <v>75</v>
      </c>
      <c r="H885" t="s">
        <v>1693</v>
      </c>
      <c r="I885" t="s">
        <v>1708</v>
      </c>
      <c r="J885" t="s">
        <v>1709</v>
      </c>
      <c r="K885" t="s">
        <v>1710</v>
      </c>
      <c r="L885" t="s">
        <v>1692</v>
      </c>
      <c r="M885" t="s">
        <v>75</v>
      </c>
      <c r="N885">
        <v>55144</v>
      </c>
      <c r="O885" t="s">
        <v>1697</v>
      </c>
      <c r="P885" t="s">
        <v>1711</v>
      </c>
      <c r="Q885" t="s">
        <v>1699</v>
      </c>
      <c r="R885">
        <v>415394</v>
      </c>
      <c r="S885" t="s">
        <v>1314</v>
      </c>
      <c r="T885" s="2">
        <v>10</v>
      </c>
      <c r="U885">
        <v>0</v>
      </c>
      <c r="V885" t="s">
        <v>260</v>
      </c>
      <c r="W885">
        <v>1</v>
      </c>
      <c r="X885">
        <v>1</v>
      </c>
      <c r="Y885">
        <v>0</v>
      </c>
      <c r="Z885" t="s">
        <v>1724</v>
      </c>
      <c r="AA885" t="s">
        <v>1725</v>
      </c>
      <c r="AB885" t="s">
        <v>14</v>
      </c>
      <c r="AC885">
        <v>2.29</v>
      </c>
      <c r="AD885">
        <v>2.29</v>
      </c>
      <c r="AE885">
        <v>726182084303</v>
      </c>
      <c r="AF885">
        <v>24.05</v>
      </c>
      <c r="AG885">
        <v>0</v>
      </c>
      <c r="AH885">
        <v>15</v>
      </c>
      <c r="AI885">
        <v>39.049999999999997</v>
      </c>
      <c r="AJ885" t="s">
        <v>2</v>
      </c>
      <c r="AK885" t="s">
        <v>11</v>
      </c>
    </row>
    <row r="886" spans="1:37">
      <c r="A886">
        <v>257846</v>
      </c>
      <c r="B886" s="1">
        <v>45366</v>
      </c>
      <c r="C886" t="s">
        <v>1689</v>
      </c>
      <c r="D886" t="s">
        <v>1690</v>
      </c>
      <c r="E886" t="s">
        <v>1691</v>
      </c>
      <c r="F886" t="s">
        <v>1692</v>
      </c>
      <c r="G886" t="s">
        <v>75</v>
      </c>
      <c r="H886" t="s">
        <v>1693</v>
      </c>
      <c r="I886" t="s">
        <v>1708</v>
      </c>
      <c r="J886" t="s">
        <v>1709</v>
      </c>
      <c r="K886" t="s">
        <v>1710</v>
      </c>
      <c r="L886" t="s">
        <v>1692</v>
      </c>
      <c r="M886" t="s">
        <v>75</v>
      </c>
      <c r="N886">
        <v>55144</v>
      </c>
      <c r="O886" t="s">
        <v>1697</v>
      </c>
      <c r="P886" t="s">
        <v>1711</v>
      </c>
      <c r="Q886" t="s">
        <v>1699</v>
      </c>
      <c r="R886">
        <v>415394</v>
      </c>
      <c r="S886" t="s">
        <v>1314</v>
      </c>
      <c r="T886" s="2">
        <v>10</v>
      </c>
      <c r="U886">
        <v>0</v>
      </c>
      <c r="V886" t="s">
        <v>260</v>
      </c>
      <c r="W886">
        <v>0</v>
      </c>
      <c r="X886">
        <v>0</v>
      </c>
      <c r="Y886">
        <v>0</v>
      </c>
      <c r="Z886" t="s">
        <v>88</v>
      </c>
      <c r="AA886" t="s">
        <v>1723</v>
      </c>
      <c r="AB886" t="s">
        <v>10</v>
      </c>
      <c r="AC886">
        <v>0</v>
      </c>
      <c r="AD886">
        <v>0</v>
      </c>
      <c r="AE886">
        <v>726182084303</v>
      </c>
      <c r="AF886">
        <v>24.05</v>
      </c>
      <c r="AG886">
        <v>0</v>
      </c>
      <c r="AH886">
        <v>15</v>
      </c>
      <c r="AI886">
        <v>39.049999999999997</v>
      </c>
      <c r="AJ886" t="s">
        <v>2</v>
      </c>
      <c r="AK886" t="s">
        <v>11</v>
      </c>
    </row>
    <row r="887" spans="1:37">
      <c r="A887">
        <v>257846</v>
      </c>
      <c r="B887" s="1">
        <v>45366</v>
      </c>
      <c r="C887" t="s">
        <v>1689</v>
      </c>
      <c r="D887" t="s">
        <v>1690</v>
      </c>
      <c r="E887" t="s">
        <v>1691</v>
      </c>
      <c r="F887" t="s">
        <v>1692</v>
      </c>
      <c r="G887" t="s">
        <v>75</v>
      </c>
      <c r="H887" t="s">
        <v>1693</v>
      </c>
      <c r="I887" t="s">
        <v>1708</v>
      </c>
      <c r="J887" t="s">
        <v>1709</v>
      </c>
      <c r="K887" t="s">
        <v>1710</v>
      </c>
      <c r="L887" t="s">
        <v>1692</v>
      </c>
      <c r="M887" t="s">
        <v>75</v>
      </c>
      <c r="N887">
        <v>55144</v>
      </c>
      <c r="O887" t="s">
        <v>1697</v>
      </c>
      <c r="P887" t="s">
        <v>1711</v>
      </c>
      <c r="Q887" t="s">
        <v>1699</v>
      </c>
      <c r="R887">
        <v>415394</v>
      </c>
      <c r="S887" t="s">
        <v>1314</v>
      </c>
      <c r="T887" s="2">
        <v>10</v>
      </c>
      <c r="U887">
        <v>0</v>
      </c>
      <c r="V887" t="s">
        <v>260</v>
      </c>
      <c r="W887">
        <v>1</v>
      </c>
      <c r="X887">
        <v>0</v>
      </c>
      <c r="Y887">
        <v>1</v>
      </c>
      <c r="Z887" t="s">
        <v>1726</v>
      </c>
      <c r="AA887" t="s">
        <v>1727</v>
      </c>
      <c r="AB887" t="s">
        <v>14</v>
      </c>
      <c r="AC887">
        <v>2.29</v>
      </c>
      <c r="AD887">
        <v>0</v>
      </c>
      <c r="AE887">
        <v>726182084303</v>
      </c>
      <c r="AF887">
        <v>24.05</v>
      </c>
      <c r="AG887">
        <v>0</v>
      </c>
      <c r="AH887">
        <v>15</v>
      </c>
      <c r="AI887">
        <v>39.049999999999997</v>
      </c>
      <c r="AJ887" t="s">
        <v>2</v>
      </c>
      <c r="AK887" t="s">
        <v>11</v>
      </c>
    </row>
    <row r="888" spans="1:37">
      <c r="A888">
        <v>257846</v>
      </c>
      <c r="B888" s="1">
        <v>45366</v>
      </c>
      <c r="C888" t="s">
        <v>1689</v>
      </c>
      <c r="D888" t="s">
        <v>1690</v>
      </c>
      <c r="E888" t="s">
        <v>1691</v>
      </c>
      <c r="F888" t="s">
        <v>1692</v>
      </c>
      <c r="G888" t="s">
        <v>75</v>
      </c>
      <c r="H888" t="s">
        <v>1693</v>
      </c>
      <c r="I888" t="s">
        <v>1708</v>
      </c>
      <c r="J888" t="s">
        <v>1709</v>
      </c>
      <c r="K888" t="s">
        <v>1710</v>
      </c>
      <c r="L888" t="s">
        <v>1692</v>
      </c>
      <c r="M888" t="s">
        <v>75</v>
      </c>
      <c r="N888">
        <v>55144</v>
      </c>
      <c r="O888" t="s">
        <v>1697</v>
      </c>
      <c r="P888" t="s">
        <v>1711</v>
      </c>
      <c r="Q888" t="s">
        <v>1699</v>
      </c>
      <c r="R888">
        <v>415394</v>
      </c>
      <c r="S888" t="s">
        <v>1314</v>
      </c>
      <c r="T888" s="2">
        <v>10</v>
      </c>
      <c r="U888">
        <v>0</v>
      </c>
      <c r="V888" t="s">
        <v>260</v>
      </c>
      <c r="W888">
        <v>0</v>
      </c>
      <c r="X888">
        <v>0</v>
      </c>
      <c r="Y888">
        <v>0</v>
      </c>
      <c r="Z888" t="s">
        <v>88</v>
      </c>
      <c r="AA888" t="s">
        <v>1723</v>
      </c>
      <c r="AB888" t="s">
        <v>10</v>
      </c>
      <c r="AC888">
        <v>0</v>
      </c>
      <c r="AD888">
        <v>0</v>
      </c>
      <c r="AE888">
        <v>726182084303</v>
      </c>
      <c r="AF888">
        <v>24.05</v>
      </c>
      <c r="AG888">
        <v>0</v>
      </c>
      <c r="AH888">
        <v>15</v>
      </c>
      <c r="AI888">
        <v>39.049999999999997</v>
      </c>
      <c r="AJ888" t="s">
        <v>2</v>
      </c>
      <c r="AK888" t="s">
        <v>11</v>
      </c>
    </row>
    <row r="889" spans="1:37">
      <c r="A889">
        <v>257846</v>
      </c>
      <c r="B889" s="1">
        <v>45366</v>
      </c>
      <c r="C889" t="s">
        <v>1689</v>
      </c>
      <c r="D889" t="s">
        <v>1690</v>
      </c>
      <c r="E889" t="s">
        <v>1691</v>
      </c>
      <c r="F889" t="s">
        <v>1692</v>
      </c>
      <c r="G889" t="s">
        <v>75</v>
      </c>
      <c r="H889" t="s">
        <v>1693</v>
      </c>
      <c r="I889" t="s">
        <v>1708</v>
      </c>
      <c r="J889" t="s">
        <v>1709</v>
      </c>
      <c r="K889" t="s">
        <v>1710</v>
      </c>
      <c r="L889" t="s">
        <v>1692</v>
      </c>
      <c r="M889" t="s">
        <v>75</v>
      </c>
      <c r="N889">
        <v>55144</v>
      </c>
      <c r="O889" t="s">
        <v>1697</v>
      </c>
      <c r="P889" t="s">
        <v>1711</v>
      </c>
      <c r="Q889" t="s">
        <v>1699</v>
      </c>
      <c r="R889">
        <v>415394</v>
      </c>
      <c r="S889" t="s">
        <v>1314</v>
      </c>
      <c r="T889" s="2">
        <v>10</v>
      </c>
      <c r="U889">
        <v>0</v>
      </c>
      <c r="V889" t="s">
        <v>260</v>
      </c>
      <c r="W889">
        <v>1</v>
      </c>
      <c r="X889">
        <v>1</v>
      </c>
      <c r="Y889">
        <v>0</v>
      </c>
      <c r="Z889" t="s">
        <v>1728</v>
      </c>
      <c r="AA889" t="s">
        <v>1729</v>
      </c>
      <c r="AB889" t="s">
        <v>14</v>
      </c>
      <c r="AC889">
        <v>2.29</v>
      </c>
      <c r="AD889">
        <v>2.29</v>
      </c>
      <c r="AE889">
        <v>726182084303</v>
      </c>
      <c r="AF889">
        <v>24.05</v>
      </c>
      <c r="AG889">
        <v>0</v>
      </c>
      <c r="AH889">
        <v>15</v>
      </c>
      <c r="AI889">
        <v>39.049999999999997</v>
      </c>
      <c r="AJ889" t="s">
        <v>2</v>
      </c>
      <c r="AK889" t="s">
        <v>11</v>
      </c>
    </row>
    <row r="890" spans="1:37">
      <c r="A890">
        <v>257846</v>
      </c>
      <c r="B890" s="1">
        <v>45366</v>
      </c>
      <c r="C890" t="s">
        <v>1689</v>
      </c>
      <c r="D890" t="s">
        <v>1690</v>
      </c>
      <c r="E890" t="s">
        <v>1691</v>
      </c>
      <c r="F890" t="s">
        <v>1692</v>
      </c>
      <c r="G890" t="s">
        <v>75</v>
      </c>
      <c r="H890" t="s">
        <v>1693</v>
      </c>
      <c r="I890" t="s">
        <v>1708</v>
      </c>
      <c r="J890" t="s">
        <v>1709</v>
      </c>
      <c r="K890" t="s">
        <v>1710</v>
      </c>
      <c r="L890" t="s">
        <v>1692</v>
      </c>
      <c r="M890" t="s">
        <v>75</v>
      </c>
      <c r="N890">
        <v>55144</v>
      </c>
      <c r="O890" t="s">
        <v>1697</v>
      </c>
      <c r="P890" t="s">
        <v>1711</v>
      </c>
      <c r="Q890" t="s">
        <v>1699</v>
      </c>
      <c r="R890">
        <v>415394</v>
      </c>
      <c r="S890" t="s">
        <v>1314</v>
      </c>
      <c r="T890" s="2">
        <v>10</v>
      </c>
      <c r="U890">
        <v>0</v>
      </c>
      <c r="V890" t="s">
        <v>260</v>
      </c>
      <c r="W890">
        <v>0</v>
      </c>
      <c r="X890">
        <v>0</v>
      </c>
      <c r="Y890">
        <v>0</v>
      </c>
      <c r="Z890" t="s">
        <v>88</v>
      </c>
      <c r="AA890" t="s">
        <v>1723</v>
      </c>
      <c r="AB890" t="s">
        <v>10</v>
      </c>
      <c r="AC890">
        <v>0</v>
      </c>
      <c r="AD890">
        <v>0</v>
      </c>
      <c r="AE890">
        <v>726182084303</v>
      </c>
      <c r="AF890">
        <v>24.05</v>
      </c>
      <c r="AG890">
        <v>0</v>
      </c>
      <c r="AH890">
        <v>15</v>
      </c>
      <c r="AI890">
        <v>39.049999999999997</v>
      </c>
      <c r="AJ890" t="s">
        <v>2</v>
      </c>
      <c r="AK890" t="s">
        <v>11</v>
      </c>
    </row>
    <row r="891" spans="1:37">
      <c r="A891">
        <v>257846</v>
      </c>
      <c r="B891" s="1">
        <v>45366</v>
      </c>
      <c r="C891" t="s">
        <v>1689</v>
      </c>
      <c r="D891" t="s">
        <v>1690</v>
      </c>
      <c r="E891" t="s">
        <v>1691</v>
      </c>
      <c r="F891" t="s">
        <v>1692</v>
      </c>
      <c r="G891" t="s">
        <v>75</v>
      </c>
      <c r="H891" t="s">
        <v>1693</v>
      </c>
      <c r="I891" t="s">
        <v>1708</v>
      </c>
      <c r="J891" t="s">
        <v>1709</v>
      </c>
      <c r="K891" t="s">
        <v>1710</v>
      </c>
      <c r="L891" t="s">
        <v>1692</v>
      </c>
      <c r="M891" t="s">
        <v>75</v>
      </c>
      <c r="N891">
        <v>55144</v>
      </c>
      <c r="O891" t="s">
        <v>1697</v>
      </c>
      <c r="P891" t="s">
        <v>1711</v>
      </c>
      <c r="Q891" t="s">
        <v>1699</v>
      </c>
      <c r="R891">
        <v>415394</v>
      </c>
      <c r="S891" t="s">
        <v>1314</v>
      </c>
      <c r="T891" s="2">
        <v>10</v>
      </c>
      <c r="U891">
        <v>0</v>
      </c>
      <c r="V891" t="s">
        <v>260</v>
      </c>
      <c r="W891">
        <v>1</v>
      </c>
      <c r="X891">
        <v>1</v>
      </c>
      <c r="Y891">
        <v>0</v>
      </c>
      <c r="Z891" t="s">
        <v>1730</v>
      </c>
      <c r="AA891" t="s">
        <v>1731</v>
      </c>
      <c r="AB891" t="s">
        <v>14</v>
      </c>
      <c r="AC891">
        <v>1.9</v>
      </c>
      <c r="AD891">
        <v>1.9</v>
      </c>
      <c r="AE891">
        <v>726182084303</v>
      </c>
      <c r="AF891">
        <v>24.05</v>
      </c>
      <c r="AG891">
        <v>0</v>
      </c>
      <c r="AH891">
        <v>15</v>
      </c>
      <c r="AI891">
        <v>39.049999999999997</v>
      </c>
      <c r="AJ891" t="s">
        <v>2</v>
      </c>
      <c r="AK891" t="s">
        <v>11</v>
      </c>
    </row>
    <row r="892" spans="1:37">
      <c r="A892">
        <v>257846</v>
      </c>
      <c r="B892" s="1">
        <v>45366</v>
      </c>
      <c r="C892" t="s">
        <v>1689</v>
      </c>
      <c r="D892" t="s">
        <v>1690</v>
      </c>
      <c r="E892" t="s">
        <v>1691</v>
      </c>
      <c r="F892" t="s">
        <v>1692</v>
      </c>
      <c r="G892" t="s">
        <v>75</v>
      </c>
      <c r="H892" t="s">
        <v>1693</v>
      </c>
      <c r="I892" t="s">
        <v>1708</v>
      </c>
      <c r="J892" t="s">
        <v>1709</v>
      </c>
      <c r="K892" t="s">
        <v>1710</v>
      </c>
      <c r="L892" t="s">
        <v>1692</v>
      </c>
      <c r="M892" t="s">
        <v>75</v>
      </c>
      <c r="N892">
        <v>55144</v>
      </c>
      <c r="O892" t="s">
        <v>1697</v>
      </c>
      <c r="P892" t="s">
        <v>1711</v>
      </c>
      <c r="Q892" t="s">
        <v>1699</v>
      </c>
      <c r="R892">
        <v>415394</v>
      </c>
      <c r="S892" t="s">
        <v>1314</v>
      </c>
      <c r="T892" s="2">
        <v>10</v>
      </c>
      <c r="U892">
        <v>0</v>
      </c>
      <c r="V892" t="s">
        <v>260</v>
      </c>
      <c r="W892">
        <v>0</v>
      </c>
      <c r="X892">
        <v>0</v>
      </c>
      <c r="Y892">
        <v>0</v>
      </c>
      <c r="Z892" t="s">
        <v>88</v>
      </c>
      <c r="AA892" t="s">
        <v>1732</v>
      </c>
      <c r="AB892" t="s">
        <v>10</v>
      </c>
      <c r="AC892">
        <v>0</v>
      </c>
      <c r="AD892">
        <v>0</v>
      </c>
      <c r="AE892">
        <v>726182084303</v>
      </c>
      <c r="AF892">
        <v>24.05</v>
      </c>
      <c r="AG892">
        <v>0</v>
      </c>
      <c r="AH892">
        <v>15</v>
      </c>
      <c r="AI892">
        <v>39.049999999999997</v>
      </c>
      <c r="AJ892" t="s">
        <v>2</v>
      </c>
      <c r="AK892" t="s">
        <v>11</v>
      </c>
    </row>
    <row r="893" spans="1:37">
      <c r="A893">
        <v>257846</v>
      </c>
      <c r="B893" s="1">
        <v>45366</v>
      </c>
      <c r="C893" t="s">
        <v>1689</v>
      </c>
      <c r="D893" t="s">
        <v>1690</v>
      </c>
      <c r="E893" t="s">
        <v>1691</v>
      </c>
      <c r="F893" t="s">
        <v>1692</v>
      </c>
      <c r="G893" t="s">
        <v>75</v>
      </c>
      <c r="H893" t="s">
        <v>1693</v>
      </c>
      <c r="I893" t="s">
        <v>1708</v>
      </c>
      <c r="J893" t="s">
        <v>1709</v>
      </c>
      <c r="K893" t="s">
        <v>1710</v>
      </c>
      <c r="L893" t="s">
        <v>1692</v>
      </c>
      <c r="M893" t="s">
        <v>75</v>
      </c>
      <c r="N893">
        <v>55144</v>
      </c>
      <c r="O893" t="s">
        <v>1697</v>
      </c>
      <c r="P893" t="s">
        <v>1711</v>
      </c>
      <c r="Q893" t="s">
        <v>1699</v>
      </c>
      <c r="R893">
        <v>415394</v>
      </c>
      <c r="S893" t="s">
        <v>1314</v>
      </c>
      <c r="T893" s="2">
        <v>10</v>
      </c>
      <c r="U893">
        <v>0</v>
      </c>
      <c r="V893" t="s">
        <v>260</v>
      </c>
      <c r="W893">
        <v>1</v>
      </c>
      <c r="X893">
        <v>1</v>
      </c>
      <c r="Y893">
        <v>0</v>
      </c>
      <c r="Z893" t="s">
        <v>1733</v>
      </c>
      <c r="AA893" t="s">
        <v>1734</v>
      </c>
      <c r="AB893" t="s">
        <v>14</v>
      </c>
      <c r="AC893">
        <v>1.9</v>
      </c>
      <c r="AD893">
        <v>1.9</v>
      </c>
      <c r="AE893">
        <v>726182084303</v>
      </c>
      <c r="AF893">
        <v>24.05</v>
      </c>
      <c r="AG893">
        <v>0</v>
      </c>
      <c r="AH893">
        <v>15</v>
      </c>
      <c r="AI893">
        <v>39.049999999999997</v>
      </c>
      <c r="AJ893" t="s">
        <v>2</v>
      </c>
      <c r="AK893" t="s">
        <v>11</v>
      </c>
    </row>
    <row r="894" spans="1:37">
      <c r="A894">
        <v>257846</v>
      </c>
      <c r="B894" s="1">
        <v>45366</v>
      </c>
      <c r="C894" t="s">
        <v>1689</v>
      </c>
      <c r="D894" t="s">
        <v>1690</v>
      </c>
      <c r="E894" t="s">
        <v>1691</v>
      </c>
      <c r="F894" t="s">
        <v>1692</v>
      </c>
      <c r="G894" t="s">
        <v>75</v>
      </c>
      <c r="H894" t="s">
        <v>1693</v>
      </c>
      <c r="I894" t="s">
        <v>1708</v>
      </c>
      <c r="J894" t="s">
        <v>1709</v>
      </c>
      <c r="K894" t="s">
        <v>1710</v>
      </c>
      <c r="L894" t="s">
        <v>1692</v>
      </c>
      <c r="M894" t="s">
        <v>75</v>
      </c>
      <c r="N894">
        <v>55144</v>
      </c>
      <c r="O894" t="s">
        <v>1697</v>
      </c>
      <c r="P894" t="s">
        <v>1711</v>
      </c>
      <c r="Q894" t="s">
        <v>1699</v>
      </c>
      <c r="R894">
        <v>415394</v>
      </c>
      <c r="S894" t="s">
        <v>1314</v>
      </c>
      <c r="T894" s="2">
        <v>10</v>
      </c>
      <c r="U894">
        <v>0</v>
      </c>
      <c r="V894" t="s">
        <v>260</v>
      </c>
      <c r="W894">
        <v>0</v>
      </c>
      <c r="X894">
        <v>0</v>
      </c>
      <c r="Y894">
        <v>0</v>
      </c>
      <c r="Z894" t="s">
        <v>88</v>
      </c>
      <c r="AA894" t="s">
        <v>1732</v>
      </c>
      <c r="AB894" t="s">
        <v>10</v>
      </c>
      <c r="AC894">
        <v>0</v>
      </c>
      <c r="AD894">
        <v>0</v>
      </c>
      <c r="AE894">
        <v>726182084303</v>
      </c>
      <c r="AF894">
        <v>24.05</v>
      </c>
      <c r="AG894">
        <v>0</v>
      </c>
      <c r="AH894">
        <v>15</v>
      </c>
      <c r="AI894">
        <v>39.049999999999997</v>
      </c>
      <c r="AJ894" t="s">
        <v>2</v>
      </c>
      <c r="AK894" t="s">
        <v>11</v>
      </c>
    </row>
    <row r="895" spans="1:37">
      <c r="A895">
        <v>257846</v>
      </c>
      <c r="B895" s="1">
        <v>45366</v>
      </c>
      <c r="C895" t="s">
        <v>1689</v>
      </c>
      <c r="D895" t="s">
        <v>1690</v>
      </c>
      <c r="E895" t="s">
        <v>1691</v>
      </c>
      <c r="F895" t="s">
        <v>1692</v>
      </c>
      <c r="G895" t="s">
        <v>75</v>
      </c>
      <c r="H895" t="s">
        <v>1693</v>
      </c>
      <c r="I895" t="s">
        <v>1708</v>
      </c>
      <c r="J895" t="s">
        <v>1709</v>
      </c>
      <c r="K895" t="s">
        <v>1710</v>
      </c>
      <c r="L895" t="s">
        <v>1692</v>
      </c>
      <c r="M895" t="s">
        <v>75</v>
      </c>
      <c r="N895">
        <v>55144</v>
      </c>
      <c r="O895" t="s">
        <v>1697</v>
      </c>
      <c r="P895" t="s">
        <v>1711</v>
      </c>
      <c r="Q895" t="s">
        <v>1699</v>
      </c>
      <c r="R895">
        <v>415394</v>
      </c>
      <c r="S895" t="s">
        <v>1314</v>
      </c>
      <c r="T895" s="2">
        <v>10</v>
      </c>
      <c r="U895">
        <v>0</v>
      </c>
      <c r="V895" t="s">
        <v>260</v>
      </c>
      <c r="W895">
        <v>1</v>
      </c>
      <c r="X895">
        <v>1</v>
      </c>
      <c r="Y895">
        <v>0</v>
      </c>
      <c r="Z895" t="s">
        <v>1735</v>
      </c>
      <c r="AA895" t="s">
        <v>1736</v>
      </c>
      <c r="AB895" t="s">
        <v>14</v>
      </c>
      <c r="AC895">
        <v>1.9</v>
      </c>
      <c r="AD895">
        <v>1.9</v>
      </c>
      <c r="AE895">
        <v>726182084303</v>
      </c>
      <c r="AF895">
        <v>24.05</v>
      </c>
      <c r="AG895">
        <v>0</v>
      </c>
      <c r="AH895">
        <v>15</v>
      </c>
      <c r="AI895">
        <v>39.049999999999997</v>
      </c>
      <c r="AJ895" t="s">
        <v>2</v>
      </c>
      <c r="AK895" t="s">
        <v>11</v>
      </c>
    </row>
    <row r="896" spans="1:37">
      <c r="A896">
        <v>257846</v>
      </c>
      <c r="B896" s="1">
        <v>45366</v>
      </c>
      <c r="C896" t="s">
        <v>1689</v>
      </c>
      <c r="D896" t="s">
        <v>1690</v>
      </c>
      <c r="E896" t="s">
        <v>1691</v>
      </c>
      <c r="F896" t="s">
        <v>1692</v>
      </c>
      <c r="G896" t="s">
        <v>75</v>
      </c>
      <c r="H896" t="s">
        <v>1693</v>
      </c>
      <c r="I896" t="s">
        <v>1708</v>
      </c>
      <c r="J896" t="s">
        <v>1709</v>
      </c>
      <c r="K896" t="s">
        <v>1710</v>
      </c>
      <c r="L896" t="s">
        <v>1692</v>
      </c>
      <c r="M896" t="s">
        <v>75</v>
      </c>
      <c r="N896">
        <v>55144</v>
      </c>
      <c r="O896" t="s">
        <v>1697</v>
      </c>
      <c r="P896" t="s">
        <v>1711</v>
      </c>
      <c r="Q896" t="s">
        <v>1699</v>
      </c>
      <c r="R896">
        <v>415394</v>
      </c>
      <c r="S896" t="s">
        <v>1314</v>
      </c>
      <c r="T896" s="2">
        <v>10</v>
      </c>
      <c r="U896">
        <v>0</v>
      </c>
      <c r="V896" t="s">
        <v>260</v>
      </c>
      <c r="W896">
        <v>0</v>
      </c>
      <c r="X896">
        <v>0</v>
      </c>
      <c r="Y896">
        <v>0</v>
      </c>
      <c r="Z896" t="s">
        <v>88</v>
      </c>
      <c r="AA896" t="s">
        <v>1732</v>
      </c>
      <c r="AB896" t="s">
        <v>10</v>
      </c>
      <c r="AC896">
        <v>0</v>
      </c>
      <c r="AD896">
        <v>0</v>
      </c>
      <c r="AE896">
        <v>726182084303</v>
      </c>
      <c r="AF896">
        <v>24.05</v>
      </c>
      <c r="AG896">
        <v>0</v>
      </c>
      <c r="AH896">
        <v>15</v>
      </c>
      <c r="AI896">
        <v>39.049999999999997</v>
      </c>
      <c r="AJ896" t="s">
        <v>2</v>
      </c>
      <c r="AK896" t="s">
        <v>11</v>
      </c>
    </row>
    <row r="897" spans="1:37">
      <c r="A897">
        <v>257846</v>
      </c>
      <c r="B897" s="1">
        <v>45366</v>
      </c>
      <c r="C897" t="s">
        <v>1689</v>
      </c>
      <c r="D897" t="s">
        <v>1690</v>
      </c>
      <c r="E897" t="s">
        <v>1691</v>
      </c>
      <c r="F897" t="s">
        <v>1692</v>
      </c>
      <c r="G897" t="s">
        <v>75</v>
      </c>
      <c r="H897" t="s">
        <v>1693</v>
      </c>
      <c r="I897" t="s">
        <v>1708</v>
      </c>
      <c r="J897" t="s">
        <v>1709</v>
      </c>
      <c r="K897" t="s">
        <v>1710</v>
      </c>
      <c r="L897" t="s">
        <v>1692</v>
      </c>
      <c r="M897" t="s">
        <v>75</v>
      </c>
      <c r="N897">
        <v>55144</v>
      </c>
      <c r="O897" t="s">
        <v>1697</v>
      </c>
      <c r="P897" t="s">
        <v>1711</v>
      </c>
      <c r="Q897" t="s">
        <v>1699</v>
      </c>
      <c r="R897">
        <v>415394</v>
      </c>
      <c r="S897" t="s">
        <v>1314</v>
      </c>
      <c r="T897" s="2">
        <v>10</v>
      </c>
      <c r="U897">
        <v>0</v>
      </c>
      <c r="V897" t="s">
        <v>260</v>
      </c>
      <c r="W897">
        <v>0</v>
      </c>
      <c r="X897">
        <v>0</v>
      </c>
      <c r="Y897">
        <v>0</v>
      </c>
      <c r="Z897" t="s">
        <v>88</v>
      </c>
      <c r="AA897" t="s">
        <v>2</v>
      </c>
      <c r="AB897" t="s">
        <v>10</v>
      </c>
      <c r="AC897">
        <v>0</v>
      </c>
      <c r="AD897">
        <v>0</v>
      </c>
      <c r="AE897">
        <v>726182084303</v>
      </c>
      <c r="AF897">
        <v>24.05</v>
      </c>
      <c r="AG897">
        <v>0</v>
      </c>
      <c r="AH897">
        <v>15</v>
      </c>
      <c r="AI897">
        <v>39.049999999999997</v>
      </c>
      <c r="AJ897" t="s">
        <v>2</v>
      </c>
      <c r="AK897" t="s">
        <v>11</v>
      </c>
    </row>
    <row r="898" spans="1:37">
      <c r="A898">
        <v>257846</v>
      </c>
      <c r="B898" s="1">
        <v>45366</v>
      </c>
      <c r="C898" t="s">
        <v>1689</v>
      </c>
      <c r="D898" t="s">
        <v>1690</v>
      </c>
      <c r="E898" t="s">
        <v>1691</v>
      </c>
      <c r="F898" t="s">
        <v>1692</v>
      </c>
      <c r="G898" t="s">
        <v>75</v>
      </c>
      <c r="H898" t="s">
        <v>1693</v>
      </c>
      <c r="I898" t="s">
        <v>1708</v>
      </c>
      <c r="J898" t="s">
        <v>1709</v>
      </c>
      <c r="K898" t="s">
        <v>1710</v>
      </c>
      <c r="L898" t="s">
        <v>1692</v>
      </c>
      <c r="M898" t="s">
        <v>75</v>
      </c>
      <c r="N898">
        <v>55144</v>
      </c>
      <c r="O898" t="s">
        <v>1697</v>
      </c>
      <c r="P898" t="s">
        <v>1711</v>
      </c>
      <c r="Q898" t="s">
        <v>1699</v>
      </c>
      <c r="R898">
        <v>415394</v>
      </c>
      <c r="S898" t="s">
        <v>1314</v>
      </c>
      <c r="T898" s="2">
        <v>10</v>
      </c>
      <c r="U898">
        <v>0</v>
      </c>
      <c r="V898" t="s">
        <v>260</v>
      </c>
      <c r="W898">
        <v>0</v>
      </c>
      <c r="X898">
        <v>0</v>
      </c>
      <c r="Y898">
        <v>0</v>
      </c>
      <c r="Z898" t="s">
        <v>88</v>
      </c>
      <c r="AA898" t="s">
        <v>2</v>
      </c>
      <c r="AB898" t="s">
        <v>10</v>
      </c>
      <c r="AC898">
        <v>0</v>
      </c>
      <c r="AD898">
        <v>0</v>
      </c>
      <c r="AE898">
        <v>726182084303</v>
      </c>
      <c r="AF898">
        <v>24.05</v>
      </c>
      <c r="AG898">
        <v>0</v>
      </c>
      <c r="AH898">
        <v>15</v>
      </c>
      <c r="AI898">
        <v>39.049999999999997</v>
      </c>
      <c r="AJ898" t="s">
        <v>2</v>
      </c>
      <c r="AK898" t="s">
        <v>11</v>
      </c>
    </row>
    <row r="899" spans="1:37">
      <c r="A899">
        <v>257846</v>
      </c>
      <c r="B899" s="1">
        <v>45366</v>
      </c>
      <c r="C899" t="s">
        <v>1689</v>
      </c>
      <c r="D899" t="s">
        <v>1690</v>
      </c>
      <c r="E899" t="s">
        <v>1691</v>
      </c>
      <c r="F899" t="s">
        <v>1692</v>
      </c>
      <c r="G899" t="s">
        <v>75</v>
      </c>
      <c r="H899" t="s">
        <v>1693</v>
      </c>
      <c r="I899" t="s">
        <v>1708</v>
      </c>
      <c r="J899" t="s">
        <v>1709</v>
      </c>
      <c r="K899" t="s">
        <v>1710</v>
      </c>
      <c r="L899" t="s">
        <v>1692</v>
      </c>
      <c r="M899" t="s">
        <v>75</v>
      </c>
      <c r="N899">
        <v>55144</v>
      </c>
      <c r="O899" t="s">
        <v>1697</v>
      </c>
      <c r="P899" t="s">
        <v>1711</v>
      </c>
      <c r="Q899" t="s">
        <v>1699</v>
      </c>
      <c r="R899">
        <v>415394</v>
      </c>
      <c r="S899" t="s">
        <v>1314</v>
      </c>
      <c r="T899" s="2">
        <v>10</v>
      </c>
      <c r="U899">
        <v>0</v>
      </c>
      <c r="V899" t="s">
        <v>260</v>
      </c>
      <c r="W899">
        <v>0</v>
      </c>
      <c r="X899">
        <v>0</v>
      </c>
      <c r="Y899">
        <v>0</v>
      </c>
      <c r="Z899" t="s">
        <v>88</v>
      </c>
      <c r="AA899" t="s">
        <v>1035</v>
      </c>
      <c r="AB899" t="s">
        <v>10</v>
      </c>
      <c r="AC899">
        <v>0</v>
      </c>
      <c r="AD899">
        <v>0</v>
      </c>
      <c r="AE899">
        <v>726182084303</v>
      </c>
      <c r="AF899">
        <v>24.05</v>
      </c>
      <c r="AG899">
        <v>0</v>
      </c>
      <c r="AH899">
        <v>15</v>
      </c>
      <c r="AI899">
        <v>39.049999999999997</v>
      </c>
      <c r="AJ899" t="s">
        <v>2</v>
      </c>
      <c r="AK899" t="s">
        <v>11</v>
      </c>
    </row>
    <row r="900" spans="1:37">
      <c r="A900">
        <v>257846</v>
      </c>
      <c r="B900" s="1">
        <v>45366</v>
      </c>
      <c r="C900" t="s">
        <v>1689</v>
      </c>
      <c r="D900" t="s">
        <v>1690</v>
      </c>
      <c r="E900" t="s">
        <v>1691</v>
      </c>
      <c r="F900" t="s">
        <v>1692</v>
      </c>
      <c r="G900" t="s">
        <v>75</v>
      </c>
      <c r="H900" t="s">
        <v>1693</v>
      </c>
      <c r="I900" t="s">
        <v>1708</v>
      </c>
      <c r="J900" t="s">
        <v>1709</v>
      </c>
      <c r="K900" t="s">
        <v>1710</v>
      </c>
      <c r="L900" t="s">
        <v>1692</v>
      </c>
      <c r="M900" t="s">
        <v>75</v>
      </c>
      <c r="N900">
        <v>55144</v>
      </c>
      <c r="O900" t="s">
        <v>1697</v>
      </c>
      <c r="P900" t="s">
        <v>1711</v>
      </c>
      <c r="Q900" t="s">
        <v>1699</v>
      </c>
      <c r="R900">
        <v>415394</v>
      </c>
      <c r="S900" t="s">
        <v>1314</v>
      </c>
      <c r="T900" s="2">
        <v>10</v>
      </c>
      <c r="U900">
        <v>0</v>
      </c>
      <c r="V900" t="s">
        <v>260</v>
      </c>
      <c r="W900">
        <v>0</v>
      </c>
      <c r="X900">
        <v>0</v>
      </c>
      <c r="Y900">
        <v>0</v>
      </c>
      <c r="Z900" t="s">
        <v>88</v>
      </c>
      <c r="AA900" t="s">
        <v>1317</v>
      </c>
      <c r="AB900" t="s">
        <v>10</v>
      </c>
      <c r="AC900">
        <v>0</v>
      </c>
      <c r="AD900">
        <v>0</v>
      </c>
      <c r="AE900">
        <v>726182084303</v>
      </c>
      <c r="AF900">
        <v>24.05</v>
      </c>
      <c r="AG900">
        <v>0</v>
      </c>
      <c r="AH900">
        <v>15</v>
      </c>
      <c r="AI900">
        <v>39.049999999999997</v>
      </c>
      <c r="AJ900" t="s">
        <v>2</v>
      </c>
      <c r="AK900" t="s">
        <v>11</v>
      </c>
    </row>
    <row r="901" spans="1:37">
      <c r="A901">
        <v>257846</v>
      </c>
      <c r="B901" s="1">
        <v>45366</v>
      </c>
      <c r="C901" t="s">
        <v>1689</v>
      </c>
      <c r="D901" t="s">
        <v>1690</v>
      </c>
      <c r="E901" t="s">
        <v>1691</v>
      </c>
      <c r="F901" t="s">
        <v>1692</v>
      </c>
      <c r="G901" t="s">
        <v>75</v>
      </c>
      <c r="H901" t="s">
        <v>1693</v>
      </c>
      <c r="I901" t="s">
        <v>1708</v>
      </c>
      <c r="J901" t="s">
        <v>1709</v>
      </c>
      <c r="K901" t="s">
        <v>1710</v>
      </c>
      <c r="L901" t="s">
        <v>1692</v>
      </c>
      <c r="M901" t="s">
        <v>75</v>
      </c>
      <c r="N901">
        <v>55144</v>
      </c>
      <c r="O901" t="s">
        <v>1697</v>
      </c>
      <c r="P901" t="s">
        <v>1711</v>
      </c>
      <c r="Q901" t="s">
        <v>1699</v>
      </c>
      <c r="R901">
        <v>415394</v>
      </c>
      <c r="S901" t="s">
        <v>1314</v>
      </c>
      <c r="T901" s="2">
        <v>10</v>
      </c>
      <c r="U901">
        <v>0</v>
      </c>
      <c r="V901" t="s">
        <v>260</v>
      </c>
      <c r="W901">
        <v>0</v>
      </c>
      <c r="X901">
        <v>0</v>
      </c>
      <c r="Y901">
        <v>0</v>
      </c>
      <c r="Z901" t="s">
        <v>88</v>
      </c>
      <c r="AA901" t="s">
        <v>1035</v>
      </c>
      <c r="AB901" t="s">
        <v>10</v>
      </c>
      <c r="AC901">
        <v>0</v>
      </c>
      <c r="AD901">
        <v>0</v>
      </c>
      <c r="AE901">
        <v>726182084303</v>
      </c>
      <c r="AF901">
        <v>24.05</v>
      </c>
      <c r="AG901">
        <v>0</v>
      </c>
      <c r="AH901">
        <v>15</v>
      </c>
      <c r="AI901">
        <v>39.049999999999997</v>
      </c>
      <c r="AJ901" t="s">
        <v>2</v>
      </c>
      <c r="AK901" t="s">
        <v>11</v>
      </c>
    </row>
    <row r="902" spans="1:37">
      <c r="A902">
        <v>257847</v>
      </c>
      <c r="B902" s="1">
        <v>45366</v>
      </c>
      <c r="C902" t="s">
        <v>1305</v>
      </c>
      <c r="D902" t="s">
        <v>1306</v>
      </c>
      <c r="E902" t="s">
        <v>2</v>
      </c>
      <c r="F902" t="s">
        <v>1307</v>
      </c>
      <c r="G902" t="s">
        <v>28</v>
      </c>
      <c r="H902">
        <v>34233</v>
      </c>
      <c r="I902" t="s">
        <v>1305</v>
      </c>
      <c r="J902" t="s">
        <v>1306</v>
      </c>
      <c r="K902" t="s">
        <v>2</v>
      </c>
      <c r="L902" t="s">
        <v>1307</v>
      </c>
      <c r="M902" t="s">
        <v>28</v>
      </c>
      <c r="N902">
        <v>34233</v>
      </c>
      <c r="O902" t="s">
        <v>1312</v>
      </c>
      <c r="P902" t="s">
        <v>1737</v>
      </c>
      <c r="Q902" t="s">
        <v>21</v>
      </c>
      <c r="R902">
        <v>415321</v>
      </c>
      <c r="S902" t="s">
        <v>84</v>
      </c>
      <c r="T902" s="2">
        <v>247</v>
      </c>
      <c r="U902">
        <v>0</v>
      </c>
      <c r="V902" t="s">
        <v>260</v>
      </c>
      <c r="W902">
        <v>0</v>
      </c>
      <c r="X902">
        <v>0</v>
      </c>
      <c r="Y902">
        <v>0</v>
      </c>
      <c r="Z902" t="s">
        <v>9</v>
      </c>
      <c r="AA902" t="s">
        <v>2</v>
      </c>
      <c r="AB902" t="s">
        <v>10</v>
      </c>
      <c r="AC902">
        <v>0</v>
      </c>
      <c r="AD902">
        <v>0</v>
      </c>
      <c r="AE902">
        <v>726182083970</v>
      </c>
      <c r="AF902">
        <v>595.30999999999995</v>
      </c>
      <c r="AG902">
        <v>0</v>
      </c>
      <c r="AH902">
        <v>18.34</v>
      </c>
      <c r="AI902">
        <v>613.65</v>
      </c>
      <c r="AJ902" t="s">
        <v>2</v>
      </c>
      <c r="AK902" t="s">
        <v>11</v>
      </c>
    </row>
    <row r="903" spans="1:37">
      <c r="A903">
        <v>257847</v>
      </c>
      <c r="B903" s="1">
        <v>45366</v>
      </c>
      <c r="C903" t="s">
        <v>1305</v>
      </c>
      <c r="D903" t="s">
        <v>1306</v>
      </c>
      <c r="E903" t="s">
        <v>2</v>
      </c>
      <c r="F903" t="s">
        <v>1307</v>
      </c>
      <c r="G903" t="s">
        <v>28</v>
      </c>
      <c r="H903">
        <v>34233</v>
      </c>
      <c r="I903" t="s">
        <v>1305</v>
      </c>
      <c r="J903" t="s">
        <v>1306</v>
      </c>
      <c r="K903" t="s">
        <v>2</v>
      </c>
      <c r="L903" t="s">
        <v>1307</v>
      </c>
      <c r="M903" t="s">
        <v>28</v>
      </c>
      <c r="N903">
        <v>34233</v>
      </c>
      <c r="O903" t="s">
        <v>1312</v>
      </c>
      <c r="P903" t="s">
        <v>1737</v>
      </c>
      <c r="Q903" t="s">
        <v>21</v>
      </c>
      <c r="R903">
        <v>415321</v>
      </c>
      <c r="S903" t="s">
        <v>84</v>
      </c>
      <c r="T903" s="2">
        <v>247</v>
      </c>
      <c r="U903">
        <v>0</v>
      </c>
      <c r="V903" t="s">
        <v>260</v>
      </c>
      <c r="W903">
        <v>5</v>
      </c>
      <c r="X903">
        <v>5</v>
      </c>
      <c r="Y903">
        <v>0</v>
      </c>
      <c r="Z903" t="s">
        <v>1738</v>
      </c>
      <c r="AA903" t="s">
        <v>1739</v>
      </c>
      <c r="AB903" t="s">
        <v>14</v>
      </c>
      <c r="AC903">
        <v>2.14</v>
      </c>
      <c r="AD903">
        <v>10.7</v>
      </c>
      <c r="AE903">
        <v>726182083970</v>
      </c>
      <c r="AF903">
        <v>595.30999999999995</v>
      </c>
      <c r="AG903">
        <v>0</v>
      </c>
      <c r="AH903">
        <v>18.34</v>
      </c>
      <c r="AI903">
        <v>613.65</v>
      </c>
      <c r="AJ903" t="s">
        <v>2</v>
      </c>
      <c r="AK903" t="s">
        <v>11</v>
      </c>
    </row>
    <row r="904" spans="1:37">
      <c r="A904">
        <v>257847</v>
      </c>
      <c r="B904" s="1">
        <v>45366</v>
      </c>
      <c r="C904" t="s">
        <v>1305</v>
      </c>
      <c r="D904" t="s">
        <v>1306</v>
      </c>
      <c r="E904" t="s">
        <v>2</v>
      </c>
      <c r="F904" t="s">
        <v>1307</v>
      </c>
      <c r="G904" t="s">
        <v>28</v>
      </c>
      <c r="H904">
        <v>34233</v>
      </c>
      <c r="I904" t="s">
        <v>1305</v>
      </c>
      <c r="J904" t="s">
        <v>1306</v>
      </c>
      <c r="K904" t="s">
        <v>2</v>
      </c>
      <c r="L904" t="s">
        <v>1307</v>
      </c>
      <c r="M904" t="s">
        <v>28</v>
      </c>
      <c r="N904">
        <v>34233</v>
      </c>
      <c r="O904" t="s">
        <v>1312</v>
      </c>
      <c r="P904" t="s">
        <v>1737</v>
      </c>
      <c r="Q904" t="s">
        <v>21</v>
      </c>
      <c r="R904">
        <v>415321</v>
      </c>
      <c r="S904" t="s">
        <v>84</v>
      </c>
      <c r="T904" s="2">
        <v>247</v>
      </c>
      <c r="U904">
        <v>0</v>
      </c>
      <c r="V904" t="s">
        <v>260</v>
      </c>
      <c r="W904">
        <v>0</v>
      </c>
      <c r="X904">
        <v>0</v>
      </c>
      <c r="Y904">
        <v>0</v>
      </c>
      <c r="Z904" t="s">
        <v>88</v>
      </c>
      <c r="AA904" t="s">
        <v>1740</v>
      </c>
      <c r="AB904" t="s">
        <v>10</v>
      </c>
      <c r="AC904">
        <v>0</v>
      </c>
      <c r="AD904">
        <v>0</v>
      </c>
      <c r="AE904">
        <v>726182083970</v>
      </c>
      <c r="AF904">
        <v>595.30999999999995</v>
      </c>
      <c r="AG904">
        <v>0</v>
      </c>
      <c r="AH904">
        <v>18.34</v>
      </c>
      <c r="AI904">
        <v>613.65</v>
      </c>
      <c r="AJ904" t="s">
        <v>2</v>
      </c>
      <c r="AK904" t="s">
        <v>11</v>
      </c>
    </row>
    <row r="905" spans="1:37">
      <c r="A905">
        <v>257847</v>
      </c>
      <c r="B905" s="1">
        <v>45366</v>
      </c>
      <c r="C905" t="s">
        <v>1305</v>
      </c>
      <c r="D905" t="s">
        <v>1306</v>
      </c>
      <c r="E905" t="s">
        <v>2</v>
      </c>
      <c r="F905" t="s">
        <v>1307</v>
      </c>
      <c r="G905" t="s">
        <v>28</v>
      </c>
      <c r="H905">
        <v>34233</v>
      </c>
      <c r="I905" t="s">
        <v>1305</v>
      </c>
      <c r="J905" t="s">
        <v>1306</v>
      </c>
      <c r="K905" t="s">
        <v>2</v>
      </c>
      <c r="L905" t="s">
        <v>1307</v>
      </c>
      <c r="M905" t="s">
        <v>28</v>
      </c>
      <c r="N905">
        <v>34233</v>
      </c>
      <c r="O905" t="s">
        <v>1312</v>
      </c>
      <c r="P905" t="s">
        <v>1737</v>
      </c>
      <c r="Q905" t="s">
        <v>21</v>
      </c>
      <c r="R905">
        <v>415321</v>
      </c>
      <c r="S905" t="s">
        <v>84</v>
      </c>
      <c r="T905" s="2">
        <v>247</v>
      </c>
      <c r="U905">
        <v>0</v>
      </c>
      <c r="V905" t="s">
        <v>260</v>
      </c>
      <c r="W905">
        <v>5</v>
      </c>
      <c r="X905">
        <v>5</v>
      </c>
      <c r="Y905">
        <v>0</v>
      </c>
      <c r="Z905" t="s">
        <v>1741</v>
      </c>
      <c r="AA905" t="s">
        <v>1742</v>
      </c>
      <c r="AB905" t="s">
        <v>14</v>
      </c>
      <c r="AC905">
        <v>2.14</v>
      </c>
      <c r="AD905">
        <v>10.7</v>
      </c>
      <c r="AE905">
        <v>726182083970</v>
      </c>
      <c r="AF905">
        <v>595.30999999999995</v>
      </c>
      <c r="AG905">
        <v>0</v>
      </c>
      <c r="AH905">
        <v>18.34</v>
      </c>
      <c r="AI905">
        <v>613.65</v>
      </c>
      <c r="AJ905" t="s">
        <v>2</v>
      </c>
      <c r="AK905" t="s">
        <v>11</v>
      </c>
    </row>
    <row r="906" spans="1:37">
      <c r="A906">
        <v>257847</v>
      </c>
      <c r="B906" s="1">
        <v>45366</v>
      </c>
      <c r="C906" t="s">
        <v>1305</v>
      </c>
      <c r="D906" t="s">
        <v>1306</v>
      </c>
      <c r="E906" t="s">
        <v>2</v>
      </c>
      <c r="F906" t="s">
        <v>1307</v>
      </c>
      <c r="G906" t="s">
        <v>28</v>
      </c>
      <c r="H906">
        <v>34233</v>
      </c>
      <c r="I906" t="s">
        <v>1305</v>
      </c>
      <c r="J906" t="s">
        <v>1306</v>
      </c>
      <c r="K906" t="s">
        <v>2</v>
      </c>
      <c r="L906" t="s">
        <v>1307</v>
      </c>
      <c r="M906" t="s">
        <v>28</v>
      </c>
      <c r="N906">
        <v>34233</v>
      </c>
      <c r="O906" t="s">
        <v>1312</v>
      </c>
      <c r="P906" t="s">
        <v>1737</v>
      </c>
      <c r="Q906" t="s">
        <v>21</v>
      </c>
      <c r="R906">
        <v>415321</v>
      </c>
      <c r="S906" t="s">
        <v>84</v>
      </c>
      <c r="T906" s="2">
        <v>247</v>
      </c>
      <c r="U906">
        <v>0</v>
      </c>
      <c r="V906" t="s">
        <v>260</v>
      </c>
      <c r="W906">
        <v>0</v>
      </c>
      <c r="X906">
        <v>0</v>
      </c>
      <c r="Y906">
        <v>0</v>
      </c>
      <c r="Z906" t="s">
        <v>88</v>
      </c>
      <c r="AA906" t="s">
        <v>1740</v>
      </c>
      <c r="AB906" t="s">
        <v>10</v>
      </c>
      <c r="AC906">
        <v>0</v>
      </c>
      <c r="AD906">
        <v>0</v>
      </c>
      <c r="AE906">
        <v>726182083970</v>
      </c>
      <c r="AF906">
        <v>595.30999999999995</v>
      </c>
      <c r="AG906">
        <v>0</v>
      </c>
      <c r="AH906">
        <v>18.34</v>
      </c>
      <c r="AI906">
        <v>613.65</v>
      </c>
      <c r="AJ906" t="s">
        <v>2</v>
      </c>
      <c r="AK906" t="s">
        <v>11</v>
      </c>
    </row>
    <row r="907" spans="1:37">
      <c r="A907">
        <v>257847</v>
      </c>
      <c r="B907" s="1">
        <v>45366</v>
      </c>
      <c r="C907" t="s">
        <v>1305</v>
      </c>
      <c r="D907" t="s">
        <v>1306</v>
      </c>
      <c r="E907" t="s">
        <v>2</v>
      </c>
      <c r="F907" t="s">
        <v>1307</v>
      </c>
      <c r="G907" t="s">
        <v>28</v>
      </c>
      <c r="H907">
        <v>34233</v>
      </c>
      <c r="I907" t="s">
        <v>1305</v>
      </c>
      <c r="J907" t="s">
        <v>1306</v>
      </c>
      <c r="K907" t="s">
        <v>2</v>
      </c>
      <c r="L907" t="s">
        <v>1307</v>
      </c>
      <c r="M907" t="s">
        <v>28</v>
      </c>
      <c r="N907">
        <v>34233</v>
      </c>
      <c r="O907" t="s">
        <v>1312</v>
      </c>
      <c r="P907" t="s">
        <v>1737</v>
      </c>
      <c r="Q907" t="s">
        <v>21</v>
      </c>
      <c r="R907">
        <v>415321</v>
      </c>
      <c r="S907" t="s">
        <v>84</v>
      </c>
      <c r="T907" s="2">
        <v>247</v>
      </c>
      <c r="U907">
        <v>0</v>
      </c>
      <c r="V907" t="s">
        <v>260</v>
      </c>
      <c r="W907">
        <v>3</v>
      </c>
      <c r="X907">
        <v>3</v>
      </c>
      <c r="Y907">
        <v>0</v>
      </c>
      <c r="Z907" t="s">
        <v>1743</v>
      </c>
      <c r="AA907" t="s">
        <v>1744</v>
      </c>
      <c r="AB907" t="s">
        <v>14</v>
      </c>
      <c r="AC907">
        <v>2.14</v>
      </c>
      <c r="AD907">
        <v>6.42</v>
      </c>
      <c r="AE907">
        <v>726182083970</v>
      </c>
      <c r="AF907">
        <v>595.30999999999995</v>
      </c>
      <c r="AG907">
        <v>0</v>
      </c>
      <c r="AH907">
        <v>18.34</v>
      </c>
      <c r="AI907">
        <v>613.65</v>
      </c>
      <c r="AJ907" t="s">
        <v>2</v>
      </c>
      <c r="AK907" t="s">
        <v>11</v>
      </c>
    </row>
    <row r="908" spans="1:37">
      <c r="A908">
        <v>257847</v>
      </c>
      <c r="B908" s="1">
        <v>45366</v>
      </c>
      <c r="C908" t="s">
        <v>1305</v>
      </c>
      <c r="D908" t="s">
        <v>1306</v>
      </c>
      <c r="E908" t="s">
        <v>2</v>
      </c>
      <c r="F908" t="s">
        <v>1307</v>
      </c>
      <c r="G908" t="s">
        <v>28</v>
      </c>
      <c r="H908">
        <v>34233</v>
      </c>
      <c r="I908" t="s">
        <v>1305</v>
      </c>
      <c r="J908" t="s">
        <v>1306</v>
      </c>
      <c r="K908" t="s">
        <v>2</v>
      </c>
      <c r="L908" t="s">
        <v>1307</v>
      </c>
      <c r="M908" t="s">
        <v>28</v>
      </c>
      <c r="N908">
        <v>34233</v>
      </c>
      <c r="O908" t="s">
        <v>1312</v>
      </c>
      <c r="P908" t="s">
        <v>1737</v>
      </c>
      <c r="Q908" t="s">
        <v>21</v>
      </c>
      <c r="R908">
        <v>415321</v>
      </c>
      <c r="S908" t="s">
        <v>84</v>
      </c>
      <c r="T908" s="2">
        <v>247</v>
      </c>
      <c r="U908">
        <v>0</v>
      </c>
      <c r="V908" t="s">
        <v>260</v>
      </c>
      <c r="W908">
        <v>0</v>
      </c>
      <c r="X908">
        <v>0</v>
      </c>
      <c r="Y908">
        <v>0</v>
      </c>
      <c r="Z908" t="s">
        <v>88</v>
      </c>
      <c r="AA908" t="s">
        <v>1740</v>
      </c>
      <c r="AB908" t="s">
        <v>10</v>
      </c>
      <c r="AC908">
        <v>0</v>
      </c>
      <c r="AD908">
        <v>0</v>
      </c>
      <c r="AE908">
        <v>726182083970</v>
      </c>
      <c r="AF908">
        <v>595.30999999999995</v>
      </c>
      <c r="AG908">
        <v>0</v>
      </c>
      <c r="AH908">
        <v>18.34</v>
      </c>
      <c r="AI908">
        <v>613.65</v>
      </c>
      <c r="AJ908" t="s">
        <v>2</v>
      </c>
      <c r="AK908" t="s">
        <v>11</v>
      </c>
    </row>
    <row r="909" spans="1:37">
      <c r="A909">
        <v>257847</v>
      </c>
      <c r="B909" s="1">
        <v>45366</v>
      </c>
      <c r="C909" t="s">
        <v>1305</v>
      </c>
      <c r="D909" t="s">
        <v>1306</v>
      </c>
      <c r="E909" t="s">
        <v>2</v>
      </c>
      <c r="F909" t="s">
        <v>1307</v>
      </c>
      <c r="G909" t="s">
        <v>28</v>
      </c>
      <c r="H909">
        <v>34233</v>
      </c>
      <c r="I909" t="s">
        <v>1305</v>
      </c>
      <c r="J909" t="s">
        <v>1306</v>
      </c>
      <c r="K909" t="s">
        <v>2</v>
      </c>
      <c r="L909" t="s">
        <v>1307</v>
      </c>
      <c r="M909" t="s">
        <v>28</v>
      </c>
      <c r="N909">
        <v>34233</v>
      </c>
      <c r="O909" t="s">
        <v>1312</v>
      </c>
      <c r="P909" t="s">
        <v>1737</v>
      </c>
      <c r="Q909" t="s">
        <v>21</v>
      </c>
      <c r="R909">
        <v>415321</v>
      </c>
      <c r="S909" t="s">
        <v>84</v>
      </c>
      <c r="T909" s="2">
        <v>247</v>
      </c>
      <c r="U909">
        <v>0</v>
      </c>
      <c r="V909" t="s">
        <v>260</v>
      </c>
      <c r="W909">
        <v>3</v>
      </c>
      <c r="X909">
        <v>3</v>
      </c>
      <c r="Y909">
        <v>0</v>
      </c>
      <c r="Z909" t="s">
        <v>1745</v>
      </c>
      <c r="AA909" t="s">
        <v>1746</v>
      </c>
      <c r="AB909" t="s">
        <v>14</v>
      </c>
      <c r="AC909">
        <v>2.14</v>
      </c>
      <c r="AD909">
        <v>6.42</v>
      </c>
      <c r="AE909">
        <v>726182083970</v>
      </c>
      <c r="AF909">
        <v>595.30999999999995</v>
      </c>
      <c r="AG909">
        <v>0</v>
      </c>
      <c r="AH909">
        <v>18.34</v>
      </c>
      <c r="AI909">
        <v>613.65</v>
      </c>
      <c r="AJ909" t="s">
        <v>2</v>
      </c>
      <c r="AK909" t="s">
        <v>11</v>
      </c>
    </row>
    <row r="910" spans="1:37">
      <c r="A910">
        <v>257847</v>
      </c>
      <c r="B910" s="1">
        <v>45366</v>
      </c>
      <c r="C910" t="s">
        <v>1305</v>
      </c>
      <c r="D910" t="s">
        <v>1306</v>
      </c>
      <c r="E910" t="s">
        <v>2</v>
      </c>
      <c r="F910" t="s">
        <v>1307</v>
      </c>
      <c r="G910" t="s">
        <v>28</v>
      </c>
      <c r="H910">
        <v>34233</v>
      </c>
      <c r="I910" t="s">
        <v>1305</v>
      </c>
      <c r="J910" t="s">
        <v>1306</v>
      </c>
      <c r="K910" t="s">
        <v>2</v>
      </c>
      <c r="L910" t="s">
        <v>1307</v>
      </c>
      <c r="M910" t="s">
        <v>28</v>
      </c>
      <c r="N910">
        <v>34233</v>
      </c>
      <c r="O910" t="s">
        <v>1312</v>
      </c>
      <c r="P910" t="s">
        <v>1737</v>
      </c>
      <c r="Q910" t="s">
        <v>21</v>
      </c>
      <c r="R910">
        <v>415321</v>
      </c>
      <c r="S910" t="s">
        <v>84</v>
      </c>
      <c r="T910" s="2">
        <v>247</v>
      </c>
      <c r="U910">
        <v>0</v>
      </c>
      <c r="V910" t="s">
        <v>260</v>
      </c>
      <c r="W910">
        <v>0</v>
      </c>
      <c r="X910">
        <v>0</v>
      </c>
      <c r="Y910">
        <v>0</v>
      </c>
      <c r="Z910" t="s">
        <v>88</v>
      </c>
      <c r="AA910" t="s">
        <v>1740</v>
      </c>
      <c r="AB910" t="s">
        <v>10</v>
      </c>
      <c r="AC910">
        <v>0</v>
      </c>
      <c r="AD910">
        <v>0</v>
      </c>
      <c r="AE910">
        <v>726182083970</v>
      </c>
      <c r="AF910">
        <v>595.30999999999995</v>
      </c>
      <c r="AG910">
        <v>0</v>
      </c>
      <c r="AH910">
        <v>18.34</v>
      </c>
      <c r="AI910">
        <v>613.65</v>
      </c>
      <c r="AJ910" t="s">
        <v>2</v>
      </c>
      <c r="AK910" t="s">
        <v>11</v>
      </c>
    </row>
    <row r="911" spans="1:37">
      <c r="A911">
        <v>257847</v>
      </c>
      <c r="B911" s="1">
        <v>45366</v>
      </c>
      <c r="C911" t="s">
        <v>1305</v>
      </c>
      <c r="D911" t="s">
        <v>1306</v>
      </c>
      <c r="E911" t="s">
        <v>2</v>
      </c>
      <c r="F911" t="s">
        <v>1307</v>
      </c>
      <c r="G911" t="s">
        <v>28</v>
      </c>
      <c r="H911">
        <v>34233</v>
      </c>
      <c r="I911" t="s">
        <v>1305</v>
      </c>
      <c r="J911" t="s">
        <v>1306</v>
      </c>
      <c r="K911" t="s">
        <v>2</v>
      </c>
      <c r="L911" t="s">
        <v>1307</v>
      </c>
      <c r="M911" t="s">
        <v>28</v>
      </c>
      <c r="N911">
        <v>34233</v>
      </c>
      <c r="O911" t="s">
        <v>1312</v>
      </c>
      <c r="P911" t="s">
        <v>1737</v>
      </c>
      <c r="Q911" t="s">
        <v>21</v>
      </c>
      <c r="R911">
        <v>415321</v>
      </c>
      <c r="S911" t="s">
        <v>84</v>
      </c>
      <c r="T911" s="2">
        <v>247</v>
      </c>
      <c r="U911">
        <v>0</v>
      </c>
      <c r="V911" t="s">
        <v>260</v>
      </c>
      <c r="W911">
        <v>3</v>
      </c>
      <c r="X911">
        <v>3</v>
      </c>
      <c r="Y911">
        <v>0</v>
      </c>
      <c r="Z911" t="s">
        <v>1747</v>
      </c>
      <c r="AA911" t="s">
        <v>1748</v>
      </c>
      <c r="AB911" t="s">
        <v>14</v>
      </c>
      <c r="AC911">
        <v>2.14</v>
      </c>
      <c r="AD911">
        <v>6.42</v>
      </c>
      <c r="AE911">
        <v>726182083970</v>
      </c>
      <c r="AF911">
        <v>595.30999999999995</v>
      </c>
      <c r="AG911">
        <v>0</v>
      </c>
      <c r="AH911">
        <v>18.34</v>
      </c>
      <c r="AI911">
        <v>613.65</v>
      </c>
      <c r="AJ911" t="s">
        <v>2</v>
      </c>
      <c r="AK911" t="s">
        <v>11</v>
      </c>
    </row>
    <row r="912" spans="1:37">
      <c r="A912">
        <v>257847</v>
      </c>
      <c r="B912" s="1">
        <v>45366</v>
      </c>
      <c r="C912" t="s">
        <v>1305</v>
      </c>
      <c r="D912" t="s">
        <v>1306</v>
      </c>
      <c r="E912" t="s">
        <v>2</v>
      </c>
      <c r="F912" t="s">
        <v>1307</v>
      </c>
      <c r="G912" t="s">
        <v>28</v>
      </c>
      <c r="H912">
        <v>34233</v>
      </c>
      <c r="I912" t="s">
        <v>1305</v>
      </c>
      <c r="J912" t="s">
        <v>1306</v>
      </c>
      <c r="K912" t="s">
        <v>2</v>
      </c>
      <c r="L912" t="s">
        <v>1307</v>
      </c>
      <c r="M912" t="s">
        <v>28</v>
      </c>
      <c r="N912">
        <v>34233</v>
      </c>
      <c r="O912" t="s">
        <v>1312</v>
      </c>
      <c r="P912" t="s">
        <v>1737</v>
      </c>
      <c r="Q912" t="s">
        <v>21</v>
      </c>
      <c r="R912">
        <v>415321</v>
      </c>
      <c r="S912" t="s">
        <v>84</v>
      </c>
      <c r="T912" s="2">
        <v>247</v>
      </c>
      <c r="U912">
        <v>0</v>
      </c>
      <c r="V912" t="s">
        <v>260</v>
      </c>
      <c r="W912">
        <v>0</v>
      </c>
      <c r="X912">
        <v>0</v>
      </c>
      <c r="Y912">
        <v>0</v>
      </c>
      <c r="Z912" t="s">
        <v>88</v>
      </c>
      <c r="AA912" t="s">
        <v>1740</v>
      </c>
      <c r="AB912" t="s">
        <v>10</v>
      </c>
      <c r="AC912">
        <v>0</v>
      </c>
      <c r="AD912">
        <v>0</v>
      </c>
      <c r="AE912">
        <v>726182083970</v>
      </c>
      <c r="AF912">
        <v>595.30999999999995</v>
      </c>
      <c r="AG912">
        <v>0</v>
      </c>
      <c r="AH912">
        <v>18.34</v>
      </c>
      <c r="AI912">
        <v>613.65</v>
      </c>
      <c r="AJ912" t="s">
        <v>2</v>
      </c>
      <c r="AK912" t="s">
        <v>11</v>
      </c>
    </row>
    <row r="913" spans="1:37">
      <c r="A913">
        <v>257847</v>
      </c>
      <c r="B913" s="1">
        <v>45366</v>
      </c>
      <c r="C913" t="s">
        <v>1305</v>
      </c>
      <c r="D913" t="s">
        <v>1306</v>
      </c>
      <c r="E913" t="s">
        <v>2</v>
      </c>
      <c r="F913" t="s">
        <v>1307</v>
      </c>
      <c r="G913" t="s">
        <v>28</v>
      </c>
      <c r="H913">
        <v>34233</v>
      </c>
      <c r="I913" t="s">
        <v>1305</v>
      </c>
      <c r="J913" t="s">
        <v>1306</v>
      </c>
      <c r="K913" t="s">
        <v>2</v>
      </c>
      <c r="L913" t="s">
        <v>1307</v>
      </c>
      <c r="M913" t="s">
        <v>28</v>
      </c>
      <c r="N913">
        <v>34233</v>
      </c>
      <c r="O913" t="s">
        <v>1312</v>
      </c>
      <c r="P913" t="s">
        <v>1737</v>
      </c>
      <c r="Q913" t="s">
        <v>21</v>
      </c>
      <c r="R913">
        <v>415321</v>
      </c>
      <c r="S913" t="s">
        <v>84</v>
      </c>
      <c r="T913" s="2">
        <v>247</v>
      </c>
      <c r="U913">
        <v>0</v>
      </c>
      <c r="V913" t="s">
        <v>260</v>
      </c>
      <c r="W913">
        <v>3</v>
      </c>
      <c r="X913">
        <v>3</v>
      </c>
      <c r="Y913">
        <v>0</v>
      </c>
      <c r="Z913" t="s">
        <v>1749</v>
      </c>
      <c r="AA913" t="s">
        <v>1750</v>
      </c>
      <c r="AB913" t="s">
        <v>14</v>
      </c>
      <c r="AC913">
        <v>2.14</v>
      </c>
      <c r="AD913">
        <v>6.42</v>
      </c>
      <c r="AE913">
        <v>726182083970</v>
      </c>
      <c r="AF913">
        <v>595.30999999999995</v>
      </c>
      <c r="AG913">
        <v>0</v>
      </c>
      <c r="AH913">
        <v>18.34</v>
      </c>
      <c r="AI913">
        <v>613.65</v>
      </c>
      <c r="AJ913" t="s">
        <v>2</v>
      </c>
      <c r="AK913" t="s">
        <v>11</v>
      </c>
    </row>
    <row r="914" spans="1:37">
      <c r="A914">
        <v>257847</v>
      </c>
      <c r="B914" s="1">
        <v>45366</v>
      </c>
      <c r="C914" t="s">
        <v>1305</v>
      </c>
      <c r="D914" t="s">
        <v>1306</v>
      </c>
      <c r="E914" t="s">
        <v>2</v>
      </c>
      <c r="F914" t="s">
        <v>1307</v>
      </c>
      <c r="G914" t="s">
        <v>28</v>
      </c>
      <c r="H914">
        <v>34233</v>
      </c>
      <c r="I914" t="s">
        <v>1305</v>
      </c>
      <c r="J914" t="s">
        <v>1306</v>
      </c>
      <c r="K914" t="s">
        <v>2</v>
      </c>
      <c r="L914" t="s">
        <v>1307</v>
      </c>
      <c r="M914" t="s">
        <v>28</v>
      </c>
      <c r="N914">
        <v>34233</v>
      </c>
      <c r="O914" t="s">
        <v>1312</v>
      </c>
      <c r="P914" t="s">
        <v>1737</v>
      </c>
      <c r="Q914" t="s">
        <v>21</v>
      </c>
      <c r="R914">
        <v>415321</v>
      </c>
      <c r="S914" t="s">
        <v>84</v>
      </c>
      <c r="T914" s="2">
        <v>247</v>
      </c>
      <c r="U914">
        <v>0</v>
      </c>
      <c r="V914" t="s">
        <v>260</v>
      </c>
      <c r="W914">
        <v>0</v>
      </c>
      <c r="X914">
        <v>0</v>
      </c>
      <c r="Y914">
        <v>0</v>
      </c>
      <c r="Z914" t="s">
        <v>88</v>
      </c>
      <c r="AA914" t="s">
        <v>1740</v>
      </c>
      <c r="AB914" t="s">
        <v>10</v>
      </c>
      <c r="AC914">
        <v>0</v>
      </c>
      <c r="AD914">
        <v>0</v>
      </c>
      <c r="AE914">
        <v>726182083970</v>
      </c>
      <c r="AF914">
        <v>595.30999999999995</v>
      </c>
      <c r="AG914">
        <v>0</v>
      </c>
      <c r="AH914">
        <v>18.34</v>
      </c>
      <c r="AI914">
        <v>613.65</v>
      </c>
      <c r="AJ914" t="s">
        <v>2</v>
      </c>
      <c r="AK914" t="s">
        <v>11</v>
      </c>
    </row>
    <row r="915" spans="1:37">
      <c r="A915">
        <v>257847</v>
      </c>
      <c r="B915" s="1">
        <v>45366</v>
      </c>
      <c r="C915" t="s">
        <v>1305</v>
      </c>
      <c r="D915" t="s">
        <v>1306</v>
      </c>
      <c r="E915" t="s">
        <v>2</v>
      </c>
      <c r="F915" t="s">
        <v>1307</v>
      </c>
      <c r="G915" t="s">
        <v>28</v>
      </c>
      <c r="H915">
        <v>34233</v>
      </c>
      <c r="I915" t="s">
        <v>1305</v>
      </c>
      <c r="J915" t="s">
        <v>1306</v>
      </c>
      <c r="K915" t="s">
        <v>2</v>
      </c>
      <c r="L915" t="s">
        <v>1307</v>
      </c>
      <c r="M915" t="s">
        <v>28</v>
      </c>
      <c r="N915">
        <v>34233</v>
      </c>
      <c r="O915" t="s">
        <v>1312</v>
      </c>
      <c r="P915" t="s">
        <v>1737</v>
      </c>
      <c r="Q915" t="s">
        <v>21</v>
      </c>
      <c r="R915">
        <v>415321</v>
      </c>
      <c r="S915" t="s">
        <v>84</v>
      </c>
      <c r="T915" s="2">
        <v>247</v>
      </c>
      <c r="U915">
        <v>0</v>
      </c>
      <c r="V915" t="s">
        <v>260</v>
      </c>
      <c r="W915">
        <v>5</v>
      </c>
      <c r="X915">
        <v>5</v>
      </c>
      <c r="Y915">
        <v>0</v>
      </c>
      <c r="Z915" t="s">
        <v>1751</v>
      </c>
      <c r="AA915" t="s">
        <v>1752</v>
      </c>
      <c r="AB915" t="s">
        <v>14</v>
      </c>
      <c r="AC915">
        <v>2.14</v>
      </c>
      <c r="AD915">
        <v>10.7</v>
      </c>
      <c r="AE915">
        <v>726182083970</v>
      </c>
      <c r="AF915">
        <v>595.30999999999995</v>
      </c>
      <c r="AG915">
        <v>0</v>
      </c>
      <c r="AH915">
        <v>18.34</v>
      </c>
      <c r="AI915">
        <v>613.65</v>
      </c>
      <c r="AJ915" t="s">
        <v>2</v>
      </c>
      <c r="AK915" t="s">
        <v>11</v>
      </c>
    </row>
    <row r="916" spans="1:37">
      <c r="A916">
        <v>257847</v>
      </c>
      <c r="B916" s="1">
        <v>45366</v>
      </c>
      <c r="C916" t="s">
        <v>1305</v>
      </c>
      <c r="D916" t="s">
        <v>1306</v>
      </c>
      <c r="E916" t="s">
        <v>2</v>
      </c>
      <c r="F916" t="s">
        <v>1307</v>
      </c>
      <c r="G916" t="s">
        <v>28</v>
      </c>
      <c r="H916">
        <v>34233</v>
      </c>
      <c r="I916" t="s">
        <v>1305</v>
      </c>
      <c r="J916" t="s">
        <v>1306</v>
      </c>
      <c r="K916" t="s">
        <v>2</v>
      </c>
      <c r="L916" t="s">
        <v>1307</v>
      </c>
      <c r="M916" t="s">
        <v>28</v>
      </c>
      <c r="N916">
        <v>34233</v>
      </c>
      <c r="O916" t="s">
        <v>1312</v>
      </c>
      <c r="P916" t="s">
        <v>1737</v>
      </c>
      <c r="Q916" t="s">
        <v>21</v>
      </c>
      <c r="R916">
        <v>415321</v>
      </c>
      <c r="S916" t="s">
        <v>84</v>
      </c>
      <c r="T916" s="2">
        <v>247</v>
      </c>
      <c r="U916">
        <v>0</v>
      </c>
      <c r="V916" t="s">
        <v>260</v>
      </c>
      <c r="W916">
        <v>0</v>
      </c>
      <c r="X916">
        <v>0</v>
      </c>
      <c r="Y916">
        <v>0</v>
      </c>
      <c r="Z916" t="s">
        <v>88</v>
      </c>
      <c r="AA916" t="s">
        <v>1740</v>
      </c>
      <c r="AB916" t="s">
        <v>10</v>
      </c>
      <c r="AC916">
        <v>0</v>
      </c>
      <c r="AD916">
        <v>0</v>
      </c>
      <c r="AE916">
        <v>726182083970</v>
      </c>
      <c r="AF916">
        <v>595.30999999999995</v>
      </c>
      <c r="AG916">
        <v>0</v>
      </c>
      <c r="AH916">
        <v>18.34</v>
      </c>
      <c r="AI916">
        <v>613.65</v>
      </c>
      <c r="AJ916" t="s">
        <v>2</v>
      </c>
      <c r="AK916" t="s">
        <v>11</v>
      </c>
    </row>
    <row r="917" spans="1:37">
      <c r="A917">
        <v>257847</v>
      </c>
      <c r="B917" s="1">
        <v>45366</v>
      </c>
      <c r="C917" t="s">
        <v>1305</v>
      </c>
      <c r="D917" t="s">
        <v>1306</v>
      </c>
      <c r="E917" t="s">
        <v>2</v>
      </c>
      <c r="F917" t="s">
        <v>1307</v>
      </c>
      <c r="G917" t="s">
        <v>28</v>
      </c>
      <c r="H917">
        <v>34233</v>
      </c>
      <c r="I917" t="s">
        <v>1305</v>
      </c>
      <c r="J917" t="s">
        <v>1306</v>
      </c>
      <c r="K917" t="s">
        <v>2</v>
      </c>
      <c r="L917" t="s">
        <v>1307</v>
      </c>
      <c r="M917" t="s">
        <v>28</v>
      </c>
      <c r="N917">
        <v>34233</v>
      </c>
      <c r="O917" t="s">
        <v>1312</v>
      </c>
      <c r="P917" t="s">
        <v>1737</v>
      </c>
      <c r="Q917" t="s">
        <v>21</v>
      </c>
      <c r="R917">
        <v>415321</v>
      </c>
      <c r="S917" t="s">
        <v>84</v>
      </c>
      <c r="T917" s="2">
        <v>247</v>
      </c>
      <c r="U917">
        <v>0</v>
      </c>
      <c r="V917" t="s">
        <v>260</v>
      </c>
      <c r="W917">
        <v>3</v>
      </c>
      <c r="X917">
        <v>0</v>
      </c>
      <c r="Y917">
        <v>3</v>
      </c>
      <c r="Z917" t="s">
        <v>1753</v>
      </c>
      <c r="AA917" t="s">
        <v>1754</v>
      </c>
      <c r="AB917" t="s">
        <v>14</v>
      </c>
      <c r="AC917">
        <v>2.14</v>
      </c>
      <c r="AD917">
        <v>0</v>
      </c>
      <c r="AE917">
        <v>726182083970</v>
      </c>
      <c r="AF917">
        <v>595.30999999999995</v>
      </c>
      <c r="AG917">
        <v>0</v>
      </c>
      <c r="AH917">
        <v>18.34</v>
      </c>
      <c r="AI917">
        <v>613.65</v>
      </c>
      <c r="AJ917" t="s">
        <v>2</v>
      </c>
      <c r="AK917" t="s">
        <v>11</v>
      </c>
    </row>
    <row r="918" spans="1:37">
      <c r="A918">
        <v>257847</v>
      </c>
      <c r="B918" s="1">
        <v>45366</v>
      </c>
      <c r="C918" t="s">
        <v>1305</v>
      </c>
      <c r="D918" t="s">
        <v>1306</v>
      </c>
      <c r="E918" t="s">
        <v>2</v>
      </c>
      <c r="F918" t="s">
        <v>1307</v>
      </c>
      <c r="G918" t="s">
        <v>28</v>
      </c>
      <c r="H918">
        <v>34233</v>
      </c>
      <c r="I918" t="s">
        <v>1305</v>
      </c>
      <c r="J918" t="s">
        <v>1306</v>
      </c>
      <c r="K918" t="s">
        <v>2</v>
      </c>
      <c r="L918" t="s">
        <v>1307</v>
      </c>
      <c r="M918" t="s">
        <v>28</v>
      </c>
      <c r="N918">
        <v>34233</v>
      </c>
      <c r="O918" t="s">
        <v>1312</v>
      </c>
      <c r="P918" t="s">
        <v>1737</v>
      </c>
      <c r="Q918" t="s">
        <v>21</v>
      </c>
      <c r="R918">
        <v>415321</v>
      </c>
      <c r="S918" t="s">
        <v>84</v>
      </c>
      <c r="T918" s="2">
        <v>247</v>
      </c>
      <c r="U918">
        <v>0</v>
      </c>
      <c r="V918" t="s">
        <v>260</v>
      </c>
      <c r="W918">
        <v>0</v>
      </c>
      <c r="X918">
        <v>0</v>
      </c>
      <c r="Y918">
        <v>0</v>
      </c>
      <c r="Z918" t="s">
        <v>88</v>
      </c>
      <c r="AA918" t="s">
        <v>1740</v>
      </c>
      <c r="AB918" t="s">
        <v>10</v>
      </c>
      <c r="AC918">
        <v>0</v>
      </c>
      <c r="AD918">
        <v>0</v>
      </c>
      <c r="AE918">
        <v>726182083970</v>
      </c>
      <c r="AF918">
        <v>595.30999999999995</v>
      </c>
      <c r="AG918">
        <v>0</v>
      </c>
      <c r="AH918">
        <v>18.34</v>
      </c>
      <c r="AI918">
        <v>613.65</v>
      </c>
      <c r="AJ918" t="s">
        <v>2</v>
      </c>
      <c r="AK918" t="s">
        <v>11</v>
      </c>
    </row>
    <row r="919" spans="1:37">
      <c r="A919">
        <v>257847</v>
      </c>
      <c r="B919" s="1">
        <v>45366</v>
      </c>
      <c r="C919" t="s">
        <v>1305</v>
      </c>
      <c r="D919" t="s">
        <v>1306</v>
      </c>
      <c r="E919" t="s">
        <v>2</v>
      </c>
      <c r="F919" t="s">
        <v>1307</v>
      </c>
      <c r="G919" t="s">
        <v>28</v>
      </c>
      <c r="H919">
        <v>34233</v>
      </c>
      <c r="I919" t="s">
        <v>1305</v>
      </c>
      <c r="J919" t="s">
        <v>1306</v>
      </c>
      <c r="K919" t="s">
        <v>2</v>
      </c>
      <c r="L919" t="s">
        <v>1307</v>
      </c>
      <c r="M919" t="s">
        <v>28</v>
      </c>
      <c r="N919">
        <v>34233</v>
      </c>
      <c r="O919" t="s">
        <v>1312</v>
      </c>
      <c r="P919" t="s">
        <v>1737</v>
      </c>
      <c r="Q919" t="s">
        <v>21</v>
      </c>
      <c r="R919">
        <v>415321</v>
      </c>
      <c r="S919" t="s">
        <v>84</v>
      </c>
      <c r="T919" s="2">
        <v>247</v>
      </c>
      <c r="U919">
        <v>0</v>
      </c>
      <c r="V919" t="s">
        <v>260</v>
      </c>
      <c r="W919">
        <v>3</v>
      </c>
      <c r="X919">
        <v>3</v>
      </c>
      <c r="Y919">
        <v>0</v>
      </c>
      <c r="Z919" t="s">
        <v>1755</v>
      </c>
      <c r="AA919" t="s">
        <v>1756</v>
      </c>
      <c r="AB919" t="s">
        <v>14</v>
      </c>
      <c r="AC919">
        <v>2.14</v>
      </c>
      <c r="AD919">
        <v>6.42</v>
      </c>
      <c r="AE919">
        <v>726182083970</v>
      </c>
      <c r="AF919">
        <v>595.30999999999995</v>
      </c>
      <c r="AG919">
        <v>0</v>
      </c>
      <c r="AH919">
        <v>18.34</v>
      </c>
      <c r="AI919">
        <v>613.65</v>
      </c>
      <c r="AJ919" t="s">
        <v>2</v>
      </c>
      <c r="AK919" t="s">
        <v>11</v>
      </c>
    </row>
    <row r="920" spans="1:37">
      <c r="A920">
        <v>257847</v>
      </c>
      <c r="B920" s="1">
        <v>45366</v>
      </c>
      <c r="C920" t="s">
        <v>1305</v>
      </c>
      <c r="D920" t="s">
        <v>1306</v>
      </c>
      <c r="E920" t="s">
        <v>2</v>
      </c>
      <c r="F920" t="s">
        <v>1307</v>
      </c>
      <c r="G920" t="s">
        <v>28</v>
      </c>
      <c r="H920">
        <v>34233</v>
      </c>
      <c r="I920" t="s">
        <v>1305</v>
      </c>
      <c r="J920" t="s">
        <v>1306</v>
      </c>
      <c r="K920" t="s">
        <v>2</v>
      </c>
      <c r="L920" t="s">
        <v>1307</v>
      </c>
      <c r="M920" t="s">
        <v>28</v>
      </c>
      <c r="N920">
        <v>34233</v>
      </c>
      <c r="O920" t="s">
        <v>1312</v>
      </c>
      <c r="P920" t="s">
        <v>1737</v>
      </c>
      <c r="Q920" t="s">
        <v>21</v>
      </c>
      <c r="R920">
        <v>415321</v>
      </c>
      <c r="S920" t="s">
        <v>84</v>
      </c>
      <c r="T920" s="2">
        <v>247</v>
      </c>
      <c r="U920">
        <v>0</v>
      </c>
      <c r="V920" t="s">
        <v>260</v>
      </c>
      <c r="W920">
        <v>0</v>
      </c>
      <c r="X920">
        <v>0</v>
      </c>
      <c r="Y920">
        <v>0</v>
      </c>
      <c r="Z920" t="s">
        <v>88</v>
      </c>
      <c r="AA920" t="s">
        <v>1740</v>
      </c>
      <c r="AB920" t="s">
        <v>10</v>
      </c>
      <c r="AC920">
        <v>0</v>
      </c>
      <c r="AD920">
        <v>0</v>
      </c>
      <c r="AE920">
        <v>726182083970</v>
      </c>
      <c r="AF920">
        <v>595.30999999999995</v>
      </c>
      <c r="AG920">
        <v>0</v>
      </c>
      <c r="AH920">
        <v>18.34</v>
      </c>
      <c r="AI920">
        <v>613.65</v>
      </c>
      <c r="AJ920" t="s">
        <v>2</v>
      </c>
      <c r="AK920" t="s">
        <v>11</v>
      </c>
    </row>
    <row r="921" spans="1:37">
      <c r="A921">
        <v>257847</v>
      </c>
      <c r="B921" s="1">
        <v>45366</v>
      </c>
      <c r="C921" t="s">
        <v>1305</v>
      </c>
      <c r="D921" t="s">
        <v>1306</v>
      </c>
      <c r="E921" t="s">
        <v>2</v>
      </c>
      <c r="F921" t="s">
        <v>1307</v>
      </c>
      <c r="G921" t="s">
        <v>28</v>
      </c>
      <c r="H921">
        <v>34233</v>
      </c>
      <c r="I921" t="s">
        <v>1305</v>
      </c>
      <c r="J921" t="s">
        <v>1306</v>
      </c>
      <c r="K921" t="s">
        <v>2</v>
      </c>
      <c r="L921" t="s">
        <v>1307</v>
      </c>
      <c r="M921" t="s">
        <v>28</v>
      </c>
      <c r="N921">
        <v>34233</v>
      </c>
      <c r="O921" t="s">
        <v>1312</v>
      </c>
      <c r="P921" t="s">
        <v>1737</v>
      </c>
      <c r="Q921" t="s">
        <v>21</v>
      </c>
      <c r="R921">
        <v>415321</v>
      </c>
      <c r="S921" t="s">
        <v>84</v>
      </c>
      <c r="T921" s="2">
        <v>247</v>
      </c>
      <c r="U921">
        <v>0</v>
      </c>
      <c r="V921" t="s">
        <v>260</v>
      </c>
      <c r="W921">
        <v>3</v>
      </c>
      <c r="X921">
        <v>3</v>
      </c>
      <c r="Y921">
        <v>0</v>
      </c>
      <c r="Z921" t="s">
        <v>1757</v>
      </c>
      <c r="AA921" t="s">
        <v>1758</v>
      </c>
      <c r="AB921" t="s">
        <v>14</v>
      </c>
      <c r="AC921">
        <v>2.14</v>
      </c>
      <c r="AD921">
        <v>6.42</v>
      </c>
      <c r="AE921">
        <v>726182083970</v>
      </c>
      <c r="AF921">
        <v>595.30999999999995</v>
      </c>
      <c r="AG921">
        <v>0</v>
      </c>
      <c r="AH921">
        <v>18.34</v>
      </c>
      <c r="AI921">
        <v>613.65</v>
      </c>
      <c r="AJ921" t="s">
        <v>2</v>
      </c>
      <c r="AK921" t="s">
        <v>11</v>
      </c>
    </row>
    <row r="922" spans="1:37">
      <c r="A922">
        <v>257847</v>
      </c>
      <c r="B922" s="1">
        <v>45366</v>
      </c>
      <c r="C922" t="s">
        <v>1305</v>
      </c>
      <c r="D922" t="s">
        <v>1306</v>
      </c>
      <c r="E922" t="s">
        <v>2</v>
      </c>
      <c r="F922" t="s">
        <v>1307</v>
      </c>
      <c r="G922" t="s">
        <v>28</v>
      </c>
      <c r="H922">
        <v>34233</v>
      </c>
      <c r="I922" t="s">
        <v>1305</v>
      </c>
      <c r="J922" t="s">
        <v>1306</v>
      </c>
      <c r="K922" t="s">
        <v>2</v>
      </c>
      <c r="L922" t="s">
        <v>1307</v>
      </c>
      <c r="M922" t="s">
        <v>28</v>
      </c>
      <c r="N922">
        <v>34233</v>
      </c>
      <c r="O922" t="s">
        <v>1312</v>
      </c>
      <c r="P922" t="s">
        <v>1737</v>
      </c>
      <c r="Q922" t="s">
        <v>21</v>
      </c>
      <c r="R922">
        <v>415321</v>
      </c>
      <c r="S922" t="s">
        <v>84</v>
      </c>
      <c r="T922" s="2">
        <v>247</v>
      </c>
      <c r="U922">
        <v>0</v>
      </c>
      <c r="V922" t="s">
        <v>260</v>
      </c>
      <c r="W922">
        <v>0</v>
      </c>
      <c r="X922">
        <v>0</v>
      </c>
      <c r="Y922">
        <v>0</v>
      </c>
      <c r="Z922" t="s">
        <v>88</v>
      </c>
      <c r="AA922" t="s">
        <v>1740</v>
      </c>
      <c r="AB922" t="s">
        <v>10</v>
      </c>
      <c r="AC922">
        <v>0</v>
      </c>
      <c r="AD922">
        <v>0</v>
      </c>
      <c r="AE922">
        <v>726182083970</v>
      </c>
      <c r="AF922">
        <v>595.30999999999995</v>
      </c>
      <c r="AG922">
        <v>0</v>
      </c>
      <c r="AH922">
        <v>18.34</v>
      </c>
      <c r="AI922">
        <v>613.65</v>
      </c>
      <c r="AJ922" t="s">
        <v>2</v>
      </c>
      <c r="AK922" t="s">
        <v>11</v>
      </c>
    </row>
    <row r="923" spans="1:37">
      <c r="A923">
        <v>257847</v>
      </c>
      <c r="B923" s="1">
        <v>45366</v>
      </c>
      <c r="C923" t="s">
        <v>1305</v>
      </c>
      <c r="D923" t="s">
        <v>1306</v>
      </c>
      <c r="E923" t="s">
        <v>2</v>
      </c>
      <c r="F923" t="s">
        <v>1307</v>
      </c>
      <c r="G923" t="s">
        <v>28</v>
      </c>
      <c r="H923">
        <v>34233</v>
      </c>
      <c r="I923" t="s">
        <v>1305</v>
      </c>
      <c r="J923" t="s">
        <v>1306</v>
      </c>
      <c r="K923" t="s">
        <v>2</v>
      </c>
      <c r="L923" t="s">
        <v>1307</v>
      </c>
      <c r="M923" t="s">
        <v>28</v>
      </c>
      <c r="N923">
        <v>34233</v>
      </c>
      <c r="O923" t="s">
        <v>1312</v>
      </c>
      <c r="P923" t="s">
        <v>1737</v>
      </c>
      <c r="Q923" t="s">
        <v>21</v>
      </c>
      <c r="R923">
        <v>415321</v>
      </c>
      <c r="S923" t="s">
        <v>84</v>
      </c>
      <c r="T923" s="2">
        <v>247</v>
      </c>
      <c r="U923">
        <v>0</v>
      </c>
      <c r="V923" t="s">
        <v>260</v>
      </c>
      <c r="W923">
        <v>3</v>
      </c>
      <c r="X923">
        <v>3</v>
      </c>
      <c r="Y923">
        <v>0</v>
      </c>
      <c r="Z923" t="s">
        <v>1759</v>
      </c>
      <c r="AA923" t="s">
        <v>1760</v>
      </c>
      <c r="AB923" t="s">
        <v>14</v>
      </c>
      <c r="AC923">
        <v>2.14</v>
      </c>
      <c r="AD923">
        <v>6.42</v>
      </c>
      <c r="AE923">
        <v>726182083970</v>
      </c>
      <c r="AF923">
        <v>595.30999999999995</v>
      </c>
      <c r="AG923">
        <v>0</v>
      </c>
      <c r="AH923">
        <v>18.34</v>
      </c>
      <c r="AI923">
        <v>613.65</v>
      </c>
      <c r="AJ923" t="s">
        <v>2</v>
      </c>
      <c r="AK923" t="s">
        <v>11</v>
      </c>
    </row>
    <row r="924" spans="1:37">
      <c r="A924">
        <v>257847</v>
      </c>
      <c r="B924" s="1">
        <v>45366</v>
      </c>
      <c r="C924" t="s">
        <v>1305</v>
      </c>
      <c r="D924" t="s">
        <v>1306</v>
      </c>
      <c r="E924" t="s">
        <v>2</v>
      </c>
      <c r="F924" t="s">
        <v>1307</v>
      </c>
      <c r="G924" t="s">
        <v>28</v>
      </c>
      <c r="H924">
        <v>34233</v>
      </c>
      <c r="I924" t="s">
        <v>1305</v>
      </c>
      <c r="J924" t="s">
        <v>1306</v>
      </c>
      <c r="K924" t="s">
        <v>2</v>
      </c>
      <c r="L924" t="s">
        <v>1307</v>
      </c>
      <c r="M924" t="s">
        <v>28</v>
      </c>
      <c r="N924">
        <v>34233</v>
      </c>
      <c r="O924" t="s">
        <v>1312</v>
      </c>
      <c r="P924" t="s">
        <v>1737</v>
      </c>
      <c r="Q924" t="s">
        <v>21</v>
      </c>
      <c r="R924">
        <v>415321</v>
      </c>
      <c r="S924" t="s">
        <v>84</v>
      </c>
      <c r="T924" s="2">
        <v>247</v>
      </c>
      <c r="U924">
        <v>0</v>
      </c>
      <c r="V924" t="s">
        <v>260</v>
      </c>
      <c r="W924">
        <v>0</v>
      </c>
      <c r="X924">
        <v>0</v>
      </c>
      <c r="Y924">
        <v>0</v>
      </c>
      <c r="Z924" t="s">
        <v>88</v>
      </c>
      <c r="AA924" t="s">
        <v>1740</v>
      </c>
      <c r="AB924" t="s">
        <v>10</v>
      </c>
      <c r="AC924">
        <v>0</v>
      </c>
      <c r="AD924">
        <v>0</v>
      </c>
      <c r="AE924">
        <v>726182083970</v>
      </c>
      <c r="AF924">
        <v>595.30999999999995</v>
      </c>
      <c r="AG924">
        <v>0</v>
      </c>
      <c r="AH924">
        <v>18.34</v>
      </c>
      <c r="AI924">
        <v>613.65</v>
      </c>
      <c r="AJ924" t="s">
        <v>2</v>
      </c>
      <c r="AK924" t="s">
        <v>11</v>
      </c>
    </row>
    <row r="925" spans="1:37">
      <c r="A925">
        <v>257847</v>
      </c>
      <c r="B925" s="1">
        <v>45366</v>
      </c>
      <c r="C925" t="s">
        <v>1305</v>
      </c>
      <c r="D925" t="s">
        <v>1306</v>
      </c>
      <c r="E925" t="s">
        <v>2</v>
      </c>
      <c r="F925" t="s">
        <v>1307</v>
      </c>
      <c r="G925" t="s">
        <v>28</v>
      </c>
      <c r="H925">
        <v>34233</v>
      </c>
      <c r="I925" t="s">
        <v>1305</v>
      </c>
      <c r="J925" t="s">
        <v>1306</v>
      </c>
      <c r="K925" t="s">
        <v>2</v>
      </c>
      <c r="L925" t="s">
        <v>1307</v>
      </c>
      <c r="M925" t="s">
        <v>28</v>
      </c>
      <c r="N925">
        <v>34233</v>
      </c>
      <c r="O925" t="s">
        <v>1312</v>
      </c>
      <c r="P925" t="s">
        <v>1737</v>
      </c>
      <c r="Q925" t="s">
        <v>21</v>
      </c>
      <c r="R925">
        <v>415321</v>
      </c>
      <c r="S925" t="s">
        <v>84</v>
      </c>
      <c r="T925" s="2">
        <v>247</v>
      </c>
      <c r="U925">
        <v>0</v>
      </c>
      <c r="V925" t="s">
        <v>260</v>
      </c>
      <c r="W925">
        <v>3</v>
      </c>
      <c r="X925">
        <v>3</v>
      </c>
      <c r="Y925">
        <v>0</v>
      </c>
      <c r="Z925" t="s">
        <v>1761</v>
      </c>
      <c r="AA925" t="s">
        <v>1762</v>
      </c>
      <c r="AB925" t="s">
        <v>14</v>
      </c>
      <c r="AC925">
        <v>2.14</v>
      </c>
      <c r="AD925">
        <v>6.42</v>
      </c>
      <c r="AE925">
        <v>726182083970</v>
      </c>
      <c r="AF925">
        <v>595.30999999999995</v>
      </c>
      <c r="AG925">
        <v>0</v>
      </c>
      <c r="AH925">
        <v>18.34</v>
      </c>
      <c r="AI925">
        <v>613.65</v>
      </c>
      <c r="AJ925" t="s">
        <v>2</v>
      </c>
      <c r="AK925" t="s">
        <v>11</v>
      </c>
    </row>
    <row r="926" spans="1:37">
      <c r="A926">
        <v>257847</v>
      </c>
      <c r="B926" s="1">
        <v>45366</v>
      </c>
      <c r="C926" t="s">
        <v>1305</v>
      </c>
      <c r="D926" t="s">
        <v>1306</v>
      </c>
      <c r="E926" t="s">
        <v>2</v>
      </c>
      <c r="F926" t="s">
        <v>1307</v>
      </c>
      <c r="G926" t="s">
        <v>28</v>
      </c>
      <c r="H926">
        <v>34233</v>
      </c>
      <c r="I926" t="s">
        <v>1305</v>
      </c>
      <c r="J926" t="s">
        <v>1306</v>
      </c>
      <c r="K926" t="s">
        <v>2</v>
      </c>
      <c r="L926" t="s">
        <v>1307</v>
      </c>
      <c r="M926" t="s">
        <v>28</v>
      </c>
      <c r="N926">
        <v>34233</v>
      </c>
      <c r="O926" t="s">
        <v>1312</v>
      </c>
      <c r="P926" t="s">
        <v>1737</v>
      </c>
      <c r="Q926" t="s">
        <v>21</v>
      </c>
      <c r="R926">
        <v>415321</v>
      </c>
      <c r="S926" t="s">
        <v>84</v>
      </c>
      <c r="T926" s="2">
        <v>247</v>
      </c>
      <c r="U926">
        <v>0</v>
      </c>
      <c r="V926" t="s">
        <v>260</v>
      </c>
      <c r="W926">
        <v>0</v>
      </c>
      <c r="X926">
        <v>0</v>
      </c>
      <c r="Y926">
        <v>0</v>
      </c>
      <c r="Z926" t="s">
        <v>88</v>
      </c>
      <c r="AA926" t="s">
        <v>1740</v>
      </c>
      <c r="AB926" t="s">
        <v>10</v>
      </c>
      <c r="AC926">
        <v>0</v>
      </c>
      <c r="AD926">
        <v>0</v>
      </c>
      <c r="AE926">
        <v>726182083970</v>
      </c>
      <c r="AF926">
        <v>595.30999999999995</v>
      </c>
      <c r="AG926">
        <v>0</v>
      </c>
      <c r="AH926">
        <v>18.34</v>
      </c>
      <c r="AI926">
        <v>613.65</v>
      </c>
      <c r="AJ926" t="s">
        <v>2</v>
      </c>
      <c r="AK926" t="s">
        <v>11</v>
      </c>
    </row>
    <row r="927" spans="1:37">
      <c r="A927">
        <v>257847</v>
      </c>
      <c r="B927" s="1">
        <v>45366</v>
      </c>
      <c r="C927" t="s">
        <v>1305</v>
      </c>
      <c r="D927" t="s">
        <v>1306</v>
      </c>
      <c r="E927" t="s">
        <v>2</v>
      </c>
      <c r="F927" t="s">
        <v>1307</v>
      </c>
      <c r="G927" t="s">
        <v>28</v>
      </c>
      <c r="H927">
        <v>34233</v>
      </c>
      <c r="I927" t="s">
        <v>1305</v>
      </c>
      <c r="J927" t="s">
        <v>1306</v>
      </c>
      <c r="K927" t="s">
        <v>2</v>
      </c>
      <c r="L927" t="s">
        <v>1307</v>
      </c>
      <c r="M927" t="s">
        <v>28</v>
      </c>
      <c r="N927">
        <v>34233</v>
      </c>
      <c r="O927" t="s">
        <v>1312</v>
      </c>
      <c r="P927" t="s">
        <v>1737</v>
      </c>
      <c r="Q927" t="s">
        <v>21</v>
      </c>
      <c r="R927">
        <v>415321</v>
      </c>
      <c r="S927" t="s">
        <v>84</v>
      </c>
      <c r="T927" s="2">
        <v>247</v>
      </c>
      <c r="U927">
        <v>0</v>
      </c>
      <c r="V927" t="s">
        <v>260</v>
      </c>
      <c r="W927">
        <v>3</v>
      </c>
      <c r="X927">
        <v>3</v>
      </c>
      <c r="Y927">
        <v>0</v>
      </c>
      <c r="Z927" t="s">
        <v>1763</v>
      </c>
      <c r="AA927" t="s">
        <v>1764</v>
      </c>
      <c r="AB927" t="s">
        <v>14</v>
      </c>
      <c r="AC927">
        <v>1.2743</v>
      </c>
      <c r="AD927">
        <v>3.82</v>
      </c>
      <c r="AE927">
        <v>726182083970</v>
      </c>
      <c r="AF927">
        <v>595.30999999999995</v>
      </c>
      <c r="AG927">
        <v>0</v>
      </c>
      <c r="AH927">
        <v>18.34</v>
      </c>
      <c r="AI927">
        <v>613.65</v>
      </c>
      <c r="AJ927" t="s">
        <v>2</v>
      </c>
      <c r="AK927" t="s">
        <v>11</v>
      </c>
    </row>
    <row r="928" spans="1:37">
      <c r="A928">
        <v>257847</v>
      </c>
      <c r="B928" s="1">
        <v>45366</v>
      </c>
      <c r="C928" t="s">
        <v>1305</v>
      </c>
      <c r="D928" t="s">
        <v>1306</v>
      </c>
      <c r="E928" t="s">
        <v>2</v>
      </c>
      <c r="F928" t="s">
        <v>1307</v>
      </c>
      <c r="G928" t="s">
        <v>28</v>
      </c>
      <c r="H928">
        <v>34233</v>
      </c>
      <c r="I928" t="s">
        <v>1305</v>
      </c>
      <c r="J928" t="s">
        <v>1306</v>
      </c>
      <c r="K928" t="s">
        <v>2</v>
      </c>
      <c r="L928" t="s">
        <v>1307</v>
      </c>
      <c r="M928" t="s">
        <v>28</v>
      </c>
      <c r="N928">
        <v>34233</v>
      </c>
      <c r="O928" t="s">
        <v>1312</v>
      </c>
      <c r="P928" t="s">
        <v>1737</v>
      </c>
      <c r="Q928" t="s">
        <v>21</v>
      </c>
      <c r="R928">
        <v>415321</v>
      </c>
      <c r="S928" t="s">
        <v>84</v>
      </c>
      <c r="T928" s="2">
        <v>247</v>
      </c>
      <c r="U928">
        <v>0</v>
      </c>
      <c r="V928" t="s">
        <v>260</v>
      </c>
      <c r="W928">
        <v>0</v>
      </c>
      <c r="X928">
        <v>0</v>
      </c>
      <c r="Y928">
        <v>0</v>
      </c>
      <c r="Z928" t="s">
        <v>88</v>
      </c>
      <c r="AA928" t="s">
        <v>1765</v>
      </c>
      <c r="AB928" t="s">
        <v>10</v>
      </c>
      <c r="AC928">
        <v>0</v>
      </c>
      <c r="AD928">
        <v>0</v>
      </c>
      <c r="AE928">
        <v>726182083970</v>
      </c>
      <c r="AF928">
        <v>595.30999999999995</v>
      </c>
      <c r="AG928">
        <v>0</v>
      </c>
      <c r="AH928">
        <v>18.34</v>
      </c>
      <c r="AI928">
        <v>613.65</v>
      </c>
      <c r="AJ928" t="s">
        <v>2</v>
      </c>
      <c r="AK928" t="s">
        <v>11</v>
      </c>
    </row>
    <row r="929" spans="1:37">
      <c r="A929">
        <v>257847</v>
      </c>
      <c r="B929" s="1">
        <v>45366</v>
      </c>
      <c r="C929" t="s">
        <v>1305</v>
      </c>
      <c r="D929" t="s">
        <v>1306</v>
      </c>
      <c r="E929" t="s">
        <v>2</v>
      </c>
      <c r="F929" t="s">
        <v>1307</v>
      </c>
      <c r="G929" t="s">
        <v>28</v>
      </c>
      <c r="H929">
        <v>34233</v>
      </c>
      <c r="I929" t="s">
        <v>1305</v>
      </c>
      <c r="J929" t="s">
        <v>1306</v>
      </c>
      <c r="K929" t="s">
        <v>2</v>
      </c>
      <c r="L929" t="s">
        <v>1307</v>
      </c>
      <c r="M929" t="s">
        <v>28</v>
      </c>
      <c r="N929">
        <v>34233</v>
      </c>
      <c r="O929" t="s">
        <v>1312</v>
      </c>
      <c r="P929" t="s">
        <v>1737</v>
      </c>
      <c r="Q929" t="s">
        <v>21</v>
      </c>
      <c r="R929">
        <v>415321</v>
      </c>
      <c r="S929" t="s">
        <v>84</v>
      </c>
      <c r="T929" s="2">
        <v>247</v>
      </c>
      <c r="U929">
        <v>0</v>
      </c>
      <c r="V929" t="s">
        <v>260</v>
      </c>
      <c r="W929">
        <v>3</v>
      </c>
      <c r="X929">
        <v>3</v>
      </c>
      <c r="Y929">
        <v>0</v>
      </c>
      <c r="Z929" t="s">
        <v>1766</v>
      </c>
      <c r="AA929" t="s">
        <v>1767</v>
      </c>
      <c r="AB929" t="s">
        <v>14</v>
      </c>
      <c r="AC929">
        <v>1.2743</v>
      </c>
      <c r="AD929">
        <v>3.82</v>
      </c>
      <c r="AE929">
        <v>726182083970</v>
      </c>
      <c r="AF929">
        <v>595.30999999999995</v>
      </c>
      <c r="AG929">
        <v>0</v>
      </c>
      <c r="AH929">
        <v>18.34</v>
      </c>
      <c r="AI929">
        <v>613.65</v>
      </c>
      <c r="AJ929" t="s">
        <v>2</v>
      </c>
      <c r="AK929" t="s">
        <v>11</v>
      </c>
    </row>
    <row r="930" spans="1:37">
      <c r="A930">
        <v>257847</v>
      </c>
      <c r="B930" s="1">
        <v>45366</v>
      </c>
      <c r="C930" t="s">
        <v>1305</v>
      </c>
      <c r="D930" t="s">
        <v>1306</v>
      </c>
      <c r="E930" t="s">
        <v>2</v>
      </c>
      <c r="F930" t="s">
        <v>1307</v>
      </c>
      <c r="G930" t="s">
        <v>28</v>
      </c>
      <c r="H930">
        <v>34233</v>
      </c>
      <c r="I930" t="s">
        <v>1305</v>
      </c>
      <c r="J930" t="s">
        <v>1306</v>
      </c>
      <c r="K930" t="s">
        <v>2</v>
      </c>
      <c r="L930" t="s">
        <v>1307</v>
      </c>
      <c r="M930" t="s">
        <v>28</v>
      </c>
      <c r="N930">
        <v>34233</v>
      </c>
      <c r="O930" t="s">
        <v>1312</v>
      </c>
      <c r="P930" t="s">
        <v>1737</v>
      </c>
      <c r="Q930" t="s">
        <v>21</v>
      </c>
      <c r="R930">
        <v>415321</v>
      </c>
      <c r="S930" t="s">
        <v>84</v>
      </c>
      <c r="T930" s="2">
        <v>247</v>
      </c>
      <c r="U930">
        <v>0</v>
      </c>
      <c r="V930" t="s">
        <v>260</v>
      </c>
      <c r="W930">
        <v>0</v>
      </c>
      <c r="X930">
        <v>0</v>
      </c>
      <c r="Y930">
        <v>0</v>
      </c>
      <c r="Z930" t="s">
        <v>88</v>
      </c>
      <c r="AA930" t="s">
        <v>1765</v>
      </c>
      <c r="AB930" t="s">
        <v>10</v>
      </c>
      <c r="AC930">
        <v>0</v>
      </c>
      <c r="AD930">
        <v>0</v>
      </c>
      <c r="AE930">
        <v>726182083970</v>
      </c>
      <c r="AF930">
        <v>595.30999999999995</v>
      </c>
      <c r="AG930">
        <v>0</v>
      </c>
      <c r="AH930">
        <v>18.34</v>
      </c>
      <c r="AI930">
        <v>613.65</v>
      </c>
      <c r="AJ930" t="s">
        <v>2</v>
      </c>
      <c r="AK930" t="s">
        <v>11</v>
      </c>
    </row>
    <row r="931" spans="1:37">
      <c r="A931">
        <v>257847</v>
      </c>
      <c r="B931" s="1">
        <v>45366</v>
      </c>
      <c r="C931" t="s">
        <v>1305</v>
      </c>
      <c r="D931" t="s">
        <v>1306</v>
      </c>
      <c r="E931" t="s">
        <v>2</v>
      </c>
      <c r="F931" t="s">
        <v>1307</v>
      </c>
      <c r="G931" t="s">
        <v>28</v>
      </c>
      <c r="H931">
        <v>34233</v>
      </c>
      <c r="I931" t="s">
        <v>1305</v>
      </c>
      <c r="J931" t="s">
        <v>1306</v>
      </c>
      <c r="K931" t="s">
        <v>2</v>
      </c>
      <c r="L931" t="s">
        <v>1307</v>
      </c>
      <c r="M931" t="s">
        <v>28</v>
      </c>
      <c r="N931">
        <v>34233</v>
      </c>
      <c r="O931" t="s">
        <v>1312</v>
      </c>
      <c r="P931" t="s">
        <v>1737</v>
      </c>
      <c r="Q931" t="s">
        <v>21</v>
      </c>
      <c r="R931">
        <v>415321</v>
      </c>
      <c r="S931" t="s">
        <v>84</v>
      </c>
      <c r="T931" s="2">
        <v>247</v>
      </c>
      <c r="U931">
        <v>0</v>
      </c>
      <c r="V931" t="s">
        <v>260</v>
      </c>
      <c r="W931">
        <v>5</v>
      </c>
      <c r="X931">
        <v>5</v>
      </c>
      <c r="Y931">
        <v>0</v>
      </c>
      <c r="Z931" t="s">
        <v>1718</v>
      </c>
      <c r="AA931" t="s">
        <v>1719</v>
      </c>
      <c r="AB931" t="s">
        <v>14</v>
      </c>
      <c r="AC931">
        <v>2.56</v>
      </c>
      <c r="AD931">
        <v>12.8</v>
      </c>
      <c r="AE931">
        <v>726182083970</v>
      </c>
      <c r="AF931">
        <v>595.30999999999995</v>
      </c>
      <c r="AG931">
        <v>0</v>
      </c>
      <c r="AH931">
        <v>18.34</v>
      </c>
      <c r="AI931">
        <v>613.65</v>
      </c>
      <c r="AJ931" t="s">
        <v>2</v>
      </c>
      <c r="AK931" t="s">
        <v>11</v>
      </c>
    </row>
    <row r="932" spans="1:37">
      <c r="A932">
        <v>257847</v>
      </c>
      <c r="B932" s="1">
        <v>45366</v>
      </c>
      <c r="C932" t="s">
        <v>1305</v>
      </c>
      <c r="D932" t="s">
        <v>1306</v>
      </c>
      <c r="E932" t="s">
        <v>2</v>
      </c>
      <c r="F932" t="s">
        <v>1307</v>
      </c>
      <c r="G932" t="s">
        <v>28</v>
      </c>
      <c r="H932">
        <v>34233</v>
      </c>
      <c r="I932" t="s">
        <v>1305</v>
      </c>
      <c r="J932" t="s">
        <v>1306</v>
      </c>
      <c r="K932" t="s">
        <v>2</v>
      </c>
      <c r="L932" t="s">
        <v>1307</v>
      </c>
      <c r="M932" t="s">
        <v>28</v>
      </c>
      <c r="N932">
        <v>34233</v>
      </c>
      <c r="O932" t="s">
        <v>1312</v>
      </c>
      <c r="P932" t="s">
        <v>1737</v>
      </c>
      <c r="Q932" t="s">
        <v>21</v>
      </c>
      <c r="R932">
        <v>415321</v>
      </c>
      <c r="S932" t="s">
        <v>84</v>
      </c>
      <c r="T932" s="2">
        <v>247</v>
      </c>
      <c r="U932">
        <v>0</v>
      </c>
      <c r="V932" t="s">
        <v>260</v>
      </c>
      <c r="W932">
        <v>0</v>
      </c>
      <c r="X932">
        <v>0</v>
      </c>
      <c r="Y932">
        <v>0</v>
      </c>
      <c r="Z932" t="s">
        <v>88</v>
      </c>
      <c r="AA932" t="s">
        <v>1720</v>
      </c>
      <c r="AB932" t="s">
        <v>10</v>
      </c>
      <c r="AC932">
        <v>0</v>
      </c>
      <c r="AD932">
        <v>0</v>
      </c>
      <c r="AE932">
        <v>726182083970</v>
      </c>
      <c r="AF932">
        <v>595.30999999999995</v>
      </c>
      <c r="AG932">
        <v>0</v>
      </c>
      <c r="AH932">
        <v>18.34</v>
      </c>
      <c r="AI932">
        <v>613.65</v>
      </c>
      <c r="AJ932" t="s">
        <v>2</v>
      </c>
      <c r="AK932" t="s">
        <v>11</v>
      </c>
    </row>
    <row r="933" spans="1:37">
      <c r="A933">
        <v>257847</v>
      </c>
      <c r="B933" s="1">
        <v>45366</v>
      </c>
      <c r="C933" t="s">
        <v>1305</v>
      </c>
      <c r="D933" t="s">
        <v>1306</v>
      </c>
      <c r="E933" t="s">
        <v>2</v>
      </c>
      <c r="F933" t="s">
        <v>1307</v>
      </c>
      <c r="G933" t="s">
        <v>28</v>
      </c>
      <c r="H933">
        <v>34233</v>
      </c>
      <c r="I933" t="s">
        <v>1305</v>
      </c>
      <c r="J933" t="s">
        <v>1306</v>
      </c>
      <c r="K933" t="s">
        <v>2</v>
      </c>
      <c r="L933" t="s">
        <v>1307</v>
      </c>
      <c r="M933" t="s">
        <v>28</v>
      </c>
      <c r="N933">
        <v>34233</v>
      </c>
      <c r="O933" t="s">
        <v>1312</v>
      </c>
      <c r="P933" t="s">
        <v>1737</v>
      </c>
      <c r="Q933" t="s">
        <v>21</v>
      </c>
      <c r="R933">
        <v>415321</v>
      </c>
      <c r="S933" t="s">
        <v>84</v>
      </c>
      <c r="T933" s="2">
        <v>247</v>
      </c>
      <c r="U933">
        <v>0</v>
      </c>
      <c r="V933" t="s">
        <v>260</v>
      </c>
      <c r="W933">
        <v>5</v>
      </c>
      <c r="X933">
        <v>5</v>
      </c>
      <c r="Y933">
        <v>0</v>
      </c>
      <c r="Z933" t="s">
        <v>1768</v>
      </c>
      <c r="AA933" t="s">
        <v>1769</v>
      </c>
      <c r="AB933" t="s">
        <v>14</v>
      </c>
      <c r="AC933">
        <v>2.56</v>
      </c>
      <c r="AD933">
        <v>12.8</v>
      </c>
      <c r="AE933">
        <v>726182083970</v>
      </c>
      <c r="AF933">
        <v>595.30999999999995</v>
      </c>
      <c r="AG933">
        <v>0</v>
      </c>
      <c r="AH933">
        <v>18.34</v>
      </c>
      <c r="AI933">
        <v>613.65</v>
      </c>
      <c r="AJ933" t="s">
        <v>2</v>
      </c>
      <c r="AK933" t="s">
        <v>11</v>
      </c>
    </row>
    <row r="934" spans="1:37">
      <c r="A934">
        <v>257847</v>
      </c>
      <c r="B934" s="1">
        <v>45366</v>
      </c>
      <c r="C934" t="s">
        <v>1305</v>
      </c>
      <c r="D934" t="s">
        <v>1306</v>
      </c>
      <c r="E934" t="s">
        <v>2</v>
      </c>
      <c r="F934" t="s">
        <v>1307</v>
      </c>
      <c r="G934" t="s">
        <v>28</v>
      </c>
      <c r="H934">
        <v>34233</v>
      </c>
      <c r="I934" t="s">
        <v>1305</v>
      </c>
      <c r="J934" t="s">
        <v>1306</v>
      </c>
      <c r="K934" t="s">
        <v>2</v>
      </c>
      <c r="L934" t="s">
        <v>1307</v>
      </c>
      <c r="M934" t="s">
        <v>28</v>
      </c>
      <c r="N934">
        <v>34233</v>
      </c>
      <c r="O934" t="s">
        <v>1312</v>
      </c>
      <c r="P934" t="s">
        <v>1737</v>
      </c>
      <c r="Q934" t="s">
        <v>21</v>
      </c>
      <c r="R934">
        <v>415321</v>
      </c>
      <c r="S934" t="s">
        <v>84</v>
      </c>
      <c r="T934" s="2">
        <v>247</v>
      </c>
      <c r="U934">
        <v>0</v>
      </c>
      <c r="V934" t="s">
        <v>260</v>
      </c>
      <c r="W934">
        <v>0</v>
      </c>
      <c r="X934">
        <v>0</v>
      </c>
      <c r="Y934">
        <v>0</v>
      </c>
      <c r="Z934" t="s">
        <v>88</v>
      </c>
      <c r="AA934" t="s">
        <v>1720</v>
      </c>
      <c r="AB934" t="s">
        <v>10</v>
      </c>
      <c r="AC934">
        <v>0</v>
      </c>
      <c r="AD934">
        <v>0</v>
      </c>
      <c r="AE934">
        <v>726182083970</v>
      </c>
      <c r="AF934">
        <v>595.30999999999995</v>
      </c>
      <c r="AG934">
        <v>0</v>
      </c>
      <c r="AH934">
        <v>18.34</v>
      </c>
      <c r="AI934">
        <v>613.65</v>
      </c>
      <c r="AJ934" t="s">
        <v>2</v>
      </c>
      <c r="AK934" t="s">
        <v>11</v>
      </c>
    </row>
    <row r="935" spans="1:37">
      <c r="A935">
        <v>257847</v>
      </c>
      <c r="B935" s="1">
        <v>45366</v>
      </c>
      <c r="C935" t="s">
        <v>1305</v>
      </c>
      <c r="D935" t="s">
        <v>1306</v>
      </c>
      <c r="E935" t="s">
        <v>2</v>
      </c>
      <c r="F935" t="s">
        <v>1307</v>
      </c>
      <c r="G935" t="s">
        <v>28</v>
      </c>
      <c r="H935">
        <v>34233</v>
      </c>
      <c r="I935" t="s">
        <v>1305</v>
      </c>
      <c r="J935" t="s">
        <v>1306</v>
      </c>
      <c r="K935" t="s">
        <v>2</v>
      </c>
      <c r="L935" t="s">
        <v>1307</v>
      </c>
      <c r="M935" t="s">
        <v>28</v>
      </c>
      <c r="N935">
        <v>34233</v>
      </c>
      <c r="O935" t="s">
        <v>1312</v>
      </c>
      <c r="P935" t="s">
        <v>1737</v>
      </c>
      <c r="Q935" t="s">
        <v>21</v>
      </c>
      <c r="R935">
        <v>415321</v>
      </c>
      <c r="S935" t="s">
        <v>84</v>
      </c>
      <c r="T935" s="2">
        <v>247</v>
      </c>
      <c r="U935">
        <v>0</v>
      </c>
      <c r="V935" t="s">
        <v>260</v>
      </c>
      <c r="W935">
        <v>5</v>
      </c>
      <c r="X935">
        <v>5</v>
      </c>
      <c r="Y935">
        <v>0</v>
      </c>
      <c r="Z935" t="s">
        <v>1770</v>
      </c>
      <c r="AA935" t="s">
        <v>1771</v>
      </c>
      <c r="AB935" t="s">
        <v>14</v>
      </c>
      <c r="AC935">
        <v>2.56</v>
      </c>
      <c r="AD935">
        <v>12.8</v>
      </c>
      <c r="AE935">
        <v>726182083970</v>
      </c>
      <c r="AF935">
        <v>595.30999999999995</v>
      </c>
      <c r="AG935">
        <v>0</v>
      </c>
      <c r="AH935">
        <v>18.34</v>
      </c>
      <c r="AI935">
        <v>613.65</v>
      </c>
      <c r="AJ935" t="s">
        <v>2</v>
      </c>
      <c r="AK935" t="s">
        <v>11</v>
      </c>
    </row>
    <row r="936" spans="1:37">
      <c r="A936">
        <v>257847</v>
      </c>
      <c r="B936" s="1">
        <v>45366</v>
      </c>
      <c r="C936" t="s">
        <v>1305</v>
      </c>
      <c r="D936" t="s">
        <v>1306</v>
      </c>
      <c r="E936" t="s">
        <v>2</v>
      </c>
      <c r="F936" t="s">
        <v>1307</v>
      </c>
      <c r="G936" t="s">
        <v>28</v>
      </c>
      <c r="H936">
        <v>34233</v>
      </c>
      <c r="I936" t="s">
        <v>1305</v>
      </c>
      <c r="J936" t="s">
        <v>1306</v>
      </c>
      <c r="K936" t="s">
        <v>2</v>
      </c>
      <c r="L936" t="s">
        <v>1307</v>
      </c>
      <c r="M936" t="s">
        <v>28</v>
      </c>
      <c r="N936">
        <v>34233</v>
      </c>
      <c r="O936" t="s">
        <v>1312</v>
      </c>
      <c r="P936" t="s">
        <v>1737</v>
      </c>
      <c r="Q936" t="s">
        <v>21</v>
      </c>
      <c r="R936">
        <v>415321</v>
      </c>
      <c r="S936" t="s">
        <v>84</v>
      </c>
      <c r="T936" s="2">
        <v>247</v>
      </c>
      <c r="U936">
        <v>0</v>
      </c>
      <c r="V936" t="s">
        <v>260</v>
      </c>
      <c r="W936">
        <v>0</v>
      </c>
      <c r="X936">
        <v>0</v>
      </c>
      <c r="Y936">
        <v>0</v>
      </c>
      <c r="Z936" t="s">
        <v>88</v>
      </c>
      <c r="AA936" t="s">
        <v>1720</v>
      </c>
      <c r="AB936" t="s">
        <v>10</v>
      </c>
      <c r="AC936">
        <v>0</v>
      </c>
      <c r="AD936">
        <v>0</v>
      </c>
      <c r="AE936">
        <v>726182083970</v>
      </c>
      <c r="AF936">
        <v>595.30999999999995</v>
      </c>
      <c r="AG936">
        <v>0</v>
      </c>
      <c r="AH936">
        <v>18.34</v>
      </c>
      <c r="AI936">
        <v>613.65</v>
      </c>
      <c r="AJ936" t="s">
        <v>2</v>
      </c>
      <c r="AK936" t="s">
        <v>11</v>
      </c>
    </row>
    <row r="937" spans="1:37">
      <c r="A937">
        <v>257847</v>
      </c>
      <c r="B937" s="1">
        <v>45366</v>
      </c>
      <c r="C937" t="s">
        <v>1305</v>
      </c>
      <c r="D937" t="s">
        <v>1306</v>
      </c>
      <c r="E937" t="s">
        <v>2</v>
      </c>
      <c r="F937" t="s">
        <v>1307</v>
      </c>
      <c r="G937" t="s">
        <v>28</v>
      </c>
      <c r="H937">
        <v>34233</v>
      </c>
      <c r="I937" t="s">
        <v>1305</v>
      </c>
      <c r="J937" t="s">
        <v>1306</v>
      </c>
      <c r="K937" t="s">
        <v>2</v>
      </c>
      <c r="L937" t="s">
        <v>1307</v>
      </c>
      <c r="M937" t="s">
        <v>28</v>
      </c>
      <c r="N937">
        <v>34233</v>
      </c>
      <c r="O937" t="s">
        <v>1312</v>
      </c>
      <c r="P937" t="s">
        <v>1737</v>
      </c>
      <c r="Q937" t="s">
        <v>21</v>
      </c>
      <c r="R937">
        <v>415321</v>
      </c>
      <c r="S937" t="s">
        <v>84</v>
      </c>
      <c r="T937" s="2">
        <v>247</v>
      </c>
      <c r="U937">
        <v>0</v>
      </c>
      <c r="V937" t="s">
        <v>260</v>
      </c>
      <c r="W937">
        <v>3</v>
      </c>
      <c r="X937">
        <v>3</v>
      </c>
      <c r="Y937">
        <v>0</v>
      </c>
      <c r="Z937" t="s">
        <v>1772</v>
      </c>
      <c r="AA937" t="s">
        <v>1773</v>
      </c>
      <c r="AB937" t="s">
        <v>14</v>
      </c>
      <c r="AC937">
        <v>2.56</v>
      </c>
      <c r="AD937">
        <v>7.68</v>
      </c>
      <c r="AE937">
        <v>726182083970</v>
      </c>
      <c r="AF937">
        <v>595.30999999999995</v>
      </c>
      <c r="AG937">
        <v>0</v>
      </c>
      <c r="AH937">
        <v>18.34</v>
      </c>
      <c r="AI937">
        <v>613.65</v>
      </c>
      <c r="AJ937" t="s">
        <v>2</v>
      </c>
      <c r="AK937" t="s">
        <v>11</v>
      </c>
    </row>
    <row r="938" spans="1:37">
      <c r="A938">
        <v>257847</v>
      </c>
      <c r="B938" s="1">
        <v>45366</v>
      </c>
      <c r="C938" t="s">
        <v>1305</v>
      </c>
      <c r="D938" t="s">
        <v>1306</v>
      </c>
      <c r="E938" t="s">
        <v>2</v>
      </c>
      <c r="F938" t="s">
        <v>1307</v>
      </c>
      <c r="G938" t="s">
        <v>28</v>
      </c>
      <c r="H938">
        <v>34233</v>
      </c>
      <c r="I938" t="s">
        <v>1305</v>
      </c>
      <c r="J938" t="s">
        <v>1306</v>
      </c>
      <c r="K938" t="s">
        <v>2</v>
      </c>
      <c r="L938" t="s">
        <v>1307</v>
      </c>
      <c r="M938" t="s">
        <v>28</v>
      </c>
      <c r="N938">
        <v>34233</v>
      </c>
      <c r="O938" t="s">
        <v>1312</v>
      </c>
      <c r="P938" t="s">
        <v>1737</v>
      </c>
      <c r="Q938" t="s">
        <v>21</v>
      </c>
      <c r="R938">
        <v>415321</v>
      </c>
      <c r="S938" t="s">
        <v>84</v>
      </c>
      <c r="T938" s="2">
        <v>247</v>
      </c>
      <c r="U938">
        <v>0</v>
      </c>
      <c r="V938" t="s">
        <v>260</v>
      </c>
      <c r="W938">
        <v>0</v>
      </c>
      <c r="X938">
        <v>0</v>
      </c>
      <c r="Y938">
        <v>0</v>
      </c>
      <c r="Z938" t="s">
        <v>88</v>
      </c>
      <c r="AA938" t="s">
        <v>1720</v>
      </c>
      <c r="AB938" t="s">
        <v>10</v>
      </c>
      <c r="AC938">
        <v>0</v>
      </c>
      <c r="AD938">
        <v>0</v>
      </c>
      <c r="AE938">
        <v>726182083970</v>
      </c>
      <c r="AF938">
        <v>595.30999999999995</v>
      </c>
      <c r="AG938">
        <v>0</v>
      </c>
      <c r="AH938">
        <v>18.34</v>
      </c>
      <c r="AI938">
        <v>613.65</v>
      </c>
      <c r="AJ938" t="s">
        <v>2</v>
      </c>
      <c r="AK938" t="s">
        <v>11</v>
      </c>
    </row>
    <row r="939" spans="1:37">
      <c r="A939">
        <v>257847</v>
      </c>
      <c r="B939" s="1">
        <v>45366</v>
      </c>
      <c r="C939" t="s">
        <v>1305</v>
      </c>
      <c r="D939" t="s">
        <v>1306</v>
      </c>
      <c r="E939" t="s">
        <v>2</v>
      </c>
      <c r="F939" t="s">
        <v>1307</v>
      </c>
      <c r="G939" t="s">
        <v>28</v>
      </c>
      <c r="H939">
        <v>34233</v>
      </c>
      <c r="I939" t="s">
        <v>1305</v>
      </c>
      <c r="J939" t="s">
        <v>1306</v>
      </c>
      <c r="K939" t="s">
        <v>2</v>
      </c>
      <c r="L939" t="s">
        <v>1307</v>
      </c>
      <c r="M939" t="s">
        <v>28</v>
      </c>
      <c r="N939">
        <v>34233</v>
      </c>
      <c r="O939" t="s">
        <v>1312</v>
      </c>
      <c r="P939" t="s">
        <v>1737</v>
      </c>
      <c r="Q939" t="s">
        <v>21</v>
      </c>
      <c r="R939">
        <v>415321</v>
      </c>
      <c r="S939" t="s">
        <v>84</v>
      </c>
      <c r="T939" s="2">
        <v>247</v>
      </c>
      <c r="U939">
        <v>0</v>
      </c>
      <c r="V939" t="s">
        <v>260</v>
      </c>
      <c r="W939">
        <v>5</v>
      </c>
      <c r="X939">
        <v>5</v>
      </c>
      <c r="Y939">
        <v>0</v>
      </c>
      <c r="Z939" t="s">
        <v>1774</v>
      </c>
      <c r="AA939" t="s">
        <v>1775</v>
      </c>
      <c r="AB939" t="s">
        <v>14</v>
      </c>
      <c r="AC939">
        <v>2.56</v>
      </c>
      <c r="AD939">
        <v>12.8</v>
      </c>
      <c r="AE939">
        <v>726182083970</v>
      </c>
      <c r="AF939">
        <v>595.30999999999995</v>
      </c>
      <c r="AG939">
        <v>0</v>
      </c>
      <c r="AH939">
        <v>18.34</v>
      </c>
      <c r="AI939">
        <v>613.65</v>
      </c>
      <c r="AJ939" t="s">
        <v>2</v>
      </c>
      <c r="AK939" t="s">
        <v>11</v>
      </c>
    </row>
    <row r="940" spans="1:37">
      <c r="A940">
        <v>257847</v>
      </c>
      <c r="B940" s="1">
        <v>45366</v>
      </c>
      <c r="C940" t="s">
        <v>1305</v>
      </c>
      <c r="D940" t="s">
        <v>1306</v>
      </c>
      <c r="E940" t="s">
        <v>2</v>
      </c>
      <c r="F940" t="s">
        <v>1307</v>
      </c>
      <c r="G940" t="s">
        <v>28</v>
      </c>
      <c r="H940">
        <v>34233</v>
      </c>
      <c r="I940" t="s">
        <v>1305</v>
      </c>
      <c r="J940" t="s">
        <v>1306</v>
      </c>
      <c r="K940" t="s">
        <v>2</v>
      </c>
      <c r="L940" t="s">
        <v>1307</v>
      </c>
      <c r="M940" t="s">
        <v>28</v>
      </c>
      <c r="N940">
        <v>34233</v>
      </c>
      <c r="O940" t="s">
        <v>1312</v>
      </c>
      <c r="P940" t="s">
        <v>1737</v>
      </c>
      <c r="Q940" t="s">
        <v>21</v>
      </c>
      <c r="R940">
        <v>415321</v>
      </c>
      <c r="S940" t="s">
        <v>84</v>
      </c>
      <c r="T940" s="2">
        <v>247</v>
      </c>
      <c r="U940">
        <v>0</v>
      </c>
      <c r="V940" t="s">
        <v>260</v>
      </c>
      <c r="W940">
        <v>0</v>
      </c>
      <c r="X940">
        <v>0</v>
      </c>
      <c r="Y940">
        <v>0</v>
      </c>
      <c r="Z940" t="s">
        <v>88</v>
      </c>
      <c r="AA940" t="s">
        <v>1720</v>
      </c>
      <c r="AB940" t="s">
        <v>10</v>
      </c>
      <c r="AC940">
        <v>0</v>
      </c>
      <c r="AD940">
        <v>0</v>
      </c>
      <c r="AE940">
        <v>726182083970</v>
      </c>
      <c r="AF940">
        <v>595.30999999999995</v>
      </c>
      <c r="AG940">
        <v>0</v>
      </c>
      <c r="AH940">
        <v>18.34</v>
      </c>
      <c r="AI940">
        <v>613.65</v>
      </c>
      <c r="AJ940" t="s">
        <v>2</v>
      </c>
      <c r="AK940" t="s">
        <v>11</v>
      </c>
    </row>
    <row r="941" spans="1:37">
      <c r="A941">
        <v>257847</v>
      </c>
      <c r="B941" s="1">
        <v>45366</v>
      </c>
      <c r="C941" t="s">
        <v>1305</v>
      </c>
      <c r="D941" t="s">
        <v>1306</v>
      </c>
      <c r="E941" t="s">
        <v>2</v>
      </c>
      <c r="F941" t="s">
        <v>1307</v>
      </c>
      <c r="G941" t="s">
        <v>28</v>
      </c>
      <c r="H941">
        <v>34233</v>
      </c>
      <c r="I941" t="s">
        <v>1305</v>
      </c>
      <c r="J941" t="s">
        <v>1306</v>
      </c>
      <c r="K941" t="s">
        <v>2</v>
      </c>
      <c r="L941" t="s">
        <v>1307</v>
      </c>
      <c r="M941" t="s">
        <v>28</v>
      </c>
      <c r="N941">
        <v>34233</v>
      </c>
      <c r="O941" t="s">
        <v>1312</v>
      </c>
      <c r="P941" t="s">
        <v>1737</v>
      </c>
      <c r="Q941" t="s">
        <v>21</v>
      </c>
      <c r="R941">
        <v>415321</v>
      </c>
      <c r="S941" t="s">
        <v>84</v>
      </c>
      <c r="T941" s="2">
        <v>247</v>
      </c>
      <c r="U941">
        <v>0</v>
      </c>
      <c r="V941" t="s">
        <v>260</v>
      </c>
      <c r="W941">
        <v>5</v>
      </c>
      <c r="X941">
        <v>0</v>
      </c>
      <c r="Y941">
        <v>5</v>
      </c>
      <c r="Z941" t="s">
        <v>1776</v>
      </c>
      <c r="AA941" t="s">
        <v>1777</v>
      </c>
      <c r="AB941" t="s">
        <v>14</v>
      </c>
      <c r="AC941">
        <v>2.56</v>
      </c>
      <c r="AD941">
        <v>0</v>
      </c>
      <c r="AE941">
        <v>726182083970</v>
      </c>
      <c r="AF941">
        <v>595.30999999999995</v>
      </c>
      <c r="AG941">
        <v>0</v>
      </c>
      <c r="AH941">
        <v>18.34</v>
      </c>
      <c r="AI941">
        <v>613.65</v>
      </c>
      <c r="AJ941" t="s">
        <v>2</v>
      </c>
      <c r="AK941" t="s">
        <v>11</v>
      </c>
    </row>
    <row r="942" spans="1:37">
      <c r="A942">
        <v>257847</v>
      </c>
      <c r="B942" s="1">
        <v>45366</v>
      </c>
      <c r="C942" t="s">
        <v>1305</v>
      </c>
      <c r="D942" t="s">
        <v>1306</v>
      </c>
      <c r="E942" t="s">
        <v>2</v>
      </c>
      <c r="F942" t="s">
        <v>1307</v>
      </c>
      <c r="G942" t="s">
        <v>28</v>
      </c>
      <c r="H942">
        <v>34233</v>
      </c>
      <c r="I942" t="s">
        <v>1305</v>
      </c>
      <c r="J942" t="s">
        <v>1306</v>
      </c>
      <c r="K942" t="s">
        <v>2</v>
      </c>
      <c r="L942" t="s">
        <v>1307</v>
      </c>
      <c r="M942" t="s">
        <v>28</v>
      </c>
      <c r="N942">
        <v>34233</v>
      </c>
      <c r="O942" t="s">
        <v>1312</v>
      </c>
      <c r="P942" t="s">
        <v>1737</v>
      </c>
      <c r="Q942" t="s">
        <v>21</v>
      </c>
      <c r="R942">
        <v>415321</v>
      </c>
      <c r="S942" t="s">
        <v>84</v>
      </c>
      <c r="T942" s="2">
        <v>247</v>
      </c>
      <c r="U942">
        <v>0</v>
      </c>
      <c r="V942" t="s">
        <v>260</v>
      </c>
      <c r="W942">
        <v>0</v>
      </c>
      <c r="X942">
        <v>0</v>
      </c>
      <c r="Y942">
        <v>0</v>
      </c>
      <c r="Z942" t="s">
        <v>88</v>
      </c>
      <c r="AA942" t="s">
        <v>1720</v>
      </c>
      <c r="AB942" t="s">
        <v>10</v>
      </c>
      <c r="AC942">
        <v>0</v>
      </c>
      <c r="AD942">
        <v>0</v>
      </c>
      <c r="AE942">
        <v>726182083970</v>
      </c>
      <c r="AF942">
        <v>595.30999999999995</v>
      </c>
      <c r="AG942">
        <v>0</v>
      </c>
      <c r="AH942">
        <v>18.34</v>
      </c>
      <c r="AI942">
        <v>613.65</v>
      </c>
      <c r="AJ942" t="s">
        <v>2</v>
      </c>
      <c r="AK942" t="s">
        <v>11</v>
      </c>
    </row>
    <row r="943" spans="1:37">
      <c r="A943">
        <v>257847</v>
      </c>
      <c r="B943" s="1">
        <v>45366</v>
      </c>
      <c r="C943" t="s">
        <v>1305</v>
      </c>
      <c r="D943" t="s">
        <v>1306</v>
      </c>
      <c r="E943" t="s">
        <v>2</v>
      </c>
      <c r="F943" t="s">
        <v>1307</v>
      </c>
      <c r="G943" t="s">
        <v>28</v>
      </c>
      <c r="H943">
        <v>34233</v>
      </c>
      <c r="I943" t="s">
        <v>1305</v>
      </c>
      <c r="J943" t="s">
        <v>1306</v>
      </c>
      <c r="K943" t="s">
        <v>2</v>
      </c>
      <c r="L943" t="s">
        <v>1307</v>
      </c>
      <c r="M943" t="s">
        <v>28</v>
      </c>
      <c r="N943">
        <v>34233</v>
      </c>
      <c r="O943" t="s">
        <v>1312</v>
      </c>
      <c r="P943" t="s">
        <v>1737</v>
      </c>
      <c r="Q943" t="s">
        <v>21</v>
      </c>
      <c r="R943">
        <v>415321</v>
      </c>
      <c r="S943" t="s">
        <v>84</v>
      </c>
      <c r="T943" s="2">
        <v>247</v>
      </c>
      <c r="U943">
        <v>0</v>
      </c>
      <c r="V943" t="s">
        <v>260</v>
      </c>
      <c r="W943">
        <v>3</v>
      </c>
      <c r="X943">
        <v>3</v>
      </c>
      <c r="Y943">
        <v>0</v>
      </c>
      <c r="Z943" t="s">
        <v>1778</v>
      </c>
      <c r="AA943" t="s">
        <v>1779</v>
      </c>
      <c r="AB943" t="s">
        <v>14</v>
      </c>
      <c r="AC943">
        <v>2.56</v>
      </c>
      <c r="AD943">
        <v>7.68</v>
      </c>
      <c r="AE943">
        <v>726182083970</v>
      </c>
      <c r="AF943">
        <v>595.30999999999995</v>
      </c>
      <c r="AG943">
        <v>0</v>
      </c>
      <c r="AH943">
        <v>18.34</v>
      </c>
      <c r="AI943">
        <v>613.65</v>
      </c>
      <c r="AJ943" t="s">
        <v>2</v>
      </c>
      <c r="AK943" t="s">
        <v>11</v>
      </c>
    </row>
    <row r="944" spans="1:37">
      <c r="A944">
        <v>257847</v>
      </c>
      <c r="B944" s="1">
        <v>45366</v>
      </c>
      <c r="C944" t="s">
        <v>1305</v>
      </c>
      <c r="D944" t="s">
        <v>1306</v>
      </c>
      <c r="E944" t="s">
        <v>2</v>
      </c>
      <c r="F944" t="s">
        <v>1307</v>
      </c>
      <c r="G944" t="s">
        <v>28</v>
      </c>
      <c r="H944">
        <v>34233</v>
      </c>
      <c r="I944" t="s">
        <v>1305</v>
      </c>
      <c r="J944" t="s">
        <v>1306</v>
      </c>
      <c r="K944" t="s">
        <v>2</v>
      </c>
      <c r="L944" t="s">
        <v>1307</v>
      </c>
      <c r="M944" t="s">
        <v>28</v>
      </c>
      <c r="N944">
        <v>34233</v>
      </c>
      <c r="O944" t="s">
        <v>1312</v>
      </c>
      <c r="P944" t="s">
        <v>1737</v>
      </c>
      <c r="Q944" t="s">
        <v>21</v>
      </c>
      <c r="R944">
        <v>415321</v>
      </c>
      <c r="S944" t="s">
        <v>84</v>
      </c>
      <c r="T944" s="2">
        <v>247</v>
      </c>
      <c r="U944">
        <v>0</v>
      </c>
      <c r="V944" t="s">
        <v>260</v>
      </c>
      <c r="W944">
        <v>0</v>
      </c>
      <c r="X944">
        <v>0</v>
      </c>
      <c r="Y944">
        <v>0</v>
      </c>
      <c r="Z944" t="s">
        <v>88</v>
      </c>
      <c r="AA944" t="s">
        <v>1720</v>
      </c>
      <c r="AB944" t="s">
        <v>10</v>
      </c>
      <c r="AC944">
        <v>0</v>
      </c>
      <c r="AD944">
        <v>0</v>
      </c>
      <c r="AE944">
        <v>726182083970</v>
      </c>
      <c r="AF944">
        <v>595.30999999999995</v>
      </c>
      <c r="AG944">
        <v>0</v>
      </c>
      <c r="AH944">
        <v>18.34</v>
      </c>
      <c r="AI944">
        <v>613.65</v>
      </c>
      <c r="AJ944" t="s">
        <v>2</v>
      </c>
      <c r="AK944" t="s">
        <v>11</v>
      </c>
    </row>
    <row r="945" spans="1:37">
      <c r="A945">
        <v>257847</v>
      </c>
      <c r="B945" s="1">
        <v>45366</v>
      </c>
      <c r="C945" t="s">
        <v>1305</v>
      </c>
      <c r="D945" t="s">
        <v>1306</v>
      </c>
      <c r="E945" t="s">
        <v>2</v>
      </c>
      <c r="F945" t="s">
        <v>1307</v>
      </c>
      <c r="G945" t="s">
        <v>28</v>
      </c>
      <c r="H945">
        <v>34233</v>
      </c>
      <c r="I945" t="s">
        <v>1305</v>
      </c>
      <c r="J945" t="s">
        <v>1306</v>
      </c>
      <c r="K945" t="s">
        <v>2</v>
      </c>
      <c r="L945" t="s">
        <v>1307</v>
      </c>
      <c r="M945" t="s">
        <v>28</v>
      </c>
      <c r="N945">
        <v>34233</v>
      </c>
      <c r="O945" t="s">
        <v>1312</v>
      </c>
      <c r="P945" t="s">
        <v>1737</v>
      </c>
      <c r="Q945" t="s">
        <v>21</v>
      </c>
      <c r="R945">
        <v>415321</v>
      </c>
      <c r="S945" t="s">
        <v>84</v>
      </c>
      <c r="T945" s="2">
        <v>247</v>
      </c>
      <c r="U945">
        <v>0</v>
      </c>
      <c r="V945" t="s">
        <v>260</v>
      </c>
      <c r="W945">
        <v>5</v>
      </c>
      <c r="X945">
        <v>5</v>
      </c>
      <c r="Y945">
        <v>0</v>
      </c>
      <c r="Z945" t="s">
        <v>1780</v>
      </c>
      <c r="AA945" t="s">
        <v>1781</v>
      </c>
      <c r="AB945" t="s">
        <v>14</v>
      </c>
      <c r="AC945">
        <v>2.56</v>
      </c>
      <c r="AD945">
        <v>12.8</v>
      </c>
      <c r="AE945">
        <v>726182083970</v>
      </c>
      <c r="AF945">
        <v>595.30999999999995</v>
      </c>
      <c r="AG945">
        <v>0</v>
      </c>
      <c r="AH945">
        <v>18.34</v>
      </c>
      <c r="AI945">
        <v>613.65</v>
      </c>
      <c r="AJ945" t="s">
        <v>2</v>
      </c>
      <c r="AK945" t="s">
        <v>11</v>
      </c>
    </row>
    <row r="946" spans="1:37">
      <c r="A946">
        <v>257847</v>
      </c>
      <c r="B946" s="1">
        <v>45366</v>
      </c>
      <c r="C946" t="s">
        <v>1305</v>
      </c>
      <c r="D946" t="s">
        <v>1306</v>
      </c>
      <c r="E946" t="s">
        <v>2</v>
      </c>
      <c r="F946" t="s">
        <v>1307</v>
      </c>
      <c r="G946" t="s">
        <v>28</v>
      </c>
      <c r="H946">
        <v>34233</v>
      </c>
      <c r="I946" t="s">
        <v>1305</v>
      </c>
      <c r="J946" t="s">
        <v>1306</v>
      </c>
      <c r="K946" t="s">
        <v>2</v>
      </c>
      <c r="L946" t="s">
        <v>1307</v>
      </c>
      <c r="M946" t="s">
        <v>28</v>
      </c>
      <c r="N946">
        <v>34233</v>
      </c>
      <c r="O946" t="s">
        <v>1312</v>
      </c>
      <c r="P946" t="s">
        <v>1737</v>
      </c>
      <c r="Q946" t="s">
        <v>21</v>
      </c>
      <c r="R946">
        <v>415321</v>
      </c>
      <c r="S946" t="s">
        <v>84</v>
      </c>
      <c r="T946" s="2">
        <v>247</v>
      </c>
      <c r="U946">
        <v>0</v>
      </c>
      <c r="V946" t="s">
        <v>260</v>
      </c>
      <c r="W946">
        <v>0</v>
      </c>
      <c r="X946">
        <v>0</v>
      </c>
      <c r="Y946">
        <v>0</v>
      </c>
      <c r="Z946" t="s">
        <v>88</v>
      </c>
      <c r="AA946" t="s">
        <v>1720</v>
      </c>
      <c r="AB946" t="s">
        <v>10</v>
      </c>
      <c r="AC946">
        <v>0</v>
      </c>
      <c r="AD946">
        <v>0</v>
      </c>
      <c r="AE946">
        <v>726182083970</v>
      </c>
      <c r="AF946">
        <v>595.30999999999995</v>
      </c>
      <c r="AG946">
        <v>0</v>
      </c>
      <c r="AH946">
        <v>18.34</v>
      </c>
      <c r="AI946">
        <v>613.65</v>
      </c>
      <c r="AJ946" t="s">
        <v>2</v>
      </c>
      <c r="AK946" t="s">
        <v>11</v>
      </c>
    </row>
    <row r="947" spans="1:37">
      <c r="A947">
        <v>257847</v>
      </c>
      <c r="B947" s="1">
        <v>45366</v>
      </c>
      <c r="C947" t="s">
        <v>1305</v>
      </c>
      <c r="D947" t="s">
        <v>1306</v>
      </c>
      <c r="E947" t="s">
        <v>2</v>
      </c>
      <c r="F947" t="s">
        <v>1307</v>
      </c>
      <c r="G947" t="s">
        <v>28</v>
      </c>
      <c r="H947">
        <v>34233</v>
      </c>
      <c r="I947" t="s">
        <v>1305</v>
      </c>
      <c r="J947" t="s">
        <v>1306</v>
      </c>
      <c r="K947" t="s">
        <v>2</v>
      </c>
      <c r="L947" t="s">
        <v>1307</v>
      </c>
      <c r="M947" t="s">
        <v>28</v>
      </c>
      <c r="N947">
        <v>34233</v>
      </c>
      <c r="O947" t="s">
        <v>1312</v>
      </c>
      <c r="P947" t="s">
        <v>1737</v>
      </c>
      <c r="Q947" t="s">
        <v>21</v>
      </c>
      <c r="R947">
        <v>415321</v>
      </c>
      <c r="S947" t="s">
        <v>84</v>
      </c>
      <c r="T947" s="2">
        <v>247</v>
      </c>
      <c r="U947">
        <v>0</v>
      </c>
      <c r="V947" t="s">
        <v>260</v>
      </c>
      <c r="W947">
        <v>5</v>
      </c>
      <c r="X947">
        <v>5</v>
      </c>
      <c r="Y947">
        <v>0</v>
      </c>
      <c r="Z947" t="s">
        <v>1782</v>
      </c>
      <c r="AA947" t="s">
        <v>1783</v>
      </c>
      <c r="AB947" t="s">
        <v>14</v>
      </c>
      <c r="AC947">
        <v>2.56</v>
      </c>
      <c r="AD947">
        <v>12.8</v>
      </c>
      <c r="AE947">
        <v>726182083970</v>
      </c>
      <c r="AF947">
        <v>595.30999999999995</v>
      </c>
      <c r="AG947">
        <v>0</v>
      </c>
      <c r="AH947">
        <v>18.34</v>
      </c>
      <c r="AI947">
        <v>613.65</v>
      </c>
      <c r="AJ947" t="s">
        <v>2</v>
      </c>
      <c r="AK947" t="s">
        <v>11</v>
      </c>
    </row>
    <row r="948" spans="1:37">
      <c r="A948">
        <v>257847</v>
      </c>
      <c r="B948" s="1">
        <v>45366</v>
      </c>
      <c r="C948" t="s">
        <v>1305</v>
      </c>
      <c r="D948" t="s">
        <v>1306</v>
      </c>
      <c r="E948" t="s">
        <v>2</v>
      </c>
      <c r="F948" t="s">
        <v>1307</v>
      </c>
      <c r="G948" t="s">
        <v>28</v>
      </c>
      <c r="H948">
        <v>34233</v>
      </c>
      <c r="I948" t="s">
        <v>1305</v>
      </c>
      <c r="J948" t="s">
        <v>1306</v>
      </c>
      <c r="K948" t="s">
        <v>2</v>
      </c>
      <c r="L948" t="s">
        <v>1307</v>
      </c>
      <c r="M948" t="s">
        <v>28</v>
      </c>
      <c r="N948">
        <v>34233</v>
      </c>
      <c r="O948" t="s">
        <v>1312</v>
      </c>
      <c r="P948" t="s">
        <v>1737</v>
      </c>
      <c r="Q948" t="s">
        <v>21</v>
      </c>
      <c r="R948">
        <v>415321</v>
      </c>
      <c r="S948" t="s">
        <v>84</v>
      </c>
      <c r="T948" s="2">
        <v>247</v>
      </c>
      <c r="U948">
        <v>0</v>
      </c>
      <c r="V948" t="s">
        <v>260</v>
      </c>
      <c r="W948">
        <v>0</v>
      </c>
      <c r="X948">
        <v>0</v>
      </c>
      <c r="Y948">
        <v>0</v>
      </c>
      <c r="Z948" t="s">
        <v>88</v>
      </c>
      <c r="AA948" t="s">
        <v>1720</v>
      </c>
      <c r="AB948" t="s">
        <v>10</v>
      </c>
      <c r="AC948">
        <v>0</v>
      </c>
      <c r="AD948">
        <v>0</v>
      </c>
      <c r="AE948">
        <v>726182083970</v>
      </c>
      <c r="AF948">
        <v>595.30999999999995</v>
      </c>
      <c r="AG948">
        <v>0</v>
      </c>
      <c r="AH948">
        <v>18.34</v>
      </c>
      <c r="AI948">
        <v>613.65</v>
      </c>
      <c r="AJ948" t="s">
        <v>2</v>
      </c>
      <c r="AK948" t="s">
        <v>11</v>
      </c>
    </row>
    <row r="949" spans="1:37">
      <c r="A949">
        <v>257847</v>
      </c>
      <c r="B949" s="1">
        <v>45366</v>
      </c>
      <c r="C949" t="s">
        <v>1305</v>
      </c>
      <c r="D949" t="s">
        <v>1306</v>
      </c>
      <c r="E949" t="s">
        <v>2</v>
      </c>
      <c r="F949" t="s">
        <v>1307</v>
      </c>
      <c r="G949" t="s">
        <v>28</v>
      </c>
      <c r="H949">
        <v>34233</v>
      </c>
      <c r="I949" t="s">
        <v>1305</v>
      </c>
      <c r="J949" t="s">
        <v>1306</v>
      </c>
      <c r="K949" t="s">
        <v>2</v>
      </c>
      <c r="L949" t="s">
        <v>1307</v>
      </c>
      <c r="M949" t="s">
        <v>28</v>
      </c>
      <c r="N949">
        <v>34233</v>
      </c>
      <c r="O949" t="s">
        <v>1312</v>
      </c>
      <c r="P949" t="s">
        <v>1737</v>
      </c>
      <c r="Q949" t="s">
        <v>21</v>
      </c>
      <c r="R949">
        <v>415321</v>
      </c>
      <c r="S949" t="s">
        <v>84</v>
      </c>
      <c r="T949" s="2">
        <v>247</v>
      </c>
      <c r="U949">
        <v>0</v>
      </c>
      <c r="V949" t="s">
        <v>260</v>
      </c>
      <c r="W949">
        <v>3</v>
      </c>
      <c r="X949">
        <v>3</v>
      </c>
      <c r="Y949">
        <v>0</v>
      </c>
      <c r="Z949" t="s">
        <v>1784</v>
      </c>
      <c r="AA949" t="s">
        <v>1785</v>
      </c>
      <c r="AB949" t="s">
        <v>14</v>
      </c>
      <c r="AC949">
        <v>2.56</v>
      </c>
      <c r="AD949">
        <v>7.68</v>
      </c>
      <c r="AE949">
        <v>726182083970</v>
      </c>
      <c r="AF949">
        <v>595.30999999999995</v>
      </c>
      <c r="AG949">
        <v>0</v>
      </c>
      <c r="AH949">
        <v>18.34</v>
      </c>
      <c r="AI949">
        <v>613.65</v>
      </c>
      <c r="AJ949" t="s">
        <v>2</v>
      </c>
      <c r="AK949" t="s">
        <v>11</v>
      </c>
    </row>
    <row r="950" spans="1:37">
      <c r="A950">
        <v>257847</v>
      </c>
      <c r="B950" s="1">
        <v>45366</v>
      </c>
      <c r="C950" t="s">
        <v>1305</v>
      </c>
      <c r="D950" t="s">
        <v>1306</v>
      </c>
      <c r="E950" t="s">
        <v>2</v>
      </c>
      <c r="F950" t="s">
        <v>1307</v>
      </c>
      <c r="G950" t="s">
        <v>28</v>
      </c>
      <c r="H950">
        <v>34233</v>
      </c>
      <c r="I950" t="s">
        <v>1305</v>
      </c>
      <c r="J950" t="s">
        <v>1306</v>
      </c>
      <c r="K950" t="s">
        <v>2</v>
      </c>
      <c r="L950" t="s">
        <v>1307</v>
      </c>
      <c r="M950" t="s">
        <v>28</v>
      </c>
      <c r="N950">
        <v>34233</v>
      </c>
      <c r="O950" t="s">
        <v>1312</v>
      </c>
      <c r="P950" t="s">
        <v>1737</v>
      </c>
      <c r="Q950" t="s">
        <v>21</v>
      </c>
      <c r="R950">
        <v>415321</v>
      </c>
      <c r="S950" t="s">
        <v>84</v>
      </c>
      <c r="T950" s="2">
        <v>247</v>
      </c>
      <c r="U950">
        <v>0</v>
      </c>
      <c r="V950" t="s">
        <v>260</v>
      </c>
      <c r="W950">
        <v>0</v>
      </c>
      <c r="X950">
        <v>0</v>
      </c>
      <c r="Y950">
        <v>0</v>
      </c>
      <c r="Z950" t="s">
        <v>88</v>
      </c>
      <c r="AA950" t="s">
        <v>1720</v>
      </c>
      <c r="AB950" t="s">
        <v>10</v>
      </c>
      <c r="AC950">
        <v>0</v>
      </c>
      <c r="AD950">
        <v>0</v>
      </c>
      <c r="AE950">
        <v>726182083970</v>
      </c>
      <c r="AF950">
        <v>595.30999999999995</v>
      </c>
      <c r="AG950">
        <v>0</v>
      </c>
      <c r="AH950">
        <v>18.34</v>
      </c>
      <c r="AI950">
        <v>613.65</v>
      </c>
      <c r="AJ950" t="s">
        <v>2</v>
      </c>
      <c r="AK950" t="s">
        <v>11</v>
      </c>
    </row>
    <row r="951" spans="1:37">
      <c r="A951">
        <v>257847</v>
      </c>
      <c r="B951" s="1">
        <v>45366</v>
      </c>
      <c r="C951" t="s">
        <v>1305</v>
      </c>
      <c r="D951" t="s">
        <v>1306</v>
      </c>
      <c r="E951" t="s">
        <v>2</v>
      </c>
      <c r="F951" t="s">
        <v>1307</v>
      </c>
      <c r="G951" t="s">
        <v>28</v>
      </c>
      <c r="H951">
        <v>34233</v>
      </c>
      <c r="I951" t="s">
        <v>1305</v>
      </c>
      <c r="J951" t="s">
        <v>1306</v>
      </c>
      <c r="K951" t="s">
        <v>2</v>
      </c>
      <c r="L951" t="s">
        <v>1307</v>
      </c>
      <c r="M951" t="s">
        <v>28</v>
      </c>
      <c r="N951">
        <v>34233</v>
      </c>
      <c r="O951" t="s">
        <v>1312</v>
      </c>
      <c r="P951" t="s">
        <v>1737</v>
      </c>
      <c r="Q951" t="s">
        <v>21</v>
      </c>
      <c r="R951">
        <v>415321</v>
      </c>
      <c r="S951" t="s">
        <v>84</v>
      </c>
      <c r="T951" s="2">
        <v>247</v>
      </c>
      <c r="U951">
        <v>0</v>
      </c>
      <c r="V951" t="s">
        <v>260</v>
      </c>
      <c r="W951">
        <v>5</v>
      </c>
      <c r="X951">
        <v>5</v>
      </c>
      <c r="Y951">
        <v>0</v>
      </c>
      <c r="Z951" t="s">
        <v>1786</v>
      </c>
      <c r="AA951" t="s">
        <v>1787</v>
      </c>
      <c r="AB951" t="s">
        <v>14</v>
      </c>
      <c r="AC951">
        <v>2.56</v>
      </c>
      <c r="AD951">
        <v>12.8</v>
      </c>
      <c r="AE951">
        <v>726182083970</v>
      </c>
      <c r="AF951">
        <v>595.30999999999995</v>
      </c>
      <c r="AG951">
        <v>0</v>
      </c>
      <c r="AH951">
        <v>18.34</v>
      </c>
      <c r="AI951">
        <v>613.65</v>
      </c>
      <c r="AJ951" t="s">
        <v>2</v>
      </c>
      <c r="AK951" t="s">
        <v>11</v>
      </c>
    </row>
    <row r="952" spans="1:37">
      <c r="A952">
        <v>257847</v>
      </c>
      <c r="B952" s="1">
        <v>45366</v>
      </c>
      <c r="C952" t="s">
        <v>1305</v>
      </c>
      <c r="D952" t="s">
        <v>1306</v>
      </c>
      <c r="E952" t="s">
        <v>2</v>
      </c>
      <c r="F952" t="s">
        <v>1307</v>
      </c>
      <c r="G952" t="s">
        <v>28</v>
      </c>
      <c r="H952">
        <v>34233</v>
      </c>
      <c r="I952" t="s">
        <v>1305</v>
      </c>
      <c r="J952" t="s">
        <v>1306</v>
      </c>
      <c r="K952" t="s">
        <v>2</v>
      </c>
      <c r="L952" t="s">
        <v>1307</v>
      </c>
      <c r="M952" t="s">
        <v>28</v>
      </c>
      <c r="N952">
        <v>34233</v>
      </c>
      <c r="O952" t="s">
        <v>1312</v>
      </c>
      <c r="P952" t="s">
        <v>1737</v>
      </c>
      <c r="Q952" t="s">
        <v>21</v>
      </c>
      <c r="R952">
        <v>415321</v>
      </c>
      <c r="S952" t="s">
        <v>84</v>
      </c>
      <c r="T952" s="2">
        <v>247</v>
      </c>
      <c r="U952">
        <v>0</v>
      </c>
      <c r="V952" t="s">
        <v>260</v>
      </c>
      <c r="W952">
        <v>0</v>
      </c>
      <c r="X952">
        <v>0</v>
      </c>
      <c r="Y952">
        <v>0</v>
      </c>
      <c r="Z952" t="s">
        <v>88</v>
      </c>
      <c r="AA952" t="s">
        <v>1720</v>
      </c>
      <c r="AB952" t="s">
        <v>10</v>
      </c>
      <c r="AC952">
        <v>0</v>
      </c>
      <c r="AD952">
        <v>0</v>
      </c>
      <c r="AE952">
        <v>726182083970</v>
      </c>
      <c r="AF952">
        <v>595.30999999999995</v>
      </c>
      <c r="AG952">
        <v>0</v>
      </c>
      <c r="AH952">
        <v>18.34</v>
      </c>
      <c r="AI952">
        <v>613.65</v>
      </c>
      <c r="AJ952" t="s">
        <v>2</v>
      </c>
      <c r="AK952" t="s">
        <v>11</v>
      </c>
    </row>
    <row r="953" spans="1:37">
      <c r="A953">
        <v>257847</v>
      </c>
      <c r="B953" s="1">
        <v>45366</v>
      </c>
      <c r="C953" t="s">
        <v>1305</v>
      </c>
      <c r="D953" t="s">
        <v>1306</v>
      </c>
      <c r="E953" t="s">
        <v>2</v>
      </c>
      <c r="F953" t="s">
        <v>1307</v>
      </c>
      <c r="G953" t="s">
        <v>28</v>
      </c>
      <c r="H953">
        <v>34233</v>
      </c>
      <c r="I953" t="s">
        <v>1305</v>
      </c>
      <c r="J953" t="s">
        <v>1306</v>
      </c>
      <c r="K953" t="s">
        <v>2</v>
      </c>
      <c r="L953" t="s">
        <v>1307</v>
      </c>
      <c r="M953" t="s">
        <v>28</v>
      </c>
      <c r="N953">
        <v>34233</v>
      </c>
      <c r="O953" t="s">
        <v>1312</v>
      </c>
      <c r="P953" t="s">
        <v>1737</v>
      </c>
      <c r="Q953" t="s">
        <v>21</v>
      </c>
      <c r="R953">
        <v>415321</v>
      </c>
      <c r="S953" t="s">
        <v>84</v>
      </c>
      <c r="T953" s="2">
        <v>247</v>
      </c>
      <c r="U953">
        <v>0</v>
      </c>
      <c r="V953" t="s">
        <v>260</v>
      </c>
      <c r="W953">
        <v>3</v>
      </c>
      <c r="X953">
        <v>3</v>
      </c>
      <c r="Y953">
        <v>0</v>
      </c>
      <c r="Z953" t="s">
        <v>1788</v>
      </c>
      <c r="AA953" t="s">
        <v>1789</v>
      </c>
      <c r="AB953" t="s">
        <v>14</v>
      </c>
      <c r="AC953">
        <v>2.56</v>
      </c>
      <c r="AD953">
        <v>7.68</v>
      </c>
      <c r="AE953">
        <v>726182083970</v>
      </c>
      <c r="AF953">
        <v>595.30999999999995</v>
      </c>
      <c r="AG953">
        <v>0</v>
      </c>
      <c r="AH953">
        <v>18.34</v>
      </c>
      <c r="AI953">
        <v>613.65</v>
      </c>
      <c r="AJ953" t="s">
        <v>2</v>
      </c>
      <c r="AK953" t="s">
        <v>11</v>
      </c>
    </row>
    <row r="954" spans="1:37">
      <c r="A954">
        <v>257847</v>
      </c>
      <c r="B954" s="1">
        <v>45366</v>
      </c>
      <c r="C954" t="s">
        <v>1305</v>
      </c>
      <c r="D954" t="s">
        <v>1306</v>
      </c>
      <c r="E954" t="s">
        <v>2</v>
      </c>
      <c r="F954" t="s">
        <v>1307</v>
      </c>
      <c r="G954" t="s">
        <v>28</v>
      </c>
      <c r="H954">
        <v>34233</v>
      </c>
      <c r="I954" t="s">
        <v>1305</v>
      </c>
      <c r="J954" t="s">
        <v>1306</v>
      </c>
      <c r="K954" t="s">
        <v>2</v>
      </c>
      <c r="L954" t="s">
        <v>1307</v>
      </c>
      <c r="M954" t="s">
        <v>28</v>
      </c>
      <c r="N954">
        <v>34233</v>
      </c>
      <c r="O954" t="s">
        <v>1312</v>
      </c>
      <c r="P954" t="s">
        <v>1737</v>
      </c>
      <c r="Q954" t="s">
        <v>21</v>
      </c>
      <c r="R954">
        <v>415321</v>
      </c>
      <c r="S954" t="s">
        <v>84</v>
      </c>
      <c r="T954" s="2">
        <v>247</v>
      </c>
      <c r="U954">
        <v>0</v>
      </c>
      <c r="V954" t="s">
        <v>260</v>
      </c>
      <c r="W954">
        <v>0</v>
      </c>
      <c r="X954">
        <v>0</v>
      </c>
      <c r="Y954">
        <v>0</v>
      </c>
      <c r="Z954" t="s">
        <v>88</v>
      </c>
      <c r="AA954" t="s">
        <v>1720</v>
      </c>
      <c r="AB954" t="s">
        <v>10</v>
      </c>
      <c r="AC954">
        <v>0</v>
      </c>
      <c r="AD954">
        <v>0</v>
      </c>
      <c r="AE954">
        <v>726182083970</v>
      </c>
      <c r="AF954">
        <v>595.30999999999995</v>
      </c>
      <c r="AG954">
        <v>0</v>
      </c>
      <c r="AH954">
        <v>18.34</v>
      </c>
      <c r="AI954">
        <v>613.65</v>
      </c>
      <c r="AJ954" t="s">
        <v>2</v>
      </c>
      <c r="AK954" t="s">
        <v>11</v>
      </c>
    </row>
    <row r="955" spans="1:37">
      <c r="A955">
        <v>257847</v>
      </c>
      <c r="B955" s="1">
        <v>45366</v>
      </c>
      <c r="C955" t="s">
        <v>1305</v>
      </c>
      <c r="D955" t="s">
        <v>1306</v>
      </c>
      <c r="E955" t="s">
        <v>2</v>
      </c>
      <c r="F955" t="s">
        <v>1307</v>
      </c>
      <c r="G955" t="s">
        <v>28</v>
      </c>
      <c r="H955">
        <v>34233</v>
      </c>
      <c r="I955" t="s">
        <v>1305</v>
      </c>
      <c r="J955" t="s">
        <v>1306</v>
      </c>
      <c r="K955" t="s">
        <v>2</v>
      </c>
      <c r="L955" t="s">
        <v>1307</v>
      </c>
      <c r="M955" t="s">
        <v>28</v>
      </c>
      <c r="N955">
        <v>34233</v>
      </c>
      <c r="O955" t="s">
        <v>1312</v>
      </c>
      <c r="P955" t="s">
        <v>1737</v>
      </c>
      <c r="Q955" t="s">
        <v>21</v>
      </c>
      <c r="R955">
        <v>415321</v>
      </c>
      <c r="S955" t="s">
        <v>84</v>
      </c>
      <c r="T955" s="2">
        <v>247</v>
      </c>
      <c r="U955">
        <v>0</v>
      </c>
      <c r="V955" t="s">
        <v>260</v>
      </c>
      <c r="W955">
        <v>3</v>
      </c>
      <c r="X955">
        <v>3</v>
      </c>
      <c r="Y955">
        <v>0</v>
      </c>
      <c r="Z955" t="s">
        <v>1790</v>
      </c>
      <c r="AA955" t="s">
        <v>1791</v>
      </c>
      <c r="AB955" t="s">
        <v>14</v>
      </c>
      <c r="AC955">
        <v>2.56</v>
      </c>
      <c r="AD955">
        <v>7.68</v>
      </c>
      <c r="AE955">
        <v>726182083970</v>
      </c>
      <c r="AF955">
        <v>595.30999999999995</v>
      </c>
      <c r="AG955">
        <v>0</v>
      </c>
      <c r="AH955">
        <v>18.34</v>
      </c>
      <c r="AI955">
        <v>613.65</v>
      </c>
      <c r="AJ955" t="s">
        <v>2</v>
      </c>
      <c r="AK955" t="s">
        <v>11</v>
      </c>
    </row>
    <row r="956" spans="1:37">
      <c r="A956">
        <v>257847</v>
      </c>
      <c r="B956" s="1">
        <v>45366</v>
      </c>
      <c r="C956" t="s">
        <v>1305</v>
      </c>
      <c r="D956" t="s">
        <v>1306</v>
      </c>
      <c r="E956" t="s">
        <v>2</v>
      </c>
      <c r="F956" t="s">
        <v>1307</v>
      </c>
      <c r="G956" t="s">
        <v>28</v>
      </c>
      <c r="H956">
        <v>34233</v>
      </c>
      <c r="I956" t="s">
        <v>1305</v>
      </c>
      <c r="J956" t="s">
        <v>1306</v>
      </c>
      <c r="K956" t="s">
        <v>2</v>
      </c>
      <c r="L956" t="s">
        <v>1307</v>
      </c>
      <c r="M956" t="s">
        <v>28</v>
      </c>
      <c r="N956">
        <v>34233</v>
      </c>
      <c r="O956" t="s">
        <v>1312</v>
      </c>
      <c r="P956" t="s">
        <v>1737</v>
      </c>
      <c r="Q956" t="s">
        <v>21</v>
      </c>
      <c r="R956">
        <v>415321</v>
      </c>
      <c r="S956" t="s">
        <v>84</v>
      </c>
      <c r="T956" s="2">
        <v>247</v>
      </c>
      <c r="U956">
        <v>0</v>
      </c>
      <c r="V956" t="s">
        <v>260</v>
      </c>
      <c r="W956">
        <v>0</v>
      </c>
      <c r="X956">
        <v>0</v>
      </c>
      <c r="Y956">
        <v>0</v>
      </c>
      <c r="Z956" t="s">
        <v>88</v>
      </c>
      <c r="AA956" t="s">
        <v>1720</v>
      </c>
      <c r="AB956" t="s">
        <v>10</v>
      </c>
      <c r="AC956">
        <v>0</v>
      </c>
      <c r="AD956">
        <v>0</v>
      </c>
      <c r="AE956">
        <v>726182083970</v>
      </c>
      <c r="AF956">
        <v>595.30999999999995</v>
      </c>
      <c r="AG956">
        <v>0</v>
      </c>
      <c r="AH956">
        <v>18.34</v>
      </c>
      <c r="AI956">
        <v>613.65</v>
      </c>
      <c r="AJ956" t="s">
        <v>2</v>
      </c>
      <c r="AK956" t="s">
        <v>11</v>
      </c>
    </row>
    <row r="957" spans="1:37">
      <c r="A957">
        <v>257847</v>
      </c>
      <c r="B957" s="1">
        <v>45366</v>
      </c>
      <c r="C957" t="s">
        <v>1305</v>
      </c>
      <c r="D957" t="s">
        <v>1306</v>
      </c>
      <c r="E957" t="s">
        <v>2</v>
      </c>
      <c r="F957" t="s">
        <v>1307</v>
      </c>
      <c r="G957" t="s">
        <v>28</v>
      </c>
      <c r="H957">
        <v>34233</v>
      </c>
      <c r="I957" t="s">
        <v>1305</v>
      </c>
      <c r="J957" t="s">
        <v>1306</v>
      </c>
      <c r="K957" t="s">
        <v>2</v>
      </c>
      <c r="L957" t="s">
        <v>1307</v>
      </c>
      <c r="M957" t="s">
        <v>28</v>
      </c>
      <c r="N957">
        <v>34233</v>
      </c>
      <c r="O957" t="s">
        <v>1312</v>
      </c>
      <c r="P957" t="s">
        <v>1737</v>
      </c>
      <c r="Q957" t="s">
        <v>21</v>
      </c>
      <c r="R957">
        <v>415321</v>
      </c>
      <c r="S957" t="s">
        <v>84</v>
      </c>
      <c r="T957" s="2">
        <v>247</v>
      </c>
      <c r="U957">
        <v>0</v>
      </c>
      <c r="V957" t="s">
        <v>260</v>
      </c>
      <c r="W957">
        <v>3</v>
      </c>
      <c r="X957">
        <v>3</v>
      </c>
      <c r="Y957">
        <v>0</v>
      </c>
      <c r="Z957" t="s">
        <v>1792</v>
      </c>
      <c r="AA957" t="s">
        <v>1793</v>
      </c>
      <c r="AB957" t="s">
        <v>14</v>
      </c>
      <c r="AC957">
        <v>2.56</v>
      </c>
      <c r="AD957">
        <v>7.68</v>
      </c>
      <c r="AE957">
        <v>726182083970</v>
      </c>
      <c r="AF957">
        <v>595.30999999999995</v>
      </c>
      <c r="AG957">
        <v>0</v>
      </c>
      <c r="AH957">
        <v>18.34</v>
      </c>
      <c r="AI957">
        <v>613.65</v>
      </c>
      <c r="AJ957" t="s">
        <v>2</v>
      </c>
      <c r="AK957" t="s">
        <v>11</v>
      </c>
    </row>
    <row r="958" spans="1:37">
      <c r="A958">
        <v>257847</v>
      </c>
      <c r="B958" s="1">
        <v>45366</v>
      </c>
      <c r="C958" t="s">
        <v>1305</v>
      </c>
      <c r="D958" t="s">
        <v>1306</v>
      </c>
      <c r="E958" t="s">
        <v>2</v>
      </c>
      <c r="F958" t="s">
        <v>1307</v>
      </c>
      <c r="G958" t="s">
        <v>28</v>
      </c>
      <c r="H958">
        <v>34233</v>
      </c>
      <c r="I958" t="s">
        <v>1305</v>
      </c>
      <c r="J958" t="s">
        <v>1306</v>
      </c>
      <c r="K958" t="s">
        <v>2</v>
      </c>
      <c r="L958" t="s">
        <v>1307</v>
      </c>
      <c r="M958" t="s">
        <v>28</v>
      </c>
      <c r="N958">
        <v>34233</v>
      </c>
      <c r="O958" t="s">
        <v>1312</v>
      </c>
      <c r="P958" t="s">
        <v>1737</v>
      </c>
      <c r="Q958" t="s">
        <v>21</v>
      </c>
      <c r="R958">
        <v>415321</v>
      </c>
      <c r="S958" t="s">
        <v>84</v>
      </c>
      <c r="T958" s="2">
        <v>247</v>
      </c>
      <c r="U958">
        <v>0</v>
      </c>
      <c r="V958" t="s">
        <v>260</v>
      </c>
      <c r="W958">
        <v>0</v>
      </c>
      <c r="X958">
        <v>0</v>
      </c>
      <c r="Y958">
        <v>0</v>
      </c>
      <c r="Z958" t="s">
        <v>88</v>
      </c>
      <c r="AA958" t="s">
        <v>1720</v>
      </c>
      <c r="AB958" t="s">
        <v>10</v>
      </c>
      <c r="AC958">
        <v>0</v>
      </c>
      <c r="AD958">
        <v>0</v>
      </c>
      <c r="AE958">
        <v>726182083970</v>
      </c>
      <c r="AF958">
        <v>595.30999999999995</v>
      </c>
      <c r="AG958">
        <v>0</v>
      </c>
      <c r="AH958">
        <v>18.34</v>
      </c>
      <c r="AI958">
        <v>613.65</v>
      </c>
      <c r="AJ958" t="s">
        <v>2</v>
      </c>
      <c r="AK958" t="s">
        <v>11</v>
      </c>
    </row>
    <row r="959" spans="1:37">
      <c r="A959">
        <v>257847</v>
      </c>
      <c r="B959" s="1">
        <v>45366</v>
      </c>
      <c r="C959" t="s">
        <v>1305</v>
      </c>
      <c r="D959" t="s">
        <v>1306</v>
      </c>
      <c r="E959" t="s">
        <v>2</v>
      </c>
      <c r="F959" t="s">
        <v>1307</v>
      </c>
      <c r="G959" t="s">
        <v>28</v>
      </c>
      <c r="H959">
        <v>34233</v>
      </c>
      <c r="I959" t="s">
        <v>1305</v>
      </c>
      <c r="J959" t="s">
        <v>1306</v>
      </c>
      <c r="K959" t="s">
        <v>2</v>
      </c>
      <c r="L959" t="s">
        <v>1307</v>
      </c>
      <c r="M959" t="s">
        <v>28</v>
      </c>
      <c r="N959">
        <v>34233</v>
      </c>
      <c r="O959" t="s">
        <v>1312</v>
      </c>
      <c r="P959" t="s">
        <v>1737</v>
      </c>
      <c r="Q959" t="s">
        <v>21</v>
      </c>
      <c r="R959">
        <v>415321</v>
      </c>
      <c r="S959" t="s">
        <v>84</v>
      </c>
      <c r="T959" s="2">
        <v>247</v>
      </c>
      <c r="U959">
        <v>0</v>
      </c>
      <c r="V959" t="s">
        <v>260</v>
      </c>
      <c r="W959">
        <v>3</v>
      </c>
      <c r="X959">
        <v>3</v>
      </c>
      <c r="Y959">
        <v>0</v>
      </c>
      <c r="Z959" t="s">
        <v>1794</v>
      </c>
      <c r="AA959" t="s">
        <v>1795</v>
      </c>
      <c r="AB959" t="s">
        <v>14</v>
      </c>
      <c r="AC959">
        <v>2.56</v>
      </c>
      <c r="AD959">
        <v>7.68</v>
      </c>
      <c r="AE959">
        <v>726182083970</v>
      </c>
      <c r="AF959">
        <v>595.30999999999995</v>
      </c>
      <c r="AG959">
        <v>0</v>
      </c>
      <c r="AH959">
        <v>18.34</v>
      </c>
      <c r="AI959">
        <v>613.65</v>
      </c>
      <c r="AJ959" t="s">
        <v>2</v>
      </c>
      <c r="AK959" t="s">
        <v>11</v>
      </c>
    </row>
    <row r="960" spans="1:37">
      <c r="A960">
        <v>257847</v>
      </c>
      <c r="B960" s="1">
        <v>45366</v>
      </c>
      <c r="C960" t="s">
        <v>1305</v>
      </c>
      <c r="D960" t="s">
        <v>1306</v>
      </c>
      <c r="E960" t="s">
        <v>2</v>
      </c>
      <c r="F960" t="s">
        <v>1307</v>
      </c>
      <c r="G960" t="s">
        <v>28</v>
      </c>
      <c r="H960">
        <v>34233</v>
      </c>
      <c r="I960" t="s">
        <v>1305</v>
      </c>
      <c r="J960" t="s">
        <v>1306</v>
      </c>
      <c r="K960" t="s">
        <v>2</v>
      </c>
      <c r="L960" t="s">
        <v>1307</v>
      </c>
      <c r="M960" t="s">
        <v>28</v>
      </c>
      <c r="N960">
        <v>34233</v>
      </c>
      <c r="O960" t="s">
        <v>1312</v>
      </c>
      <c r="P960" t="s">
        <v>1737</v>
      </c>
      <c r="Q960" t="s">
        <v>21</v>
      </c>
      <c r="R960">
        <v>415321</v>
      </c>
      <c r="S960" t="s">
        <v>84</v>
      </c>
      <c r="T960" s="2">
        <v>247</v>
      </c>
      <c r="U960">
        <v>0</v>
      </c>
      <c r="V960" t="s">
        <v>260</v>
      </c>
      <c r="W960">
        <v>0</v>
      </c>
      <c r="X960">
        <v>0</v>
      </c>
      <c r="Y960">
        <v>0</v>
      </c>
      <c r="Z960" t="s">
        <v>88</v>
      </c>
      <c r="AA960" t="s">
        <v>1720</v>
      </c>
      <c r="AB960" t="s">
        <v>10</v>
      </c>
      <c r="AC960">
        <v>0</v>
      </c>
      <c r="AD960">
        <v>0</v>
      </c>
      <c r="AE960">
        <v>726182083970</v>
      </c>
      <c r="AF960">
        <v>595.30999999999995</v>
      </c>
      <c r="AG960">
        <v>0</v>
      </c>
      <c r="AH960">
        <v>18.34</v>
      </c>
      <c r="AI960">
        <v>613.65</v>
      </c>
      <c r="AJ960" t="s">
        <v>2</v>
      </c>
      <c r="AK960" t="s">
        <v>11</v>
      </c>
    </row>
    <row r="961" spans="1:37">
      <c r="A961">
        <v>257847</v>
      </c>
      <c r="B961" s="1">
        <v>45366</v>
      </c>
      <c r="C961" t="s">
        <v>1305</v>
      </c>
      <c r="D961" t="s">
        <v>1306</v>
      </c>
      <c r="E961" t="s">
        <v>2</v>
      </c>
      <c r="F961" t="s">
        <v>1307</v>
      </c>
      <c r="G961" t="s">
        <v>28</v>
      </c>
      <c r="H961">
        <v>34233</v>
      </c>
      <c r="I961" t="s">
        <v>1305</v>
      </c>
      <c r="J961" t="s">
        <v>1306</v>
      </c>
      <c r="K961" t="s">
        <v>2</v>
      </c>
      <c r="L961" t="s">
        <v>1307</v>
      </c>
      <c r="M961" t="s">
        <v>28</v>
      </c>
      <c r="N961">
        <v>34233</v>
      </c>
      <c r="O961" t="s">
        <v>1312</v>
      </c>
      <c r="P961" t="s">
        <v>1737</v>
      </c>
      <c r="Q961" t="s">
        <v>21</v>
      </c>
      <c r="R961">
        <v>415321</v>
      </c>
      <c r="S961" t="s">
        <v>84</v>
      </c>
      <c r="T961" s="2">
        <v>247</v>
      </c>
      <c r="U961">
        <v>0</v>
      </c>
      <c r="V961" t="s">
        <v>260</v>
      </c>
      <c r="W961">
        <v>1</v>
      </c>
      <c r="X961">
        <v>1</v>
      </c>
      <c r="Y961">
        <v>0</v>
      </c>
      <c r="Z961" t="s">
        <v>1796</v>
      </c>
      <c r="AA961" t="s">
        <v>1797</v>
      </c>
      <c r="AB961" t="s">
        <v>14</v>
      </c>
      <c r="AC961">
        <v>1.6327</v>
      </c>
      <c r="AD961">
        <v>1.63</v>
      </c>
      <c r="AE961">
        <v>726182083970</v>
      </c>
      <c r="AF961">
        <v>595.30999999999995</v>
      </c>
      <c r="AG961">
        <v>0</v>
      </c>
      <c r="AH961">
        <v>18.34</v>
      </c>
      <c r="AI961">
        <v>613.65</v>
      </c>
      <c r="AJ961" t="s">
        <v>2</v>
      </c>
      <c r="AK961" t="s">
        <v>11</v>
      </c>
    </row>
    <row r="962" spans="1:37">
      <c r="A962">
        <v>257847</v>
      </c>
      <c r="B962" s="1">
        <v>45366</v>
      </c>
      <c r="C962" t="s">
        <v>1305</v>
      </c>
      <c r="D962" t="s">
        <v>1306</v>
      </c>
      <c r="E962" t="s">
        <v>2</v>
      </c>
      <c r="F962" t="s">
        <v>1307</v>
      </c>
      <c r="G962" t="s">
        <v>28</v>
      </c>
      <c r="H962">
        <v>34233</v>
      </c>
      <c r="I962" t="s">
        <v>1305</v>
      </c>
      <c r="J962" t="s">
        <v>1306</v>
      </c>
      <c r="K962" t="s">
        <v>2</v>
      </c>
      <c r="L962" t="s">
        <v>1307</v>
      </c>
      <c r="M962" t="s">
        <v>28</v>
      </c>
      <c r="N962">
        <v>34233</v>
      </c>
      <c r="O962" t="s">
        <v>1312</v>
      </c>
      <c r="P962" t="s">
        <v>1737</v>
      </c>
      <c r="Q962" t="s">
        <v>21</v>
      </c>
      <c r="R962">
        <v>415321</v>
      </c>
      <c r="S962" t="s">
        <v>84</v>
      </c>
      <c r="T962" s="2">
        <v>247</v>
      </c>
      <c r="U962">
        <v>0</v>
      </c>
      <c r="V962" t="s">
        <v>260</v>
      </c>
      <c r="W962">
        <v>0</v>
      </c>
      <c r="X962">
        <v>0</v>
      </c>
      <c r="Y962">
        <v>0</v>
      </c>
      <c r="Z962" t="s">
        <v>88</v>
      </c>
      <c r="AA962" t="s">
        <v>1798</v>
      </c>
      <c r="AB962" t="s">
        <v>10</v>
      </c>
      <c r="AC962">
        <v>0</v>
      </c>
      <c r="AD962">
        <v>0</v>
      </c>
      <c r="AE962">
        <v>726182083970</v>
      </c>
      <c r="AF962">
        <v>595.30999999999995</v>
      </c>
      <c r="AG962">
        <v>0</v>
      </c>
      <c r="AH962">
        <v>18.34</v>
      </c>
      <c r="AI962">
        <v>613.65</v>
      </c>
      <c r="AJ962" t="s">
        <v>2</v>
      </c>
      <c r="AK962" t="s">
        <v>11</v>
      </c>
    </row>
    <row r="963" spans="1:37">
      <c r="A963">
        <v>257847</v>
      </c>
      <c r="B963" s="1">
        <v>45366</v>
      </c>
      <c r="C963" t="s">
        <v>1305</v>
      </c>
      <c r="D963" t="s">
        <v>1306</v>
      </c>
      <c r="E963" t="s">
        <v>2</v>
      </c>
      <c r="F963" t="s">
        <v>1307</v>
      </c>
      <c r="G963" t="s">
        <v>28</v>
      </c>
      <c r="H963">
        <v>34233</v>
      </c>
      <c r="I963" t="s">
        <v>1305</v>
      </c>
      <c r="J963" t="s">
        <v>1306</v>
      </c>
      <c r="K963" t="s">
        <v>2</v>
      </c>
      <c r="L963" t="s">
        <v>1307</v>
      </c>
      <c r="M963" t="s">
        <v>28</v>
      </c>
      <c r="N963">
        <v>34233</v>
      </c>
      <c r="O963" t="s">
        <v>1312</v>
      </c>
      <c r="P963" t="s">
        <v>1737</v>
      </c>
      <c r="Q963" t="s">
        <v>21</v>
      </c>
      <c r="R963">
        <v>415321</v>
      </c>
      <c r="S963" t="s">
        <v>84</v>
      </c>
      <c r="T963" s="2">
        <v>247</v>
      </c>
      <c r="U963">
        <v>0</v>
      </c>
      <c r="V963" t="s">
        <v>260</v>
      </c>
      <c r="W963">
        <v>1</v>
      </c>
      <c r="X963">
        <v>1</v>
      </c>
      <c r="Y963">
        <v>0</v>
      </c>
      <c r="Z963" t="s">
        <v>1799</v>
      </c>
      <c r="AA963" t="s">
        <v>1800</v>
      </c>
      <c r="AB963" t="s">
        <v>14</v>
      </c>
      <c r="AC963">
        <v>2.3479000000000001</v>
      </c>
      <c r="AD963">
        <v>2.35</v>
      </c>
      <c r="AE963">
        <v>726182083970</v>
      </c>
      <c r="AF963">
        <v>595.30999999999995</v>
      </c>
      <c r="AG963">
        <v>0</v>
      </c>
      <c r="AH963">
        <v>18.34</v>
      </c>
      <c r="AI963">
        <v>613.65</v>
      </c>
      <c r="AJ963" t="s">
        <v>2</v>
      </c>
      <c r="AK963" t="s">
        <v>11</v>
      </c>
    </row>
    <row r="964" spans="1:37">
      <c r="A964">
        <v>257847</v>
      </c>
      <c r="B964" s="1">
        <v>45366</v>
      </c>
      <c r="C964" t="s">
        <v>1305</v>
      </c>
      <c r="D964" t="s">
        <v>1306</v>
      </c>
      <c r="E964" t="s">
        <v>2</v>
      </c>
      <c r="F964" t="s">
        <v>1307</v>
      </c>
      <c r="G964" t="s">
        <v>28</v>
      </c>
      <c r="H964">
        <v>34233</v>
      </c>
      <c r="I964" t="s">
        <v>1305</v>
      </c>
      <c r="J964" t="s">
        <v>1306</v>
      </c>
      <c r="K964" t="s">
        <v>2</v>
      </c>
      <c r="L964" t="s">
        <v>1307</v>
      </c>
      <c r="M964" t="s">
        <v>28</v>
      </c>
      <c r="N964">
        <v>34233</v>
      </c>
      <c r="O964" t="s">
        <v>1312</v>
      </c>
      <c r="P964" t="s">
        <v>1737</v>
      </c>
      <c r="Q964" t="s">
        <v>21</v>
      </c>
      <c r="R964">
        <v>415321</v>
      </c>
      <c r="S964" t="s">
        <v>84</v>
      </c>
      <c r="T964" s="2">
        <v>247</v>
      </c>
      <c r="U964">
        <v>0</v>
      </c>
      <c r="V964" t="s">
        <v>260</v>
      </c>
      <c r="W964">
        <v>0</v>
      </c>
      <c r="X964">
        <v>0</v>
      </c>
      <c r="Y964">
        <v>0</v>
      </c>
      <c r="Z964" t="s">
        <v>88</v>
      </c>
      <c r="AA964" t="s">
        <v>1801</v>
      </c>
      <c r="AB964" t="s">
        <v>10</v>
      </c>
      <c r="AC964">
        <v>0</v>
      </c>
      <c r="AD964">
        <v>0</v>
      </c>
      <c r="AE964">
        <v>726182083970</v>
      </c>
      <c r="AF964">
        <v>595.30999999999995</v>
      </c>
      <c r="AG964">
        <v>0</v>
      </c>
      <c r="AH964">
        <v>18.34</v>
      </c>
      <c r="AI964">
        <v>613.65</v>
      </c>
      <c r="AJ964" t="s">
        <v>2</v>
      </c>
      <c r="AK964" t="s">
        <v>11</v>
      </c>
    </row>
    <row r="965" spans="1:37">
      <c r="A965">
        <v>257847</v>
      </c>
      <c r="B965" s="1">
        <v>45366</v>
      </c>
      <c r="C965" t="s">
        <v>1305</v>
      </c>
      <c r="D965" t="s">
        <v>1306</v>
      </c>
      <c r="E965" t="s">
        <v>2</v>
      </c>
      <c r="F965" t="s">
        <v>1307</v>
      </c>
      <c r="G965" t="s">
        <v>28</v>
      </c>
      <c r="H965">
        <v>34233</v>
      </c>
      <c r="I965" t="s">
        <v>1305</v>
      </c>
      <c r="J965" t="s">
        <v>1306</v>
      </c>
      <c r="K965" t="s">
        <v>2</v>
      </c>
      <c r="L965" t="s">
        <v>1307</v>
      </c>
      <c r="M965" t="s">
        <v>28</v>
      </c>
      <c r="N965">
        <v>34233</v>
      </c>
      <c r="O965" t="s">
        <v>1312</v>
      </c>
      <c r="P965" t="s">
        <v>1737</v>
      </c>
      <c r="Q965" t="s">
        <v>21</v>
      </c>
      <c r="R965">
        <v>415321</v>
      </c>
      <c r="S965" t="s">
        <v>84</v>
      </c>
      <c r="T965" s="2">
        <v>247</v>
      </c>
      <c r="U965">
        <v>0</v>
      </c>
      <c r="V965" t="s">
        <v>260</v>
      </c>
      <c r="W965">
        <v>2</v>
      </c>
      <c r="X965">
        <v>2</v>
      </c>
      <c r="Y965">
        <v>0</v>
      </c>
      <c r="Z965" t="s">
        <v>1802</v>
      </c>
      <c r="AA965" t="s">
        <v>1803</v>
      </c>
      <c r="AB965" t="s">
        <v>14</v>
      </c>
      <c r="AC965">
        <v>2.3479000000000001</v>
      </c>
      <c r="AD965">
        <v>4.7</v>
      </c>
      <c r="AE965">
        <v>726182083970</v>
      </c>
      <c r="AF965">
        <v>595.30999999999995</v>
      </c>
      <c r="AG965">
        <v>0</v>
      </c>
      <c r="AH965">
        <v>18.34</v>
      </c>
      <c r="AI965">
        <v>613.65</v>
      </c>
      <c r="AJ965" t="s">
        <v>2</v>
      </c>
      <c r="AK965" t="s">
        <v>11</v>
      </c>
    </row>
    <row r="966" spans="1:37">
      <c r="A966">
        <v>257847</v>
      </c>
      <c r="B966" s="1">
        <v>45366</v>
      </c>
      <c r="C966" t="s">
        <v>1305</v>
      </c>
      <c r="D966" t="s">
        <v>1306</v>
      </c>
      <c r="E966" t="s">
        <v>2</v>
      </c>
      <c r="F966" t="s">
        <v>1307</v>
      </c>
      <c r="G966" t="s">
        <v>28</v>
      </c>
      <c r="H966">
        <v>34233</v>
      </c>
      <c r="I966" t="s">
        <v>1305</v>
      </c>
      <c r="J966" t="s">
        <v>1306</v>
      </c>
      <c r="K966" t="s">
        <v>2</v>
      </c>
      <c r="L966" t="s">
        <v>1307</v>
      </c>
      <c r="M966" t="s">
        <v>28</v>
      </c>
      <c r="N966">
        <v>34233</v>
      </c>
      <c r="O966" t="s">
        <v>1312</v>
      </c>
      <c r="P966" t="s">
        <v>1737</v>
      </c>
      <c r="Q966" t="s">
        <v>21</v>
      </c>
      <c r="R966">
        <v>415321</v>
      </c>
      <c r="S966" t="s">
        <v>84</v>
      </c>
      <c r="T966" s="2">
        <v>247</v>
      </c>
      <c r="U966">
        <v>0</v>
      </c>
      <c r="V966" t="s">
        <v>260</v>
      </c>
      <c r="W966">
        <v>0</v>
      </c>
      <c r="X966">
        <v>0</v>
      </c>
      <c r="Y966">
        <v>0</v>
      </c>
      <c r="Z966" t="s">
        <v>88</v>
      </c>
      <c r="AA966" t="s">
        <v>1801</v>
      </c>
      <c r="AB966" t="s">
        <v>10</v>
      </c>
      <c r="AC966">
        <v>0</v>
      </c>
      <c r="AD966">
        <v>0</v>
      </c>
      <c r="AE966">
        <v>726182083970</v>
      </c>
      <c r="AF966">
        <v>595.30999999999995</v>
      </c>
      <c r="AG966">
        <v>0</v>
      </c>
      <c r="AH966">
        <v>18.34</v>
      </c>
      <c r="AI966">
        <v>613.65</v>
      </c>
      <c r="AJ966" t="s">
        <v>2</v>
      </c>
      <c r="AK966" t="s">
        <v>11</v>
      </c>
    </row>
    <row r="967" spans="1:37">
      <c r="A967">
        <v>257847</v>
      </c>
      <c r="B967" s="1">
        <v>45366</v>
      </c>
      <c r="C967" t="s">
        <v>1305</v>
      </c>
      <c r="D967" t="s">
        <v>1306</v>
      </c>
      <c r="E967" t="s">
        <v>2</v>
      </c>
      <c r="F967" t="s">
        <v>1307</v>
      </c>
      <c r="G967" t="s">
        <v>28</v>
      </c>
      <c r="H967">
        <v>34233</v>
      </c>
      <c r="I967" t="s">
        <v>1305</v>
      </c>
      <c r="J967" t="s">
        <v>1306</v>
      </c>
      <c r="K967" t="s">
        <v>2</v>
      </c>
      <c r="L967" t="s">
        <v>1307</v>
      </c>
      <c r="M967" t="s">
        <v>28</v>
      </c>
      <c r="N967">
        <v>34233</v>
      </c>
      <c r="O967" t="s">
        <v>1312</v>
      </c>
      <c r="P967" t="s">
        <v>1737</v>
      </c>
      <c r="Q967" t="s">
        <v>21</v>
      </c>
      <c r="R967">
        <v>415321</v>
      </c>
      <c r="S967" t="s">
        <v>84</v>
      </c>
      <c r="T967" s="2">
        <v>247</v>
      </c>
      <c r="U967">
        <v>0</v>
      </c>
      <c r="V967" t="s">
        <v>260</v>
      </c>
      <c r="W967">
        <v>1</v>
      </c>
      <c r="X967">
        <v>1</v>
      </c>
      <c r="Y967">
        <v>0</v>
      </c>
      <c r="Z967" t="s">
        <v>1804</v>
      </c>
      <c r="AA967" t="s">
        <v>1805</v>
      </c>
      <c r="AB967" t="s">
        <v>14</v>
      </c>
      <c r="AC967">
        <v>2.3479000000000001</v>
      </c>
      <c r="AD967">
        <v>2.35</v>
      </c>
      <c r="AE967">
        <v>726182083970</v>
      </c>
      <c r="AF967">
        <v>595.30999999999995</v>
      </c>
      <c r="AG967">
        <v>0</v>
      </c>
      <c r="AH967">
        <v>18.34</v>
      </c>
      <c r="AI967">
        <v>613.65</v>
      </c>
      <c r="AJ967" t="s">
        <v>2</v>
      </c>
      <c r="AK967" t="s">
        <v>11</v>
      </c>
    </row>
    <row r="968" spans="1:37">
      <c r="A968">
        <v>257847</v>
      </c>
      <c r="B968" s="1">
        <v>45366</v>
      </c>
      <c r="C968" t="s">
        <v>1305</v>
      </c>
      <c r="D968" t="s">
        <v>1306</v>
      </c>
      <c r="E968" t="s">
        <v>2</v>
      </c>
      <c r="F968" t="s">
        <v>1307</v>
      </c>
      <c r="G968" t="s">
        <v>28</v>
      </c>
      <c r="H968">
        <v>34233</v>
      </c>
      <c r="I968" t="s">
        <v>1305</v>
      </c>
      <c r="J968" t="s">
        <v>1306</v>
      </c>
      <c r="K968" t="s">
        <v>2</v>
      </c>
      <c r="L968" t="s">
        <v>1307</v>
      </c>
      <c r="M968" t="s">
        <v>28</v>
      </c>
      <c r="N968">
        <v>34233</v>
      </c>
      <c r="O968" t="s">
        <v>1312</v>
      </c>
      <c r="P968" t="s">
        <v>1737</v>
      </c>
      <c r="Q968" t="s">
        <v>21</v>
      </c>
      <c r="R968">
        <v>415321</v>
      </c>
      <c r="S968" t="s">
        <v>84</v>
      </c>
      <c r="T968" s="2">
        <v>247</v>
      </c>
      <c r="U968">
        <v>0</v>
      </c>
      <c r="V968" t="s">
        <v>260</v>
      </c>
      <c r="W968">
        <v>0</v>
      </c>
      <c r="X968">
        <v>0</v>
      </c>
      <c r="Y968">
        <v>0</v>
      </c>
      <c r="Z968" t="s">
        <v>88</v>
      </c>
      <c r="AA968" t="s">
        <v>1801</v>
      </c>
      <c r="AB968" t="s">
        <v>10</v>
      </c>
      <c r="AC968">
        <v>0</v>
      </c>
      <c r="AD968">
        <v>0</v>
      </c>
      <c r="AE968">
        <v>726182083970</v>
      </c>
      <c r="AF968">
        <v>595.30999999999995</v>
      </c>
      <c r="AG968">
        <v>0</v>
      </c>
      <c r="AH968">
        <v>18.34</v>
      </c>
      <c r="AI968">
        <v>613.65</v>
      </c>
      <c r="AJ968" t="s">
        <v>2</v>
      </c>
      <c r="AK968" t="s">
        <v>11</v>
      </c>
    </row>
    <row r="969" spans="1:37">
      <c r="A969">
        <v>257847</v>
      </c>
      <c r="B969" s="1">
        <v>45366</v>
      </c>
      <c r="C969" t="s">
        <v>1305</v>
      </c>
      <c r="D969" t="s">
        <v>1306</v>
      </c>
      <c r="E969" t="s">
        <v>2</v>
      </c>
      <c r="F969" t="s">
        <v>1307</v>
      </c>
      <c r="G969" t="s">
        <v>28</v>
      </c>
      <c r="H969">
        <v>34233</v>
      </c>
      <c r="I969" t="s">
        <v>1305</v>
      </c>
      <c r="J969" t="s">
        <v>1306</v>
      </c>
      <c r="K969" t="s">
        <v>2</v>
      </c>
      <c r="L969" t="s">
        <v>1307</v>
      </c>
      <c r="M969" t="s">
        <v>28</v>
      </c>
      <c r="N969">
        <v>34233</v>
      </c>
      <c r="O969" t="s">
        <v>1312</v>
      </c>
      <c r="P969" t="s">
        <v>1737</v>
      </c>
      <c r="Q969" t="s">
        <v>21</v>
      </c>
      <c r="R969">
        <v>415321</v>
      </c>
      <c r="S969" t="s">
        <v>84</v>
      </c>
      <c r="T969" s="2">
        <v>247</v>
      </c>
      <c r="U969">
        <v>0</v>
      </c>
      <c r="V969" t="s">
        <v>260</v>
      </c>
      <c r="W969">
        <v>1</v>
      </c>
      <c r="X969">
        <v>1</v>
      </c>
      <c r="Y969">
        <v>0</v>
      </c>
      <c r="Z969" t="s">
        <v>1806</v>
      </c>
      <c r="AA969" t="s">
        <v>1807</v>
      </c>
      <c r="AB969" t="s">
        <v>14</v>
      </c>
      <c r="AC969">
        <v>1.6317999999999999</v>
      </c>
      <c r="AD969">
        <v>1.63</v>
      </c>
      <c r="AE969">
        <v>726182083970</v>
      </c>
      <c r="AF969">
        <v>595.30999999999995</v>
      </c>
      <c r="AG969">
        <v>0</v>
      </c>
      <c r="AH969">
        <v>18.34</v>
      </c>
      <c r="AI969">
        <v>613.65</v>
      </c>
      <c r="AJ969" t="s">
        <v>2</v>
      </c>
      <c r="AK969" t="s">
        <v>11</v>
      </c>
    </row>
    <row r="970" spans="1:37">
      <c r="A970">
        <v>257847</v>
      </c>
      <c r="B970" s="1">
        <v>45366</v>
      </c>
      <c r="C970" t="s">
        <v>1305</v>
      </c>
      <c r="D970" t="s">
        <v>1306</v>
      </c>
      <c r="E970" t="s">
        <v>2</v>
      </c>
      <c r="F970" t="s">
        <v>1307</v>
      </c>
      <c r="G970" t="s">
        <v>28</v>
      </c>
      <c r="H970">
        <v>34233</v>
      </c>
      <c r="I970" t="s">
        <v>1305</v>
      </c>
      <c r="J970" t="s">
        <v>1306</v>
      </c>
      <c r="K970" t="s">
        <v>2</v>
      </c>
      <c r="L970" t="s">
        <v>1307</v>
      </c>
      <c r="M970" t="s">
        <v>28</v>
      </c>
      <c r="N970">
        <v>34233</v>
      </c>
      <c r="O970" t="s">
        <v>1312</v>
      </c>
      <c r="P970" t="s">
        <v>1737</v>
      </c>
      <c r="Q970" t="s">
        <v>21</v>
      </c>
      <c r="R970">
        <v>415321</v>
      </c>
      <c r="S970" t="s">
        <v>84</v>
      </c>
      <c r="T970" s="2">
        <v>247</v>
      </c>
      <c r="U970">
        <v>0</v>
      </c>
      <c r="V970" t="s">
        <v>260</v>
      </c>
      <c r="W970">
        <v>0</v>
      </c>
      <c r="X970">
        <v>0</v>
      </c>
      <c r="Y970">
        <v>0</v>
      </c>
      <c r="Z970" t="s">
        <v>88</v>
      </c>
      <c r="AA970" t="s">
        <v>1808</v>
      </c>
      <c r="AB970" t="s">
        <v>10</v>
      </c>
      <c r="AC970">
        <v>0</v>
      </c>
      <c r="AD970">
        <v>0</v>
      </c>
      <c r="AE970">
        <v>726182083970</v>
      </c>
      <c r="AF970">
        <v>595.30999999999995</v>
      </c>
      <c r="AG970">
        <v>0</v>
      </c>
      <c r="AH970">
        <v>18.34</v>
      </c>
      <c r="AI970">
        <v>613.65</v>
      </c>
      <c r="AJ970" t="s">
        <v>2</v>
      </c>
      <c r="AK970" t="s">
        <v>11</v>
      </c>
    </row>
    <row r="971" spans="1:37">
      <c r="A971">
        <v>257847</v>
      </c>
      <c r="B971" s="1">
        <v>45366</v>
      </c>
      <c r="C971" t="s">
        <v>1305</v>
      </c>
      <c r="D971" t="s">
        <v>1306</v>
      </c>
      <c r="E971" t="s">
        <v>2</v>
      </c>
      <c r="F971" t="s">
        <v>1307</v>
      </c>
      <c r="G971" t="s">
        <v>28</v>
      </c>
      <c r="H971">
        <v>34233</v>
      </c>
      <c r="I971" t="s">
        <v>1305</v>
      </c>
      <c r="J971" t="s">
        <v>1306</v>
      </c>
      <c r="K971" t="s">
        <v>2</v>
      </c>
      <c r="L971" t="s">
        <v>1307</v>
      </c>
      <c r="M971" t="s">
        <v>28</v>
      </c>
      <c r="N971">
        <v>34233</v>
      </c>
      <c r="O971" t="s">
        <v>1312</v>
      </c>
      <c r="P971" t="s">
        <v>1737</v>
      </c>
      <c r="Q971" t="s">
        <v>21</v>
      </c>
      <c r="R971">
        <v>415321</v>
      </c>
      <c r="S971" t="s">
        <v>84</v>
      </c>
      <c r="T971" s="2">
        <v>247</v>
      </c>
      <c r="U971">
        <v>0</v>
      </c>
      <c r="V971" t="s">
        <v>260</v>
      </c>
      <c r="W971">
        <v>1</v>
      </c>
      <c r="X971">
        <v>1</v>
      </c>
      <c r="Y971">
        <v>0</v>
      </c>
      <c r="Z971" t="s">
        <v>1809</v>
      </c>
      <c r="AA971" t="s">
        <v>1810</v>
      </c>
      <c r="AB971" t="s">
        <v>14</v>
      </c>
      <c r="AC971">
        <v>1.6317999999999999</v>
      </c>
      <c r="AD971">
        <v>1.63</v>
      </c>
      <c r="AE971">
        <v>726182083970</v>
      </c>
      <c r="AF971">
        <v>595.30999999999995</v>
      </c>
      <c r="AG971">
        <v>0</v>
      </c>
      <c r="AH971">
        <v>18.34</v>
      </c>
      <c r="AI971">
        <v>613.65</v>
      </c>
      <c r="AJ971" t="s">
        <v>2</v>
      </c>
      <c r="AK971" t="s">
        <v>11</v>
      </c>
    </row>
    <row r="972" spans="1:37">
      <c r="A972">
        <v>257847</v>
      </c>
      <c r="B972" s="1">
        <v>45366</v>
      </c>
      <c r="C972" t="s">
        <v>1305</v>
      </c>
      <c r="D972" t="s">
        <v>1306</v>
      </c>
      <c r="E972" t="s">
        <v>2</v>
      </c>
      <c r="F972" t="s">
        <v>1307</v>
      </c>
      <c r="G972" t="s">
        <v>28</v>
      </c>
      <c r="H972">
        <v>34233</v>
      </c>
      <c r="I972" t="s">
        <v>1305</v>
      </c>
      <c r="J972" t="s">
        <v>1306</v>
      </c>
      <c r="K972" t="s">
        <v>2</v>
      </c>
      <c r="L972" t="s">
        <v>1307</v>
      </c>
      <c r="M972" t="s">
        <v>28</v>
      </c>
      <c r="N972">
        <v>34233</v>
      </c>
      <c r="O972" t="s">
        <v>1312</v>
      </c>
      <c r="P972" t="s">
        <v>1737</v>
      </c>
      <c r="Q972" t="s">
        <v>21</v>
      </c>
      <c r="R972">
        <v>415321</v>
      </c>
      <c r="S972" t="s">
        <v>84</v>
      </c>
      <c r="T972" s="2">
        <v>247</v>
      </c>
      <c r="U972">
        <v>0</v>
      </c>
      <c r="V972" t="s">
        <v>260</v>
      </c>
      <c r="W972">
        <v>0</v>
      </c>
      <c r="X972">
        <v>0</v>
      </c>
      <c r="Y972">
        <v>0</v>
      </c>
      <c r="Z972" t="s">
        <v>88</v>
      </c>
      <c r="AA972" t="s">
        <v>1808</v>
      </c>
      <c r="AB972" t="s">
        <v>10</v>
      </c>
      <c r="AC972">
        <v>0</v>
      </c>
      <c r="AD972">
        <v>0</v>
      </c>
      <c r="AE972">
        <v>726182083970</v>
      </c>
      <c r="AF972">
        <v>595.30999999999995</v>
      </c>
      <c r="AG972">
        <v>0</v>
      </c>
      <c r="AH972">
        <v>18.34</v>
      </c>
      <c r="AI972">
        <v>613.65</v>
      </c>
      <c r="AJ972" t="s">
        <v>2</v>
      </c>
      <c r="AK972" t="s">
        <v>11</v>
      </c>
    </row>
    <row r="973" spans="1:37">
      <c r="A973">
        <v>257847</v>
      </c>
      <c r="B973" s="1">
        <v>45366</v>
      </c>
      <c r="C973" t="s">
        <v>1305</v>
      </c>
      <c r="D973" t="s">
        <v>1306</v>
      </c>
      <c r="E973" t="s">
        <v>2</v>
      </c>
      <c r="F973" t="s">
        <v>1307</v>
      </c>
      <c r="G973" t="s">
        <v>28</v>
      </c>
      <c r="H973">
        <v>34233</v>
      </c>
      <c r="I973" t="s">
        <v>1305</v>
      </c>
      <c r="J973" t="s">
        <v>1306</v>
      </c>
      <c r="K973" t="s">
        <v>2</v>
      </c>
      <c r="L973" t="s">
        <v>1307</v>
      </c>
      <c r="M973" t="s">
        <v>28</v>
      </c>
      <c r="N973">
        <v>34233</v>
      </c>
      <c r="O973" t="s">
        <v>1312</v>
      </c>
      <c r="P973" t="s">
        <v>1737</v>
      </c>
      <c r="Q973" t="s">
        <v>21</v>
      </c>
      <c r="R973">
        <v>415321</v>
      </c>
      <c r="S973" t="s">
        <v>84</v>
      </c>
      <c r="T973" s="2">
        <v>247</v>
      </c>
      <c r="U973">
        <v>0</v>
      </c>
      <c r="V973" t="s">
        <v>260</v>
      </c>
      <c r="W973">
        <v>2</v>
      </c>
      <c r="X973">
        <v>2</v>
      </c>
      <c r="Y973">
        <v>0</v>
      </c>
      <c r="Z973" t="s">
        <v>1811</v>
      </c>
      <c r="AA973" t="s">
        <v>1812</v>
      </c>
      <c r="AB973" t="s">
        <v>14</v>
      </c>
      <c r="AC973">
        <v>1.6317999999999999</v>
      </c>
      <c r="AD973">
        <v>3.26</v>
      </c>
      <c r="AE973">
        <v>726182083970</v>
      </c>
      <c r="AF973">
        <v>595.30999999999995</v>
      </c>
      <c r="AG973">
        <v>0</v>
      </c>
      <c r="AH973">
        <v>18.34</v>
      </c>
      <c r="AI973">
        <v>613.65</v>
      </c>
      <c r="AJ973" t="s">
        <v>2</v>
      </c>
      <c r="AK973" t="s">
        <v>11</v>
      </c>
    </row>
    <row r="974" spans="1:37">
      <c r="A974">
        <v>257847</v>
      </c>
      <c r="B974" s="1">
        <v>45366</v>
      </c>
      <c r="C974" t="s">
        <v>1305</v>
      </c>
      <c r="D974" t="s">
        <v>1306</v>
      </c>
      <c r="E974" t="s">
        <v>2</v>
      </c>
      <c r="F974" t="s">
        <v>1307</v>
      </c>
      <c r="G974" t="s">
        <v>28</v>
      </c>
      <c r="H974">
        <v>34233</v>
      </c>
      <c r="I974" t="s">
        <v>1305</v>
      </c>
      <c r="J974" t="s">
        <v>1306</v>
      </c>
      <c r="K974" t="s">
        <v>2</v>
      </c>
      <c r="L974" t="s">
        <v>1307</v>
      </c>
      <c r="M974" t="s">
        <v>28</v>
      </c>
      <c r="N974">
        <v>34233</v>
      </c>
      <c r="O974" t="s">
        <v>1312</v>
      </c>
      <c r="P974" t="s">
        <v>1737</v>
      </c>
      <c r="Q974" t="s">
        <v>21</v>
      </c>
      <c r="R974">
        <v>415321</v>
      </c>
      <c r="S974" t="s">
        <v>84</v>
      </c>
      <c r="T974" s="2">
        <v>247</v>
      </c>
      <c r="U974">
        <v>0</v>
      </c>
      <c r="V974" t="s">
        <v>260</v>
      </c>
      <c r="W974">
        <v>0</v>
      </c>
      <c r="X974">
        <v>0</v>
      </c>
      <c r="Y974">
        <v>0</v>
      </c>
      <c r="Z974" t="s">
        <v>88</v>
      </c>
      <c r="AA974" t="s">
        <v>1808</v>
      </c>
      <c r="AB974" t="s">
        <v>10</v>
      </c>
      <c r="AC974">
        <v>0</v>
      </c>
      <c r="AD974">
        <v>0</v>
      </c>
      <c r="AE974">
        <v>726182083970</v>
      </c>
      <c r="AF974">
        <v>595.30999999999995</v>
      </c>
      <c r="AG974">
        <v>0</v>
      </c>
      <c r="AH974">
        <v>18.34</v>
      </c>
      <c r="AI974">
        <v>613.65</v>
      </c>
      <c r="AJ974" t="s">
        <v>2</v>
      </c>
      <c r="AK974" t="s">
        <v>11</v>
      </c>
    </row>
    <row r="975" spans="1:37">
      <c r="A975">
        <v>257847</v>
      </c>
      <c r="B975" s="1">
        <v>45366</v>
      </c>
      <c r="C975" t="s">
        <v>1305</v>
      </c>
      <c r="D975" t="s">
        <v>1306</v>
      </c>
      <c r="E975" t="s">
        <v>2</v>
      </c>
      <c r="F975" t="s">
        <v>1307</v>
      </c>
      <c r="G975" t="s">
        <v>28</v>
      </c>
      <c r="H975">
        <v>34233</v>
      </c>
      <c r="I975" t="s">
        <v>1305</v>
      </c>
      <c r="J975" t="s">
        <v>1306</v>
      </c>
      <c r="K975" t="s">
        <v>2</v>
      </c>
      <c r="L975" t="s">
        <v>1307</v>
      </c>
      <c r="M975" t="s">
        <v>28</v>
      </c>
      <c r="N975">
        <v>34233</v>
      </c>
      <c r="O975" t="s">
        <v>1312</v>
      </c>
      <c r="P975" t="s">
        <v>1737</v>
      </c>
      <c r="Q975" t="s">
        <v>21</v>
      </c>
      <c r="R975">
        <v>415321</v>
      </c>
      <c r="S975" t="s">
        <v>84</v>
      </c>
      <c r="T975" s="2">
        <v>247</v>
      </c>
      <c r="U975">
        <v>0</v>
      </c>
      <c r="V975" t="s">
        <v>260</v>
      </c>
      <c r="W975">
        <v>3</v>
      </c>
      <c r="X975">
        <v>3</v>
      </c>
      <c r="Y975">
        <v>0</v>
      </c>
      <c r="Z975" t="s">
        <v>1813</v>
      </c>
      <c r="AA975" t="s">
        <v>1814</v>
      </c>
      <c r="AB975" t="s">
        <v>14</v>
      </c>
      <c r="AC975">
        <v>2.04</v>
      </c>
      <c r="AD975">
        <v>6.12</v>
      </c>
      <c r="AE975">
        <v>726182083970</v>
      </c>
      <c r="AF975">
        <v>595.30999999999995</v>
      </c>
      <c r="AG975">
        <v>0</v>
      </c>
      <c r="AH975">
        <v>18.34</v>
      </c>
      <c r="AI975">
        <v>613.65</v>
      </c>
      <c r="AJ975" t="s">
        <v>2</v>
      </c>
      <c r="AK975" t="s">
        <v>11</v>
      </c>
    </row>
    <row r="976" spans="1:37">
      <c r="A976">
        <v>257847</v>
      </c>
      <c r="B976" s="1">
        <v>45366</v>
      </c>
      <c r="C976" t="s">
        <v>1305</v>
      </c>
      <c r="D976" t="s">
        <v>1306</v>
      </c>
      <c r="E976" t="s">
        <v>2</v>
      </c>
      <c r="F976" t="s">
        <v>1307</v>
      </c>
      <c r="G976" t="s">
        <v>28</v>
      </c>
      <c r="H976">
        <v>34233</v>
      </c>
      <c r="I976" t="s">
        <v>1305</v>
      </c>
      <c r="J976" t="s">
        <v>1306</v>
      </c>
      <c r="K976" t="s">
        <v>2</v>
      </c>
      <c r="L976" t="s">
        <v>1307</v>
      </c>
      <c r="M976" t="s">
        <v>28</v>
      </c>
      <c r="N976">
        <v>34233</v>
      </c>
      <c r="O976" t="s">
        <v>1312</v>
      </c>
      <c r="P976" t="s">
        <v>1737</v>
      </c>
      <c r="Q976" t="s">
        <v>21</v>
      </c>
      <c r="R976">
        <v>415321</v>
      </c>
      <c r="S976" t="s">
        <v>84</v>
      </c>
      <c r="T976" s="2">
        <v>247</v>
      </c>
      <c r="U976">
        <v>0</v>
      </c>
      <c r="V976" t="s">
        <v>260</v>
      </c>
      <c r="W976">
        <v>0</v>
      </c>
      <c r="X976">
        <v>0</v>
      </c>
      <c r="Y976">
        <v>0</v>
      </c>
      <c r="Z976" t="s">
        <v>88</v>
      </c>
      <c r="AA976" t="s">
        <v>1815</v>
      </c>
      <c r="AB976" t="s">
        <v>10</v>
      </c>
      <c r="AC976">
        <v>0</v>
      </c>
      <c r="AD976">
        <v>0</v>
      </c>
      <c r="AE976">
        <v>726182083970</v>
      </c>
      <c r="AF976">
        <v>595.30999999999995</v>
      </c>
      <c r="AG976">
        <v>0</v>
      </c>
      <c r="AH976">
        <v>18.34</v>
      </c>
      <c r="AI976">
        <v>613.65</v>
      </c>
      <c r="AJ976" t="s">
        <v>2</v>
      </c>
      <c r="AK976" t="s">
        <v>11</v>
      </c>
    </row>
    <row r="977" spans="1:37">
      <c r="A977">
        <v>257847</v>
      </c>
      <c r="B977" s="1">
        <v>45366</v>
      </c>
      <c r="C977" t="s">
        <v>1305</v>
      </c>
      <c r="D977" t="s">
        <v>1306</v>
      </c>
      <c r="E977" t="s">
        <v>2</v>
      </c>
      <c r="F977" t="s">
        <v>1307</v>
      </c>
      <c r="G977" t="s">
        <v>28</v>
      </c>
      <c r="H977">
        <v>34233</v>
      </c>
      <c r="I977" t="s">
        <v>1305</v>
      </c>
      <c r="J977" t="s">
        <v>1306</v>
      </c>
      <c r="K977" t="s">
        <v>2</v>
      </c>
      <c r="L977" t="s">
        <v>1307</v>
      </c>
      <c r="M977" t="s">
        <v>28</v>
      </c>
      <c r="N977">
        <v>34233</v>
      </c>
      <c r="O977" t="s">
        <v>1312</v>
      </c>
      <c r="P977" t="s">
        <v>1737</v>
      </c>
      <c r="Q977" t="s">
        <v>21</v>
      </c>
      <c r="R977">
        <v>415321</v>
      </c>
      <c r="S977" t="s">
        <v>84</v>
      </c>
      <c r="T977" s="2">
        <v>247</v>
      </c>
      <c r="U977">
        <v>0</v>
      </c>
      <c r="V977" t="s">
        <v>260</v>
      </c>
      <c r="W977">
        <v>3</v>
      </c>
      <c r="X977">
        <v>0</v>
      </c>
      <c r="Y977">
        <v>3</v>
      </c>
      <c r="Z977" t="s">
        <v>1816</v>
      </c>
      <c r="AA977" t="s">
        <v>1817</v>
      </c>
      <c r="AB977" t="s">
        <v>14</v>
      </c>
      <c r="AC977">
        <v>2.04</v>
      </c>
      <c r="AD977">
        <v>0</v>
      </c>
      <c r="AE977">
        <v>726182083970</v>
      </c>
      <c r="AF977">
        <v>595.30999999999995</v>
      </c>
      <c r="AG977">
        <v>0</v>
      </c>
      <c r="AH977">
        <v>18.34</v>
      </c>
      <c r="AI977">
        <v>613.65</v>
      </c>
      <c r="AJ977" t="s">
        <v>2</v>
      </c>
      <c r="AK977" t="s">
        <v>11</v>
      </c>
    </row>
    <row r="978" spans="1:37">
      <c r="A978">
        <v>257847</v>
      </c>
      <c r="B978" s="1">
        <v>45366</v>
      </c>
      <c r="C978" t="s">
        <v>1305</v>
      </c>
      <c r="D978" t="s">
        <v>1306</v>
      </c>
      <c r="E978" t="s">
        <v>2</v>
      </c>
      <c r="F978" t="s">
        <v>1307</v>
      </c>
      <c r="G978" t="s">
        <v>28</v>
      </c>
      <c r="H978">
        <v>34233</v>
      </c>
      <c r="I978" t="s">
        <v>1305</v>
      </c>
      <c r="J978" t="s">
        <v>1306</v>
      </c>
      <c r="K978" t="s">
        <v>2</v>
      </c>
      <c r="L978" t="s">
        <v>1307</v>
      </c>
      <c r="M978" t="s">
        <v>28</v>
      </c>
      <c r="N978">
        <v>34233</v>
      </c>
      <c r="O978" t="s">
        <v>1312</v>
      </c>
      <c r="P978" t="s">
        <v>1737</v>
      </c>
      <c r="Q978" t="s">
        <v>21</v>
      </c>
      <c r="R978">
        <v>415321</v>
      </c>
      <c r="S978" t="s">
        <v>84</v>
      </c>
      <c r="T978" s="2">
        <v>247</v>
      </c>
      <c r="U978">
        <v>0</v>
      </c>
      <c r="V978" t="s">
        <v>260</v>
      </c>
      <c r="W978">
        <v>0</v>
      </c>
      <c r="X978">
        <v>0</v>
      </c>
      <c r="Y978">
        <v>0</v>
      </c>
      <c r="Z978" t="s">
        <v>88</v>
      </c>
      <c r="AA978" t="s">
        <v>1815</v>
      </c>
      <c r="AB978" t="s">
        <v>10</v>
      </c>
      <c r="AC978">
        <v>0</v>
      </c>
      <c r="AD978">
        <v>0</v>
      </c>
      <c r="AE978">
        <v>726182083970</v>
      </c>
      <c r="AF978">
        <v>595.30999999999995</v>
      </c>
      <c r="AG978">
        <v>0</v>
      </c>
      <c r="AH978">
        <v>18.34</v>
      </c>
      <c r="AI978">
        <v>613.65</v>
      </c>
      <c r="AJ978" t="s">
        <v>2</v>
      </c>
      <c r="AK978" t="s">
        <v>11</v>
      </c>
    </row>
    <row r="979" spans="1:37">
      <c r="A979">
        <v>257847</v>
      </c>
      <c r="B979" s="1">
        <v>45366</v>
      </c>
      <c r="C979" t="s">
        <v>1305</v>
      </c>
      <c r="D979" t="s">
        <v>1306</v>
      </c>
      <c r="E979" t="s">
        <v>2</v>
      </c>
      <c r="F979" t="s">
        <v>1307</v>
      </c>
      <c r="G979" t="s">
        <v>28</v>
      </c>
      <c r="H979">
        <v>34233</v>
      </c>
      <c r="I979" t="s">
        <v>1305</v>
      </c>
      <c r="J979" t="s">
        <v>1306</v>
      </c>
      <c r="K979" t="s">
        <v>2</v>
      </c>
      <c r="L979" t="s">
        <v>1307</v>
      </c>
      <c r="M979" t="s">
        <v>28</v>
      </c>
      <c r="N979">
        <v>34233</v>
      </c>
      <c r="O979" t="s">
        <v>1312</v>
      </c>
      <c r="P979" t="s">
        <v>1737</v>
      </c>
      <c r="Q979" t="s">
        <v>21</v>
      </c>
      <c r="R979">
        <v>415321</v>
      </c>
      <c r="S979" t="s">
        <v>84</v>
      </c>
      <c r="T979" s="2">
        <v>247</v>
      </c>
      <c r="U979">
        <v>0</v>
      </c>
      <c r="V979" t="s">
        <v>260</v>
      </c>
      <c r="W979">
        <v>3</v>
      </c>
      <c r="X979">
        <v>3</v>
      </c>
      <c r="Y979">
        <v>0</v>
      </c>
      <c r="Z979" t="s">
        <v>1818</v>
      </c>
      <c r="AA979" t="s">
        <v>1819</v>
      </c>
      <c r="AB979" t="s">
        <v>14</v>
      </c>
      <c r="AC979">
        <v>2.0994000000000002</v>
      </c>
      <c r="AD979">
        <v>6.3</v>
      </c>
      <c r="AE979">
        <v>726182083970</v>
      </c>
      <c r="AF979">
        <v>595.30999999999995</v>
      </c>
      <c r="AG979">
        <v>0</v>
      </c>
      <c r="AH979">
        <v>18.34</v>
      </c>
      <c r="AI979">
        <v>613.65</v>
      </c>
      <c r="AJ979" t="s">
        <v>2</v>
      </c>
      <c r="AK979" t="s">
        <v>11</v>
      </c>
    </row>
    <row r="980" spans="1:37">
      <c r="A980">
        <v>257847</v>
      </c>
      <c r="B980" s="1">
        <v>45366</v>
      </c>
      <c r="C980" t="s">
        <v>1305</v>
      </c>
      <c r="D980" t="s">
        <v>1306</v>
      </c>
      <c r="E980" t="s">
        <v>2</v>
      </c>
      <c r="F980" t="s">
        <v>1307</v>
      </c>
      <c r="G980" t="s">
        <v>28</v>
      </c>
      <c r="H980">
        <v>34233</v>
      </c>
      <c r="I980" t="s">
        <v>1305</v>
      </c>
      <c r="J980" t="s">
        <v>1306</v>
      </c>
      <c r="K980" t="s">
        <v>2</v>
      </c>
      <c r="L980" t="s">
        <v>1307</v>
      </c>
      <c r="M980" t="s">
        <v>28</v>
      </c>
      <c r="N980">
        <v>34233</v>
      </c>
      <c r="O980" t="s">
        <v>1312</v>
      </c>
      <c r="P980" t="s">
        <v>1737</v>
      </c>
      <c r="Q980" t="s">
        <v>21</v>
      </c>
      <c r="R980">
        <v>415321</v>
      </c>
      <c r="S980" t="s">
        <v>84</v>
      </c>
      <c r="T980" s="2">
        <v>247</v>
      </c>
      <c r="U980">
        <v>0</v>
      </c>
      <c r="V980" t="s">
        <v>260</v>
      </c>
      <c r="W980">
        <v>0</v>
      </c>
      <c r="X980">
        <v>0</v>
      </c>
      <c r="Y980">
        <v>0</v>
      </c>
      <c r="Z980" t="s">
        <v>88</v>
      </c>
      <c r="AA980" t="s">
        <v>1820</v>
      </c>
      <c r="AB980" t="s">
        <v>10</v>
      </c>
      <c r="AC980">
        <v>0</v>
      </c>
      <c r="AD980">
        <v>0</v>
      </c>
      <c r="AE980">
        <v>726182083970</v>
      </c>
      <c r="AF980">
        <v>595.30999999999995</v>
      </c>
      <c r="AG980">
        <v>0</v>
      </c>
      <c r="AH980">
        <v>18.34</v>
      </c>
      <c r="AI980">
        <v>613.65</v>
      </c>
      <c r="AJ980" t="s">
        <v>2</v>
      </c>
      <c r="AK980" t="s">
        <v>11</v>
      </c>
    </row>
    <row r="981" spans="1:37">
      <c r="A981">
        <v>257847</v>
      </c>
      <c r="B981" s="1">
        <v>45366</v>
      </c>
      <c r="C981" t="s">
        <v>1305</v>
      </c>
      <c r="D981" t="s">
        <v>1306</v>
      </c>
      <c r="E981" t="s">
        <v>2</v>
      </c>
      <c r="F981" t="s">
        <v>1307</v>
      </c>
      <c r="G981" t="s">
        <v>28</v>
      </c>
      <c r="H981">
        <v>34233</v>
      </c>
      <c r="I981" t="s">
        <v>1305</v>
      </c>
      <c r="J981" t="s">
        <v>1306</v>
      </c>
      <c r="K981" t="s">
        <v>2</v>
      </c>
      <c r="L981" t="s">
        <v>1307</v>
      </c>
      <c r="M981" t="s">
        <v>28</v>
      </c>
      <c r="N981">
        <v>34233</v>
      </c>
      <c r="O981" t="s">
        <v>1312</v>
      </c>
      <c r="P981" t="s">
        <v>1737</v>
      </c>
      <c r="Q981" t="s">
        <v>21</v>
      </c>
      <c r="R981">
        <v>415321</v>
      </c>
      <c r="S981" t="s">
        <v>84</v>
      </c>
      <c r="T981" s="2">
        <v>247</v>
      </c>
      <c r="U981">
        <v>0</v>
      </c>
      <c r="V981" t="s">
        <v>260</v>
      </c>
      <c r="W981">
        <v>3</v>
      </c>
      <c r="X981">
        <v>0</v>
      </c>
      <c r="Y981">
        <v>3</v>
      </c>
      <c r="Z981" t="s">
        <v>1821</v>
      </c>
      <c r="AA981" t="s">
        <v>1822</v>
      </c>
      <c r="AB981" t="s">
        <v>14</v>
      </c>
      <c r="AC981">
        <v>2.0994000000000002</v>
      </c>
      <c r="AD981">
        <v>0</v>
      </c>
      <c r="AE981">
        <v>726182083970</v>
      </c>
      <c r="AF981">
        <v>595.30999999999995</v>
      </c>
      <c r="AG981">
        <v>0</v>
      </c>
      <c r="AH981">
        <v>18.34</v>
      </c>
      <c r="AI981">
        <v>613.65</v>
      </c>
      <c r="AJ981" t="s">
        <v>2</v>
      </c>
      <c r="AK981" t="s">
        <v>11</v>
      </c>
    </row>
    <row r="982" spans="1:37">
      <c r="A982">
        <v>257847</v>
      </c>
      <c r="B982" s="1">
        <v>45366</v>
      </c>
      <c r="C982" t="s">
        <v>1305</v>
      </c>
      <c r="D982" t="s">
        <v>1306</v>
      </c>
      <c r="E982" t="s">
        <v>2</v>
      </c>
      <c r="F982" t="s">
        <v>1307</v>
      </c>
      <c r="G982" t="s">
        <v>28</v>
      </c>
      <c r="H982">
        <v>34233</v>
      </c>
      <c r="I982" t="s">
        <v>1305</v>
      </c>
      <c r="J982" t="s">
        <v>1306</v>
      </c>
      <c r="K982" t="s">
        <v>2</v>
      </c>
      <c r="L982" t="s">
        <v>1307</v>
      </c>
      <c r="M982" t="s">
        <v>28</v>
      </c>
      <c r="N982">
        <v>34233</v>
      </c>
      <c r="O982" t="s">
        <v>1312</v>
      </c>
      <c r="P982" t="s">
        <v>1737</v>
      </c>
      <c r="Q982" t="s">
        <v>21</v>
      </c>
      <c r="R982">
        <v>415321</v>
      </c>
      <c r="S982" t="s">
        <v>84</v>
      </c>
      <c r="T982" s="2">
        <v>247</v>
      </c>
      <c r="U982">
        <v>0</v>
      </c>
      <c r="V982" t="s">
        <v>260</v>
      </c>
      <c r="W982">
        <v>0</v>
      </c>
      <c r="X982">
        <v>0</v>
      </c>
      <c r="Y982">
        <v>0</v>
      </c>
      <c r="Z982" t="s">
        <v>88</v>
      </c>
      <c r="AA982" t="s">
        <v>1820</v>
      </c>
      <c r="AB982" t="s">
        <v>10</v>
      </c>
      <c r="AC982">
        <v>0</v>
      </c>
      <c r="AD982">
        <v>0</v>
      </c>
      <c r="AE982">
        <v>726182083970</v>
      </c>
      <c r="AF982">
        <v>595.30999999999995</v>
      </c>
      <c r="AG982">
        <v>0</v>
      </c>
      <c r="AH982">
        <v>18.34</v>
      </c>
      <c r="AI982">
        <v>613.65</v>
      </c>
      <c r="AJ982" t="s">
        <v>2</v>
      </c>
      <c r="AK982" t="s">
        <v>11</v>
      </c>
    </row>
    <row r="983" spans="1:37">
      <c r="A983">
        <v>257847</v>
      </c>
      <c r="B983" s="1">
        <v>45366</v>
      </c>
      <c r="C983" t="s">
        <v>1305</v>
      </c>
      <c r="D983" t="s">
        <v>1306</v>
      </c>
      <c r="E983" t="s">
        <v>2</v>
      </c>
      <c r="F983" t="s">
        <v>1307</v>
      </c>
      <c r="G983" t="s">
        <v>28</v>
      </c>
      <c r="H983">
        <v>34233</v>
      </c>
      <c r="I983" t="s">
        <v>1305</v>
      </c>
      <c r="J983" t="s">
        <v>1306</v>
      </c>
      <c r="K983" t="s">
        <v>2</v>
      </c>
      <c r="L983" t="s">
        <v>1307</v>
      </c>
      <c r="M983" t="s">
        <v>28</v>
      </c>
      <c r="N983">
        <v>34233</v>
      </c>
      <c r="O983" t="s">
        <v>1312</v>
      </c>
      <c r="P983" t="s">
        <v>1737</v>
      </c>
      <c r="Q983" t="s">
        <v>21</v>
      </c>
      <c r="R983">
        <v>415321</v>
      </c>
      <c r="S983" t="s">
        <v>84</v>
      </c>
      <c r="T983" s="2">
        <v>247</v>
      </c>
      <c r="U983">
        <v>0</v>
      </c>
      <c r="V983" t="s">
        <v>260</v>
      </c>
      <c r="W983">
        <v>5</v>
      </c>
      <c r="X983">
        <v>5</v>
      </c>
      <c r="Y983">
        <v>0</v>
      </c>
      <c r="Z983" t="s">
        <v>1823</v>
      </c>
      <c r="AA983" t="s">
        <v>1824</v>
      </c>
      <c r="AB983" t="s">
        <v>14</v>
      </c>
      <c r="AC983">
        <v>2.0994000000000002</v>
      </c>
      <c r="AD983">
        <v>10.5</v>
      </c>
      <c r="AE983">
        <v>726182083970</v>
      </c>
      <c r="AF983">
        <v>595.30999999999995</v>
      </c>
      <c r="AG983">
        <v>0</v>
      </c>
      <c r="AH983">
        <v>18.34</v>
      </c>
      <c r="AI983">
        <v>613.65</v>
      </c>
      <c r="AJ983" t="s">
        <v>2</v>
      </c>
      <c r="AK983" t="s">
        <v>11</v>
      </c>
    </row>
    <row r="984" spans="1:37">
      <c r="A984">
        <v>257847</v>
      </c>
      <c r="B984" s="1">
        <v>45366</v>
      </c>
      <c r="C984" t="s">
        <v>1305</v>
      </c>
      <c r="D984" t="s">
        <v>1306</v>
      </c>
      <c r="E984" t="s">
        <v>2</v>
      </c>
      <c r="F984" t="s">
        <v>1307</v>
      </c>
      <c r="G984" t="s">
        <v>28</v>
      </c>
      <c r="H984">
        <v>34233</v>
      </c>
      <c r="I984" t="s">
        <v>1305</v>
      </c>
      <c r="J984" t="s">
        <v>1306</v>
      </c>
      <c r="K984" t="s">
        <v>2</v>
      </c>
      <c r="L984" t="s">
        <v>1307</v>
      </c>
      <c r="M984" t="s">
        <v>28</v>
      </c>
      <c r="N984">
        <v>34233</v>
      </c>
      <c r="O984" t="s">
        <v>1312</v>
      </c>
      <c r="P984" t="s">
        <v>1737</v>
      </c>
      <c r="Q984" t="s">
        <v>21</v>
      </c>
      <c r="R984">
        <v>415321</v>
      </c>
      <c r="S984" t="s">
        <v>84</v>
      </c>
      <c r="T984" s="2">
        <v>247</v>
      </c>
      <c r="U984">
        <v>0</v>
      </c>
      <c r="V984" t="s">
        <v>260</v>
      </c>
      <c r="W984">
        <v>0</v>
      </c>
      <c r="X984">
        <v>0</v>
      </c>
      <c r="Y984">
        <v>0</v>
      </c>
      <c r="Z984" t="s">
        <v>88</v>
      </c>
      <c r="AA984" t="s">
        <v>1820</v>
      </c>
      <c r="AB984" t="s">
        <v>10</v>
      </c>
      <c r="AC984">
        <v>0</v>
      </c>
      <c r="AD984">
        <v>0</v>
      </c>
      <c r="AE984">
        <v>726182083970</v>
      </c>
      <c r="AF984">
        <v>595.30999999999995</v>
      </c>
      <c r="AG984">
        <v>0</v>
      </c>
      <c r="AH984">
        <v>18.34</v>
      </c>
      <c r="AI984">
        <v>613.65</v>
      </c>
      <c r="AJ984" t="s">
        <v>2</v>
      </c>
      <c r="AK984" t="s">
        <v>11</v>
      </c>
    </row>
    <row r="985" spans="1:37">
      <c r="A985">
        <v>257847</v>
      </c>
      <c r="B985" s="1">
        <v>45366</v>
      </c>
      <c r="C985" t="s">
        <v>1305</v>
      </c>
      <c r="D985" t="s">
        <v>1306</v>
      </c>
      <c r="E985" t="s">
        <v>2</v>
      </c>
      <c r="F985" t="s">
        <v>1307</v>
      </c>
      <c r="G985" t="s">
        <v>28</v>
      </c>
      <c r="H985">
        <v>34233</v>
      </c>
      <c r="I985" t="s">
        <v>1305</v>
      </c>
      <c r="J985" t="s">
        <v>1306</v>
      </c>
      <c r="K985" t="s">
        <v>2</v>
      </c>
      <c r="L985" t="s">
        <v>1307</v>
      </c>
      <c r="M985" t="s">
        <v>28</v>
      </c>
      <c r="N985">
        <v>34233</v>
      </c>
      <c r="O985" t="s">
        <v>1312</v>
      </c>
      <c r="P985" t="s">
        <v>1737</v>
      </c>
      <c r="Q985" t="s">
        <v>21</v>
      </c>
      <c r="R985">
        <v>415321</v>
      </c>
      <c r="S985" t="s">
        <v>84</v>
      </c>
      <c r="T985" s="2">
        <v>247</v>
      </c>
      <c r="U985">
        <v>0</v>
      </c>
      <c r="V985" t="s">
        <v>260</v>
      </c>
      <c r="W985">
        <v>3</v>
      </c>
      <c r="X985">
        <v>3</v>
      </c>
      <c r="Y985">
        <v>0</v>
      </c>
      <c r="Z985" t="s">
        <v>1825</v>
      </c>
      <c r="AA985" t="s">
        <v>1826</v>
      </c>
      <c r="AB985" t="s">
        <v>14</v>
      </c>
      <c r="AC985">
        <v>2.0994000000000002</v>
      </c>
      <c r="AD985">
        <v>6.3</v>
      </c>
      <c r="AE985">
        <v>726182083970</v>
      </c>
      <c r="AF985">
        <v>595.30999999999995</v>
      </c>
      <c r="AG985">
        <v>0</v>
      </c>
      <c r="AH985">
        <v>18.34</v>
      </c>
      <c r="AI985">
        <v>613.65</v>
      </c>
      <c r="AJ985" t="s">
        <v>2</v>
      </c>
      <c r="AK985" t="s">
        <v>11</v>
      </c>
    </row>
    <row r="986" spans="1:37">
      <c r="A986">
        <v>257847</v>
      </c>
      <c r="B986" s="1">
        <v>45366</v>
      </c>
      <c r="C986" t="s">
        <v>1305</v>
      </c>
      <c r="D986" t="s">
        <v>1306</v>
      </c>
      <c r="E986" t="s">
        <v>2</v>
      </c>
      <c r="F986" t="s">
        <v>1307</v>
      </c>
      <c r="G986" t="s">
        <v>28</v>
      </c>
      <c r="H986">
        <v>34233</v>
      </c>
      <c r="I986" t="s">
        <v>1305</v>
      </c>
      <c r="J986" t="s">
        <v>1306</v>
      </c>
      <c r="K986" t="s">
        <v>2</v>
      </c>
      <c r="L986" t="s">
        <v>1307</v>
      </c>
      <c r="M986" t="s">
        <v>28</v>
      </c>
      <c r="N986">
        <v>34233</v>
      </c>
      <c r="O986" t="s">
        <v>1312</v>
      </c>
      <c r="P986" t="s">
        <v>1737</v>
      </c>
      <c r="Q986" t="s">
        <v>21</v>
      </c>
      <c r="R986">
        <v>415321</v>
      </c>
      <c r="S986" t="s">
        <v>84</v>
      </c>
      <c r="T986" s="2">
        <v>247</v>
      </c>
      <c r="U986">
        <v>0</v>
      </c>
      <c r="V986" t="s">
        <v>260</v>
      </c>
      <c r="W986">
        <v>0</v>
      </c>
      <c r="X986">
        <v>0</v>
      </c>
      <c r="Y986">
        <v>0</v>
      </c>
      <c r="Z986" t="s">
        <v>88</v>
      </c>
      <c r="AA986" t="s">
        <v>1820</v>
      </c>
      <c r="AB986" t="s">
        <v>10</v>
      </c>
      <c r="AC986">
        <v>0</v>
      </c>
      <c r="AD986">
        <v>0</v>
      </c>
      <c r="AE986">
        <v>726182083970</v>
      </c>
      <c r="AF986">
        <v>595.30999999999995</v>
      </c>
      <c r="AG986">
        <v>0</v>
      </c>
      <c r="AH986">
        <v>18.34</v>
      </c>
      <c r="AI986">
        <v>613.65</v>
      </c>
      <c r="AJ986" t="s">
        <v>2</v>
      </c>
      <c r="AK986" t="s">
        <v>11</v>
      </c>
    </row>
    <row r="987" spans="1:37">
      <c r="A987">
        <v>257847</v>
      </c>
      <c r="B987" s="1">
        <v>45366</v>
      </c>
      <c r="C987" t="s">
        <v>1305</v>
      </c>
      <c r="D987" t="s">
        <v>1306</v>
      </c>
      <c r="E987" t="s">
        <v>2</v>
      </c>
      <c r="F987" t="s">
        <v>1307</v>
      </c>
      <c r="G987" t="s">
        <v>28</v>
      </c>
      <c r="H987">
        <v>34233</v>
      </c>
      <c r="I987" t="s">
        <v>1305</v>
      </c>
      <c r="J987" t="s">
        <v>1306</v>
      </c>
      <c r="K987" t="s">
        <v>2</v>
      </c>
      <c r="L987" t="s">
        <v>1307</v>
      </c>
      <c r="M987" t="s">
        <v>28</v>
      </c>
      <c r="N987">
        <v>34233</v>
      </c>
      <c r="O987" t="s">
        <v>1312</v>
      </c>
      <c r="P987" t="s">
        <v>1737</v>
      </c>
      <c r="Q987" t="s">
        <v>21</v>
      </c>
      <c r="R987">
        <v>415321</v>
      </c>
      <c r="S987" t="s">
        <v>84</v>
      </c>
      <c r="T987" s="2">
        <v>247</v>
      </c>
      <c r="U987">
        <v>0</v>
      </c>
      <c r="V987" t="s">
        <v>260</v>
      </c>
      <c r="W987">
        <v>3</v>
      </c>
      <c r="X987">
        <v>3</v>
      </c>
      <c r="Y987">
        <v>0</v>
      </c>
      <c r="Z987" t="s">
        <v>1827</v>
      </c>
      <c r="AA987" t="s">
        <v>1828</v>
      </c>
      <c r="AB987" t="s">
        <v>14</v>
      </c>
      <c r="AC987">
        <v>2.0994000000000002</v>
      </c>
      <c r="AD987">
        <v>6.3</v>
      </c>
      <c r="AE987">
        <v>726182083970</v>
      </c>
      <c r="AF987">
        <v>595.30999999999995</v>
      </c>
      <c r="AG987">
        <v>0</v>
      </c>
      <c r="AH987">
        <v>18.34</v>
      </c>
      <c r="AI987">
        <v>613.65</v>
      </c>
      <c r="AJ987" t="s">
        <v>2</v>
      </c>
      <c r="AK987" t="s">
        <v>11</v>
      </c>
    </row>
    <row r="988" spans="1:37">
      <c r="A988">
        <v>257847</v>
      </c>
      <c r="B988" s="1">
        <v>45366</v>
      </c>
      <c r="C988" t="s">
        <v>1305</v>
      </c>
      <c r="D988" t="s">
        <v>1306</v>
      </c>
      <c r="E988" t="s">
        <v>2</v>
      </c>
      <c r="F988" t="s">
        <v>1307</v>
      </c>
      <c r="G988" t="s">
        <v>28</v>
      </c>
      <c r="H988">
        <v>34233</v>
      </c>
      <c r="I988" t="s">
        <v>1305</v>
      </c>
      <c r="J988" t="s">
        <v>1306</v>
      </c>
      <c r="K988" t="s">
        <v>2</v>
      </c>
      <c r="L988" t="s">
        <v>1307</v>
      </c>
      <c r="M988" t="s">
        <v>28</v>
      </c>
      <c r="N988">
        <v>34233</v>
      </c>
      <c r="O988" t="s">
        <v>1312</v>
      </c>
      <c r="P988" t="s">
        <v>1737</v>
      </c>
      <c r="Q988" t="s">
        <v>21</v>
      </c>
      <c r="R988">
        <v>415321</v>
      </c>
      <c r="S988" t="s">
        <v>84</v>
      </c>
      <c r="T988" s="2">
        <v>247</v>
      </c>
      <c r="U988">
        <v>0</v>
      </c>
      <c r="V988" t="s">
        <v>260</v>
      </c>
      <c r="W988">
        <v>0</v>
      </c>
      <c r="X988">
        <v>0</v>
      </c>
      <c r="Y988">
        <v>0</v>
      </c>
      <c r="Z988" t="s">
        <v>88</v>
      </c>
      <c r="AA988" t="s">
        <v>1820</v>
      </c>
      <c r="AB988" t="s">
        <v>10</v>
      </c>
      <c r="AC988">
        <v>0</v>
      </c>
      <c r="AD988">
        <v>0</v>
      </c>
      <c r="AE988">
        <v>726182083970</v>
      </c>
      <c r="AF988">
        <v>595.30999999999995</v>
      </c>
      <c r="AG988">
        <v>0</v>
      </c>
      <c r="AH988">
        <v>18.34</v>
      </c>
      <c r="AI988">
        <v>613.65</v>
      </c>
      <c r="AJ988" t="s">
        <v>2</v>
      </c>
      <c r="AK988" t="s">
        <v>11</v>
      </c>
    </row>
    <row r="989" spans="1:37">
      <c r="A989">
        <v>257847</v>
      </c>
      <c r="B989" s="1">
        <v>45366</v>
      </c>
      <c r="C989" t="s">
        <v>1305</v>
      </c>
      <c r="D989" t="s">
        <v>1306</v>
      </c>
      <c r="E989" t="s">
        <v>2</v>
      </c>
      <c r="F989" t="s">
        <v>1307</v>
      </c>
      <c r="G989" t="s">
        <v>28</v>
      </c>
      <c r="H989">
        <v>34233</v>
      </c>
      <c r="I989" t="s">
        <v>1305</v>
      </c>
      <c r="J989" t="s">
        <v>1306</v>
      </c>
      <c r="K989" t="s">
        <v>2</v>
      </c>
      <c r="L989" t="s">
        <v>1307</v>
      </c>
      <c r="M989" t="s">
        <v>28</v>
      </c>
      <c r="N989">
        <v>34233</v>
      </c>
      <c r="O989" t="s">
        <v>1312</v>
      </c>
      <c r="P989" t="s">
        <v>1737</v>
      </c>
      <c r="Q989" t="s">
        <v>21</v>
      </c>
      <c r="R989">
        <v>415321</v>
      </c>
      <c r="S989" t="s">
        <v>84</v>
      </c>
      <c r="T989" s="2">
        <v>247</v>
      </c>
      <c r="U989">
        <v>0</v>
      </c>
      <c r="V989" t="s">
        <v>260</v>
      </c>
      <c r="W989">
        <v>3</v>
      </c>
      <c r="X989">
        <v>3</v>
      </c>
      <c r="Y989">
        <v>0</v>
      </c>
      <c r="Z989" t="s">
        <v>1829</v>
      </c>
      <c r="AA989" t="s">
        <v>1830</v>
      </c>
      <c r="AB989" t="s">
        <v>14</v>
      </c>
      <c r="AC989">
        <v>2.0994000000000002</v>
      </c>
      <c r="AD989">
        <v>6.3</v>
      </c>
      <c r="AE989">
        <v>726182083970</v>
      </c>
      <c r="AF989">
        <v>595.30999999999995</v>
      </c>
      <c r="AG989">
        <v>0</v>
      </c>
      <c r="AH989">
        <v>18.34</v>
      </c>
      <c r="AI989">
        <v>613.65</v>
      </c>
      <c r="AJ989" t="s">
        <v>2</v>
      </c>
      <c r="AK989" t="s">
        <v>11</v>
      </c>
    </row>
    <row r="990" spans="1:37">
      <c r="A990">
        <v>257847</v>
      </c>
      <c r="B990" s="1">
        <v>45366</v>
      </c>
      <c r="C990" t="s">
        <v>1305</v>
      </c>
      <c r="D990" t="s">
        <v>1306</v>
      </c>
      <c r="E990" t="s">
        <v>2</v>
      </c>
      <c r="F990" t="s">
        <v>1307</v>
      </c>
      <c r="G990" t="s">
        <v>28</v>
      </c>
      <c r="H990">
        <v>34233</v>
      </c>
      <c r="I990" t="s">
        <v>1305</v>
      </c>
      <c r="J990" t="s">
        <v>1306</v>
      </c>
      <c r="K990" t="s">
        <v>2</v>
      </c>
      <c r="L990" t="s">
        <v>1307</v>
      </c>
      <c r="M990" t="s">
        <v>28</v>
      </c>
      <c r="N990">
        <v>34233</v>
      </c>
      <c r="O990" t="s">
        <v>1312</v>
      </c>
      <c r="P990" t="s">
        <v>1737</v>
      </c>
      <c r="Q990" t="s">
        <v>21</v>
      </c>
      <c r="R990">
        <v>415321</v>
      </c>
      <c r="S990" t="s">
        <v>84</v>
      </c>
      <c r="T990" s="2">
        <v>247</v>
      </c>
      <c r="U990">
        <v>0</v>
      </c>
      <c r="V990" t="s">
        <v>260</v>
      </c>
      <c r="W990">
        <v>0</v>
      </c>
      <c r="X990">
        <v>0</v>
      </c>
      <c r="Y990">
        <v>0</v>
      </c>
      <c r="Z990" t="s">
        <v>88</v>
      </c>
      <c r="AA990" t="s">
        <v>1820</v>
      </c>
      <c r="AB990" t="s">
        <v>10</v>
      </c>
      <c r="AC990">
        <v>0</v>
      </c>
      <c r="AD990">
        <v>0</v>
      </c>
      <c r="AE990">
        <v>726182083970</v>
      </c>
      <c r="AF990">
        <v>595.30999999999995</v>
      </c>
      <c r="AG990">
        <v>0</v>
      </c>
      <c r="AH990">
        <v>18.34</v>
      </c>
      <c r="AI990">
        <v>613.65</v>
      </c>
      <c r="AJ990" t="s">
        <v>2</v>
      </c>
      <c r="AK990" t="s">
        <v>11</v>
      </c>
    </row>
    <row r="991" spans="1:37">
      <c r="A991">
        <v>257847</v>
      </c>
      <c r="B991" s="1">
        <v>45366</v>
      </c>
      <c r="C991" t="s">
        <v>1305</v>
      </c>
      <c r="D991" t="s">
        <v>1306</v>
      </c>
      <c r="E991" t="s">
        <v>2</v>
      </c>
      <c r="F991" t="s">
        <v>1307</v>
      </c>
      <c r="G991" t="s">
        <v>28</v>
      </c>
      <c r="H991">
        <v>34233</v>
      </c>
      <c r="I991" t="s">
        <v>1305</v>
      </c>
      <c r="J991" t="s">
        <v>1306</v>
      </c>
      <c r="K991" t="s">
        <v>2</v>
      </c>
      <c r="L991" t="s">
        <v>1307</v>
      </c>
      <c r="M991" t="s">
        <v>28</v>
      </c>
      <c r="N991">
        <v>34233</v>
      </c>
      <c r="O991" t="s">
        <v>1312</v>
      </c>
      <c r="P991" t="s">
        <v>1737</v>
      </c>
      <c r="Q991" t="s">
        <v>21</v>
      </c>
      <c r="R991">
        <v>415321</v>
      </c>
      <c r="S991" t="s">
        <v>84</v>
      </c>
      <c r="T991" s="2">
        <v>247</v>
      </c>
      <c r="U991">
        <v>0</v>
      </c>
      <c r="V991" t="s">
        <v>260</v>
      </c>
      <c r="W991">
        <v>3</v>
      </c>
      <c r="X991">
        <v>3</v>
      </c>
      <c r="Y991">
        <v>0</v>
      </c>
      <c r="Z991" t="s">
        <v>1831</v>
      </c>
      <c r="AA991" t="s">
        <v>1832</v>
      </c>
      <c r="AB991" t="s">
        <v>14</v>
      </c>
      <c r="AC991">
        <v>2.0994000000000002</v>
      </c>
      <c r="AD991">
        <v>6.3</v>
      </c>
      <c r="AE991">
        <v>726182083970</v>
      </c>
      <c r="AF991">
        <v>595.30999999999995</v>
      </c>
      <c r="AG991">
        <v>0</v>
      </c>
      <c r="AH991">
        <v>18.34</v>
      </c>
      <c r="AI991">
        <v>613.65</v>
      </c>
      <c r="AJ991" t="s">
        <v>2</v>
      </c>
      <c r="AK991" t="s">
        <v>11</v>
      </c>
    </row>
    <row r="992" spans="1:37">
      <c r="A992">
        <v>257847</v>
      </c>
      <c r="B992" s="1">
        <v>45366</v>
      </c>
      <c r="C992" t="s">
        <v>1305</v>
      </c>
      <c r="D992" t="s">
        <v>1306</v>
      </c>
      <c r="E992" t="s">
        <v>2</v>
      </c>
      <c r="F992" t="s">
        <v>1307</v>
      </c>
      <c r="G992" t="s">
        <v>28</v>
      </c>
      <c r="H992">
        <v>34233</v>
      </c>
      <c r="I992" t="s">
        <v>1305</v>
      </c>
      <c r="J992" t="s">
        <v>1306</v>
      </c>
      <c r="K992" t="s">
        <v>2</v>
      </c>
      <c r="L992" t="s">
        <v>1307</v>
      </c>
      <c r="M992" t="s">
        <v>28</v>
      </c>
      <c r="N992">
        <v>34233</v>
      </c>
      <c r="O992" t="s">
        <v>1312</v>
      </c>
      <c r="P992" t="s">
        <v>1737</v>
      </c>
      <c r="Q992" t="s">
        <v>21</v>
      </c>
      <c r="R992">
        <v>415321</v>
      </c>
      <c r="S992" t="s">
        <v>84</v>
      </c>
      <c r="T992" s="2">
        <v>247</v>
      </c>
      <c r="U992">
        <v>0</v>
      </c>
      <c r="V992" t="s">
        <v>260</v>
      </c>
      <c r="W992">
        <v>0</v>
      </c>
      <c r="X992">
        <v>0</v>
      </c>
      <c r="Y992">
        <v>0</v>
      </c>
      <c r="Z992" t="s">
        <v>88</v>
      </c>
      <c r="AA992" t="s">
        <v>1820</v>
      </c>
      <c r="AB992" t="s">
        <v>10</v>
      </c>
      <c r="AC992">
        <v>0</v>
      </c>
      <c r="AD992">
        <v>0</v>
      </c>
      <c r="AE992">
        <v>726182083970</v>
      </c>
      <c r="AF992">
        <v>595.30999999999995</v>
      </c>
      <c r="AG992">
        <v>0</v>
      </c>
      <c r="AH992">
        <v>18.34</v>
      </c>
      <c r="AI992">
        <v>613.65</v>
      </c>
      <c r="AJ992" t="s">
        <v>2</v>
      </c>
      <c r="AK992" t="s">
        <v>11</v>
      </c>
    </row>
    <row r="993" spans="1:37">
      <c r="A993">
        <v>257847</v>
      </c>
      <c r="B993" s="1">
        <v>45366</v>
      </c>
      <c r="C993" t="s">
        <v>1305</v>
      </c>
      <c r="D993" t="s">
        <v>1306</v>
      </c>
      <c r="E993" t="s">
        <v>2</v>
      </c>
      <c r="F993" t="s">
        <v>1307</v>
      </c>
      <c r="G993" t="s">
        <v>28</v>
      </c>
      <c r="H993">
        <v>34233</v>
      </c>
      <c r="I993" t="s">
        <v>1305</v>
      </c>
      <c r="J993" t="s">
        <v>1306</v>
      </c>
      <c r="K993" t="s">
        <v>2</v>
      </c>
      <c r="L993" t="s">
        <v>1307</v>
      </c>
      <c r="M993" t="s">
        <v>28</v>
      </c>
      <c r="N993">
        <v>34233</v>
      </c>
      <c r="O993" t="s">
        <v>1312</v>
      </c>
      <c r="P993" t="s">
        <v>1737</v>
      </c>
      <c r="Q993" t="s">
        <v>21</v>
      </c>
      <c r="R993">
        <v>415321</v>
      </c>
      <c r="S993" t="s">
        <v>84</v>
      </c>
      <c r="T993" s="2">
        <v>247</v>
      </c>
      <c r="U993">
        <v>0</v>
      </c>
      <c r="V993" t="s">
        <v>260</v>
      </c>
      <c r="W993">
        <v>3</v>
      </c>
      <c r="X993">
        <v>3</v>
      </c>
      <c r="Y993">
        <v>0</v>
      </c>
      <c r="Z993" t="s">
        <v>1833</v>
      </c>
      <c r="AA993" t="s">
        <v>1834</v>
      </c>
      <c r="AB993" t="s">
        <v>14</v>
      </c>
      <c r="AC993">
        <v>2.0994000000000002</v>
      </c>
      <c r="AD993">
        <v>6.3</v>
      </c>
      <c r="AE993">
        <v>726182083970</v>
      </c>
      <c r="AF993">
        <v>595.30999999999995</v>
      </c>
      <c r="AG993">
        <v>0</v>
      </c>
      <c r="AH993">
        <v>18.34</v>
      </c>
      <c r="AI993">
        <v>613.65</v>
      </c>
      <c r="AJ993" t="s">
        <v>2</v>
      </c>
      <c r="AK993" t="s">
        <v>11</v>
      </c>
    </row>
    <row r="994" spans="1:37">
      <c r="A994">
        <v>257847</v>
      </c>
      <c r="B994" s="1">
        <v>45366</v>
      </c>
      <c r="C994" t="s">
        <v>1305</v>
      </c>
      <c r="D994" t="s">
        <v>1306</v>
      </c>
      <c r="E994" t="s">
        <v>2</v>
      </c>
      <c r="F994" t="s">
        <v>1307</v>
      </c>
      <c r="G994" t="s">
        <v>28</v>
      </c>
      <c r="H994">
        <v>34233</v>
      </c>
      <c r="I994" t="s">
        <v>1305</v>
      </c>
      <c r="J994" t="s">
        <v>1306</v>
      </c>
      <c r="K994" t="s">
        <v>2</v>
      </c>
      <c r="L994" t="s">
        <v>1307</v>
      </c>
      <c r="M994" t="s">
        <v>28</v>
      </c>
      <c r="N994">
        <v>34233</v>
      </c>
      <c r="O994" t="s">
        <v>1312</v>
      </c>
      <c r="P994" t="s">
        <v>1737</v>
      </c>
      <c r="Q994" t="s">
        <v>21</v>
      </c>
      <c r="R994">
        <v>415321</v>
      </c>
      <c r="S994" t="s">
        <v>84</v>
      </c>
      <c r="T994" s="2">
        <v>247</v>
      </c>
      <c r="U994">
        <v>0</v>
      </c>
      <c r="V994" t="s">
        <v>260</v>
      </c>
      <c r="W994">
        <v>0</v>
      </c>
      <c r="X994">
        <v>0</v>
      </c>
      <c r="Y994">
        <v>0</v>
      </c>
      <c r="Z994" t="s">
        <v>88</v>
      </c>
      <c r="AA994" t="s">
        <v>1820</v>
      </c>
      <c r="AB994" t="s">
        <v>10</v>
      </c>
      <c r="AC994">
        <v>0</v>
      </c>
      <c r="AD994">
        <v>0</v>
      </c>
      <c r="AE994">
        <v>726182083970</v>
      </c>
      <c r="AF994">
        <v>595.30999999999995</v>
      </c>
      <c r="AG994">
        <v>0</v>
      </c>
      <c r="AH994">
        <v>18.34</v>
      </c>
      <c r="AI994">
        <v>613.65</v>
      </c>
      <c r="AJ994" t="s">
        <v>2</v>
      </c>
      <c r="AK994" t="s">
        <v>11</v>
      </c>
    </row>
    <row r="995" spans="1:37">
      <c r="A995">
        <v>257847</v>
      </c>
      <c r="B995" s="1">
        <v>45366</v>
      </c>
      <c r="C995" t="s">
        <v>1305</v>
      </c>
      <c r="D995" t="s">
        <v>1306</v>
      </c>
      <c r="E995" t="s">
        <v>2</v>
      </c>
      <c r="F995" t="s">
        <v>1307</v>
      </c>
      <c r="G995" t="s">
        <v>28</v>
      </c>
      <c r="H995">
        <v>34233</v>
      </c>
      <c r="I995" t="s">
        <v>1305</v>
      </c>
      <c r="J995" t="s">
        <v>1306</v>
      </c>
      <c r="K995" t="s">
        <v>2</v>
      </c>
      <c r="L995" t="s">
        <v>1307</v>
      </c>
      <c r="M995" t="s">
        <v>28</v>
      </c>
      <c r="N995">
        <v>34233</v>
      </c>
      <c r="O995" t="s">
        <v>1312</v>
      </c>
      <c r="P995" t="s">
        <v>1737</v>
      </c>
      <c r="Q995" t="s">
        <v>21</v>
      </c>
      <c r="R995">
        <v>415321</v>
      </c>
      <c r="S995" t="s">
        <v>84</v>
      </c>
      <c r="T995" s="2">
        <v>247</v>
      </c>
      <c r="U995">
        <v>0</v>
      </c>
      <c r="V995" t="s">
        <v>260</v>
      </c>
      <c r="W995">
        <v>3</v>
      </c>
      <c r="X995">
        <v>3</v>
      </c>
      <c r="Y995">
        <v>0</v>
      </c>
      <c r="Z995" t="s">
        <v>1835</v>
      </c>
      <c r="AA995" t="s">
        <v>1836</v>
      </c>
      <c r="AB995" t="s">
        <v>14</v>
      </c>
      <c r="AC995">
        <v>2.0994000000000002</v>
      </c>
      <c r="AD995">
        <v>6.3</v>
      </c>
      <c r="AE995">
        <v>726182083970</v>
      </c>
      <c r="AF995">
        <v>595.30999999999995</v>
      </c>
      <c r="AG995">
        <v>0</v>
      </c>
      <c r="AH995">
        <v>18.34</v>
      </c>
      <c r="AI995">
        <v>613.65</v>
      </c>
      <c r="AJ995" t="s">
        <v>2</v>
      </c>
      <c r="AK995" t="s">
        <v>11</v>
      </c>
    </row>
    <row r="996" spans="1:37">
      <c r="A996">
        <v>257847</v>
      </c>
      <c r="B996" s="1">
        <v>45366</v>
      </c>
      <c r="C996" t="s">
        <v>1305</v>
      </c>
      <c r="D996" t="s">
        <v>1306</v>
      </c>
      <c r="E996" t="s">
        <v>2</v>
      </c>
      <c r="F996" t="s">
        <v>1307</v>
      </c>
      <c r="G996" t="s">
        <v>28</v>
      </c>
      <c r="H996">
        <v>34233</v>
      </c>
      <c r="I996" t="s">
        <v>1305</v>
      </c>
      <c r="J996" t="s">
        <v>1306</v>
      </c>
      <c r="K996" t="s">
        <v>2</v>
      </c>
      <c r="L996" t="s">
        <v>1307</v>
      </c>
      <c r="M996" t="s">
        <v>28</v>
      </c>
      <c r="N996">
        <v>34233</v>
      </c>
      <c r="O996" t="s">
        <v>1312</v>
      </c>
      <c r="P996" t="s">
        <v>1737</v>
      </c>
      <c r="Q996" t="s">
        <v>21</v>
      </c>
      <c r="R996">
        <v>415321</v>
      </c>
      <c r="S996" t="s">
        <v>84</v>
      </c>
      <c r="T996" s="2">
        <v>247</v>
      </c>
      <c r="U996">
        <v>0</v>
      </c>
      <c r="V996" t="s">
        <v>260</v>
      </c>
      <c r="W996">
        <v>0</v>
      </c>
      <c r="X996">
        <v>0</v>
      </c>
      <c r="Y996">
        <v>0</v>
      </c>
      <c r="Z996" t="s">
        <v>88</v>
      </c>
      <c r="AA996" t="s">
        <v>1820</v>
      </c>
      <c r="AB996" t="s">
        <v>10</v>
      </c>
      <c r="AC996">
        <v>0</v>
      </c>
      <c r="AD996">
        <v>0</v>
      </c>
      <c r="AE996">
        <v>726182083970</v>
      </c>
      <c r="AF996">
        <v>595.30999999999995</v>
      </c>
      <c r="AG996">
        <v>0</v>
      </c>
      <c r="AH996">
        <v>18.34</v>
      </c>
      <c r="AI996">
        <v>613.65</v>
      </c>
      <c r="AJ996" t="s">
        <v>2</v>
      </c>
      <c r="AK996" t="s">
        <v>11</v>
      </c>
    </row>
    <row r="997" spans="1:37">
      <c r="A997">
        <v>257847</v>
      </c>
      <c r="B997" s="1">
        <v>45366</v>
      </c>
      <c r="C997" t="s">
        <v>1305</v>
      </c>
      <c r="D997" t="s">
        <v>1306</v>
      </c>
      <c r="E997" t="s">
        <v>2</v>
      </c>
      <c r="F997" t="s">
        <v>1307</v>
      </c>
      <c r="G997" t="s">
        <v>28</v>
      </c>
      <c r="H997">
        <v>34233</v>
      </c>
      <c r="I997" t="s">
        <v>1305</v>
      </c>
      <c r="J997" t="s">
        <v>1306</v>
      </c>
      <c r="K997" t="s">
        <v>2</v>
      </c>
      <c r="L997" t="s">
        <v>1307</v>
      </c>
      <c r="M997" t="s">
        <v>28</v>
      </c>
      <c r="N997">
        <v>34233</v>
      </c>
      <c r="O997" t="s">
        <v>1312</v>
      </c>
      <c r="P997" t="s">
        <v>1737</v>
      </c>
      <c r="Q997" t="s">
        <v>21</v>
      </c>
      <c r="R997">
        <v>415321</v>
      </c>
      <c r="S997" t="s">
        <v>84</v>
      </c>
      <c r="T997" s="2">
        <v>247</v>
      </c>
      <c r="U997">
        <v>0</v>
      </c>
      <c r="V997" t="s">
        <v>260</v>
      </c>
      <c r="W997">
        <v>3</v>
      </c>
      <c r="X997">
        <v>3</v>
      </c>
      <c r="Y997">
        <v>0</v>
      </c>
      <c r="Z997" t="s">
        <v>1837</v>
      </c>
      <c r="AA997" t="s">
        <v>1838</v>
      </c>
      <c r="AB997" t="s">
        <v>14</v>
      </c>
      <c r="AC997">
        <v>2.0994000000000002</v>
      </c>
      <c r="AD997">
        <v>6.3</v>
      </c>
      <c r="AE997">
        <v>726182083970</v>
      </c>
      <c r="AF997">
        <v>595.30999999999995</v>
      </c>
      <c r="AG997">
        <v>0</v>
      </c>
      <c r="AH997">
        <v>18.34</v>
      </c>
      <c r="AI997">
        <v>613.65</v>
      </c>
      <c r="AJ997" t="s">
        <v>2</v>
      </c>
      <c r="AK997" t="s">
        <v>11</v>
      </c>
    </row>
    <row r="998" spans="1:37">
      <c r="A998">
        <v>257847</v>
      </c>
      <c r="B998" s="1">
        <v>45366</v>
      </c>
      <c r="C998" t="s">
        <v>1305</v>
      </c>
      <c r="D998" t="s">
        <v>1306</v>
      </c>
      <c r="E998" t="s">
        <v>2</v>
      </c>
      <c r="F998" t="s">
        <v>1307</v>
      </c>
      <c r="G998" t="s">
        <v>28</v>
      </c>
      <c r="H998">
        <v>34233</v>
      </c>
      <c r="I998" t="s">
        <v>1305</v>
      </c>
      <c r="J998" t="s">
        <v>1306</v>
      </c>
      <c r="K998" t="s">
        <v>2</v>
      </c>
      <c r="L998" t="s">
        <v>1307</v>
      </c>
      <c r="M998" t="s">
        <v>28</v>
      </c>
      <c r="N998">
        <v>34233</v>
      </c>
      <c r="O998" t="s">
        <v>1312</v>
      </c>
      <c r="P998" t="s">
        <v>1737</v>
      </c>
      <c r="Q998" t="s">
        <v>21</v>
      </c>
      <c r="R998">
        <v>415321</v>
      </c>
      <c r="S998" t="s">
        <v>84</v>
      </c>
      <c r="T998" s="2">
        <v>247</v>
      </c>
      <c r="U998">
        <v>0</v>
      </c>
      <c r="V998" t="s">
        <v>260</v>
      </c>
      <c r="W998">
        <v>0</v>
      </c>
      <c r="X998">
        <v>0</v>
      </c>
      <c r="Y998">
        <v>0</v>
      </c>
      <c r="Z998" t="s">
        <v>88</v>
      </c>
      <c r="AA998" t="s">
        <v>1820</v>
      </c>
      <c r="AB998" t="s">
        <v>10</v>
      </c>
      <c r="AC998">
        <v>0</v>
      </c>
      <c r="AD998">
        <v>0</v>
      </c>
      <c r="AE998">
        <v>726182083970</v>
      </c>
      <c r="AF998">
        <v>595.30999999999995</v>
      </c>
      <c r="AG998">
        <v>0</v>
      </c>
      <c r="AH998">
        <v>18.34</v>
      </c>
      <c r="AI998">
        <v>613.65</v>
      </c>
      <c r="AJ998" t="s">
        <v>2</v>
      </c>
      <c r="AK998" t="s">
        <v>11</v>
      </c>
    </row>
    <row r="999" spans="1:37">
      <c r="A999">
        <v>257847</v>
      </c>
      <c r="B999" s="1">
        <v>45366</v>
      </c>
      <c r="C999" t="s">
        <v>1305</v>
      </c>
      <c r="D999" t="s">
        <v>1306</v>
      </c>
      <c r="E999" t="s">
        <v>2</v>
      </c>
      <c r="F999" t="s">
        <v>1307</v>
      </c>
      <c r="G999" t="s">
        <v>28</v>
      </c>
      <c r="H999">
        <v>34233</v>
      </c>
      <c r="I999" t="s">
        <v>1305</v>
      </c>
      <c r="J999" t="s">
        <v>1306</v>
      </c>
      <c r="K999" t="s">
        <v>2</v>
      </c>
      <c r="L999" t="s">
        <v>1307</v>
      </c>
      <c r="M999" t="s">
        <v>28</v>
      </c>
      <c r="N999">
        <v>34233</v>
      </c>
      <c r="O999" t="s">
        <v>1312</v>
      </c>
      <c r="P999" t="s">
        <v>1737</v>
      </c>
      <c r="Q999" t="s">
        <v>21</v>
      </c>
      <c r="R999">
        <v>415321</v>
      </c>
      <c r="S999" t="s">
        <v>84</v>
      </c>
      <c r="T999" s="2">
        <v>247</v>
      </c>
      <c r="U999">
        <v>0</v>
      </c>
      <c r="V999" t="s">
        <v>260</v>
      </c>
      <c r="W999">
        <v>5</v>
      </c>
      <c r="X999">
        <v>5</v>
      </c>
      <c r="Y999">
        <v>0</v>
      </c>
      <c r="Z999" t="s">
        <v>1839</v>
      </c>
      <c r="AA999" t="s">
        <v>1840</v>
      </c>
      <c r="AB999" t="s">
        <v>14</v>
      </c>
      <c r="AC999">
        <v>2.8944999999999999</v>
      </c>
      <c r="AD999">
        <v>14.47</v>
      </c>
      <c r="AE999">
        <v>726182083970</v>
      </c>
      <c r="AF999">
        <v>595.30999999999995</v>
      </c>
      <c r="AG999">
        <v>0</v>
      </c>
      <c r="AH999">
        <v>18.34</v>
      </c>
      <c r="AI999">
        <v>613.65</v>
      </c>
      <c r="AJ999" t="s">
        <v>2</v>
      </c>
      <c r="AK999" t="s">
        <v>11</v>
      </c>
    </row>
    <row r="1000" spans="1:37">
      <c r="A1000">
        <v>257847</v>
      </c>
      <c r="B1000" s="1">
        <v>45366</v>
      </c>
      <c r="C1000" t="s">
        <v>1305</v>
      </c>
      <c r="D1000" t="s">
        <v>1306</v>
      </c>
      <c r="E1000" t="s">
        <v>2</v>
      </c>
      <c r="F1000" t="s">
        <v>1307</v>
      </c>
      <c r="G1000" t="s">
        <v>28</v>
      </c>
      <c r="H1000">
        <v>34233</v>
      </c>
      <c r="I1000" t="s">
        <v>1305</v>
      </c>
      <c r="J1000" t="s">
        <v>1306</v>
      </c>
      <c r="K1000" t="s">
        <v>2</v>
      </c>
      <c r="L1000" t="s">
        <v>1307</v>
      </c>
      <c r="M1000" t="s">
        <v>28</v>
      </c>
      <c r="N1000">
        <v>34233</v>
      </c>
      <c r="O1000" t="s">
        <v>1312</v>
      </c>
      <c r="P1000" t="s">
        <v>1737</v>
      </c>
      <c r="Q1000" t="s">
        <v>21</v>
      </c>
      <c r="R1000">
        <v>415321</v>
      </c>
      <c r="S1000" t="s">
        <v>84</v>
      </c>
      <c r="T1000" s="2">
        <v>247</v>
      </c>
      <c r="U1000">
        <v>0</v>
      </c>
      <c r="V1000" t="s">
        <v>260</v>
      </c>
      <c r="W1000">
        <v>0</v>
      </c>
      <c r="X1000">
        <v>0</v>
      </c>
      <c r="Y1000">
        <v>0</v>
      </c>
      <c r="Z1000" t="s">
        <v>88</v>
      </c>
      <c r="AA1000" t="s">
        <v>1841</v>
      </c>
      <c r="AB1000" t="s">
        <v>10</v>
      </c>
      <c r="AC1000">
        <v>0</v>
      </c>
      <c r="AD1000">
        <v>0</v>
      </c>
      <c r="AE1000">
        <v>726182083970</v>
      </c>
      <c r="AF1000">
        <v>595.30999999999995</v>
      </c>
      <c r="AG1000">
        <v>0</v>
      </c>
      <c r="AH1000">
        <v>18.34</v>
      </c>
      <c r="AI1000">
        <v>613.65</v>
      </c>
      <c r="AJ1000" t="s">
        <v>2</v>
      </c>
      <c r="AK1000" t="s">
        <v>11</v>
      </c>
    </row>
    <row r="1001" spans="1:37">
      <c r="A1001">
        <v>257847</v>
      </c>
      <c r="B1001" s="1">
        <v>45366</v>
      </c>
      <c r="C1001" t="s">
        <v>1305</v>
      </c>
      <c r="D1001" t="s">
        <v>1306</v>
      </c>
      <c r="E1001" t="s">
        <v>2</v>
      </c>
      <c r="F1001" t="s">
        <v>1307</v>
      </c>
      <c r="G1001" t="s">
        <v>28</v>
      </c>
      <c r="H1001">
        <v>34233</v>
      </c>
      <c r="I1001" t="s">
        <v>1305</v>
      </c>
      <c r="J1001" t="s">
        <v>1306</v>
      </c>
      <c r="K1001" t="s">
        <v>2</v>
      </c>
      <c r="L1001" t="s">
        <v>1307</v>
      </c>
      <c r="M1001" t="s">
        <v>28</v>
      </c>
      <c r="N1001">
        <v>34233</v>
      </c>
      <c r="O1001" t="s">
        <v>1312</v>
      </c>
      <c r="P1001" t="s">
        <v>1737</v>
      </c>
      <c r="Q1001" t="s">
        <v>21</v>
      </c>
      <c r="R1001">
        <v>415321</v>
      </c>
      <c r="S1001" t="s">
        <v>84</v>
      </c>
      <c r="T1001" s="2">
        <v>247</v>
      </c>
      <c r="U1001">
        <v>0</v>
      </c>
      <c r="V1001" t="s">
        <v>260</v>
      </c>
      <c r="W1001">
        <v>3</v>
      </c>
      <c r="X1001">
        <v>3</v>
      </c>
      <c r="Y1001">
        <v>0</v>
      </c>
      <c r="Z1001" t="s">
        <v>1842</v>
      </c>
      <c r="AA1001" t="s">
        <v>1843</v>
      </c>
      <c r="AB1001" t="s">
        <v>14</v>
      </c>
      <c r="AC1001">
        <v>2.8944999999999999</v>
      </c>
      <c r="AD1001">
        <v>8.68</v>
      </c>
      <c r="AE1001">
        <v>726182083970</v>
      </c>
      <c r="AF1001">
        <v>595.30999999999995</v>
      </c>
      <c r="AG1001">
        <v>0</v>
      </c>
      <c r="AH1001">
        <v>18.34</v>
      </c>
      <c r="AI1001">
        <v>613.65</v>
      </c>
      <c r="AJ1001" t="s">
        <v>2</v>
      </c>
      <c r="AK1001" t="s">
        <v>11</v>
      </c>
    </row>
    <row r="1002" spans="1:37">
      <c r="A1002">
        <v>257847</v>
      </c>
      <c r="B1002" s="1">
        <v>45366</v>
      </c>
      <c r="C1002" t="s">
        <v>1305</v>
      </c>
      <c r="D1002" t="s">
        <v>1306</v>
      </c>
      <c r="E1002" t="s">
        <v>2</v>
      </c>
      <c r="F1002" t="s">
        <v>1307</v>
      </c>
      <c r="G1002" t="s">
        <v>28</v>
      </c>
      <c r="H1002">
        <v>34233</v>
      </c>
      <c r="I1002" t="s">
        <v>1305</v>
      </c>
      <c r="J1002" t="s">
        <v>1306</v>
      </c>
      <c r="K1002" t="s">
        <v>2</v>
      </c>
      <c r="L1002" t="s">
        <v>1307</v>
      </c>
      <c r="M1002" t="s">
        <v>28</v>
      </c>
      <c r="N1002">
        <v>34233</v>
      </c>
      <c r="O1002" t="s">
        <v>1312</v>
      </c>
      <c r="P1002" t="s">
        <v>1737</v>
      </c>
      <c r="Q1002" t="s">
        <v>21</v>
      </c>
      <c r="R1002">
        <v>415321</v>
      </c>
      <c r="S1002" t="s">
        <v>84</v>
      </c>
      <c r="T1002" s="2">
        <v>247</v>
      </c>
      <c r="U1002">
        <v>0</v>
      </c>
      <c r="V1002" t="s">
        <v>260</v>
      </c>
      <c r="W1002">
        <v>0</v>
      </c>
      <c r="X1002">
        <v>0</v>
      </c>
      <c r="Y1002">
        <v>0</v>
      </c>
      <c r="Z1002" t="s">
        <v>88</v>
      </c>
      <c r="AA1002" t="s">
        <v>1841</v>
      </c>
      <c r="AB1002" t="s">
        <v>10</v>
      </c>
      <c r="AC1002">
        <v>0</v>
      </c>
      <c r="AD1002">
        <v>0</v>
      </c>
      <c r="AE1002">
        <v>726182083970</v>
      </c>
      <c r="AF1002">
        <v>595.30999999999995</v>
      </c>
      <c r="AG1002">
        <v>0</v>
      </c>
      <c r="AH1002">
        <v>18.34</v>
      </c>
      <c r="AI1002">
        <v>613.65</v>
      </c>
      <c r="AJ1002" t="s">
        <v>2</v>
      </c>
      <c r="AK1002" t="s">
        <v>11</v>
      </c>
    </row>
    <row r="1003" spans="1:37">
      <c r="A1003">
        <v>257847</v>
      </c>
      <c r="B1003" s="1">
        <v>45366</v>
      </c>
      <c r="C1003" t="s">
        <v>1305</v>
      </c>
      <c r="D1003" t="s">
        <v>1306</v>
      </c>
      <c r="E1003" t="s">
        <v>2</v>
      </c>
      <c r="F1003" t="s">
        <v>1307</v>
      </c>
      <c r="G1003" t="s">
        <v>28</v>
      </c>
      <c r="H1003">
        <v>34233</v>
      </c>
      <c r="I1003" t="s">
        <v>1305</v>
      </c>
      <c r="J1003" t="s">
        <v>1306</v>
      </c>
      <c r="K1003" t="s">
        <v>2</v>
      </c>
      <c r="L1003" t="s">
        <v>1307</v>
      </c>
      <c r="M1003" t="s">
        <v>28</v>
      </c>
      <c r="N1003">
        <v>34233</v>
      </c>
      <c r="O1003" t="s">
        <v>1312</v>
      </c>
      <c r="P1003" t="s">
        <v>1737</v>
      </c>
      <c r="Q1003" t="s">
        <v>21</v>
      </c>
      <c r="R1003">
        <v>415321</v>
      </c>
      <c r="S1003" t="s">
        <v>84</v>
      </c>
      <c r="T1003" s="2">
        <v>247</v>
      </c>
      <c r="U1003">
        <v>0</v>
      </c>
      <c r="V1003" t="s">
        <v>260</v>
      </c>
      <c r="W1003">
        <v>3</v>
      </c>
      <c r="X1003">
        <v>3</v>
      </c>
      <c r="Y1003">
        <v>0</v>
      </c>
      <c r="Z1003" t="s">
        <v>1844</v>
      </c>
      <c r="AA1003" t="s">
        <v>1845</v>
      </c>
      <c r="AB1003" t="s">
        <v>14</v>
      </c>
      <c r="AC1003">
        <v>2.8944999999999999</v>
      </c>
      <c r="AD1003">
        <v>8.68</v>
      </c>
      <c r="AE1003">
        <v>726182083970</v>
      </c>
      <c r="AF1003">
        <v>595.30999999999995</v>
      </c>
      <c r="AG1003">
        <v>0</v>
      </c>
      <c r="AH1003">
        <v>18.34</v>
      </c>
      <c r="AI1003">
        <v>613.65</v>
      </c>
      <c r="AJ1003" t="s">
        <v>2</v>
      </c>
      <c r="AK1003" t="s">
        <v>11</v>
      </c>
    </row>
    <row r="1004" spans="1:37">
      <c r="A1004">
        <v>257847</v>
      </c>
      <c r="B1004" s="1">
        <v>45366</v>
      </c>
      <c r="C1004" t="s">
        <v>1305</v>
      </c>
      <c r="D1004" t="s">
        <v>1306</v>
      </c>
      <c r="E1004" t="s">
        <v>2</v>
      </c>
      <c r="F1004" t="s">
        <v>1307</v>
      </c>
      <c r="G1004" t="s">
        <v>28</v>
      </c>
      <c r="H1004">
        <v>34233</v>
      </c>
      <c r="I1004" t="s">
        <v>1305</v>
      </c>
      <c r="J1004" t="s">
        <v>1306</v>
      </c>
      <c r="K1004" t="s">
        <v>2</v>
      </c>
      <c r="L1004" t="s">
        <v>1307</v>
      </c>
      <c r="M1004" t="s">
        <v>28</v>
      </c>
      <c r="N1004">
        <v>34233</v>
      </c>
      <c r="O1004" t="s">
        <v>1312</v>
      </c>
      <c r="P1004" t="s">
        <v>1737</v>
      </c>
      <c r="Q1004" t="s">
        <v>21</v>
      </c>
      <c r="R1004">
        <v>415321</v>
      </c>
      <c r="S1004" t="s">
        <v>84</v>
      </c>
      <c r="T1004" s="2">
        <v>247</v>
      </c>
      <c r="U1004">
        <v>0</v>
      </c>
      <c r="V1004" t="s">
        <v>260</v>
      </c>
      <c r="W1004">
        <v>0</v>
      </c>
      <c r="X1004">
        <v>0</v>
      </c>
      <c r="Y1004">
        <v>0</v>
      </c>
      <c r="Z1004" t="s">
        <v>88</v>
      </c>
      <c r="AA1004" t="s">
        <v>1841</v>
      </c>
      <c r="AB1004" t="s">
        <v>10</v>
      </c>
      <c r="AC1004">
        <v>0</v>
      </c>
      <c r="AD1004">
        <v>0</v>
      </c>
      <c r="AE1004">
        <v>726182083970</v>
      </c>
      <c r="AF1004">
        <v>595.30999999999995</v>
      </c>
      <c r="AG1004">
        <v>0</v>
      </c>
      <c r="AH1004">
        <v>18.34</v>
      </c>
      <c r="AI1004">
        <v>613.65</v>
      </c>
      <c r="AJ1004" t="s">
        <v>2</v>
      </c>
      <c r="AK1004" t="s">
        <v>11</v>
      </c>
    </row>
    <row r="1005" spans="1:37">
      <c r="A1005">
        <v>257847</v>
      </c>
      <c r="B1005" s="1">
        <v>45366</v>
      </c>
      <c r="C1005" t="s">
        <v>1305</v>
      </c>
      <c r="D1005" t="s">
        <v>1306</v>
      </c>
      <c r="E1005" t="s">
        <v>2</v>
      </c>
      <c r="F1005" t="s">
        <v>1307</v>
      </c>
      <c r="G1005" t="s">
        <v>28</v>
      </c>
      <c r="H1005">
        <v>34233</v>
      </c>
      <c r="I1005" t="s">
        <v>1305</v>
      </c>
      <c r="J1005" t="s">
        <v>1306</v>
      </c>
      <c r="K1005" t="s">
        <v>2</v>
      </c>
      <c r="L1005" t="s">
        <v>1307</v>
      </c>
      <c r="M1005" t="s">
        <v>28</v>
      </c>
      <c r="N1005">
        <v>34233</v>
      </c>
      <c r="O1005" t="s">
        <v>1312</v>
      </c>
      <c r="P1005" t="s">
        <v>1737</v>
      </c>
      <c r="Q1005" t="s">
        <v>21</v>
      </c>
      <c r="R1005">
        <v>415321</v>
      </c>
      <c r="S1005" t="s">
        <v>84</v>
      </c>
      <c r="T1005" s="2">
        <v>247</v>
      </c>
      <c r="U1005">
        <v>0</v>
      </c>
      <c r="V1005" t="s">
        <v>260</v>
      </c>
      <c r="W1005">
        <v>3</v>
      </c>
      <c r="X1005">
        <v>3</v>
      </c>
      <c r="Y1005">
        <v>0</v>
      </c>
      <c r="Z1005" t="s">
        <v>1846</v>
      </c>
      <c r="AA1005" t="s">
        <v>1847</v>
      </c>
      <c r="AB1005" t="s">
        <v>14</v>
      </c>
      <c r="AC1005">
        <v>2.8944999999999999</v>
      </c>
      <c r="AD1005">
        <v>8.68</v>
      </c>
      <c r="AE1005">
        <v>726182083970</v>
      </c>
      <c r="AF1005">
        <v>595.30999999999995</v>
      </c>
      <c r="AG1005">
        <v>0</v>
      </c>
      <c r="AH1005">
        <v>18.34</v>
      </c>
      <c r="AI1005">
        <v>613.65</v>
      </c>
      <c r="AJ1005" t="s">
        <v>2</v>
      </c>
      <c r="AK1005" t="s">
        <v>11</v>
      </c>
    </row>
    <row r="1006" spans="1:37">
      <c r="A1006">
        <v>257847</v>
      </c>
      <c r="B1006" s="1">
        <v>45366</v>
      </c>
      <c r="C1006" t="s">
        <v>1305</v>
      </c>
      <c r="D1006" t="s">
        <v>1306</v>
      </c>
      <c r="E1006" t="s">
        <v>2</v>
      </c>
      <c r="F1006" t="s">
        <v>1307</v>
      </c>
      <c r="G1006" t="s">
        <v>28</v>
      </c>
      <c r="H1006">
        <v>34233</v>
      </c>
      <c r="I1006" t="s">
        <v>1305</v>
      </c>
      <c r="J1006" t="s">
        <v>1306</v>
      </c>
      <c r="K1006" t="s">
        <v>2</v>
      </c>
      <c r="L1006" t="s">
        <v>1307</v>
      </c>
      <c r="M1006" t="s">
        <v>28</v>
      </c>
      <c r="N1006">
        <v>34233</v>
      </c>
      <c r="O1006" t="s">
        <v>1312</v>
      </c>
      <c r="P1006" t="s">
        <v>1737</v>
      </c>
      <c r="Q1006" t="s">
        <v>21</v>
      </c>
      <c r="R1006">
        <v>415321</v>
      </c>
      <c r="S1006" t="s">
        <v>84</v>
      </c>
      <c r="T1006" s="2">
        <v>247</v>
      </c>
      <c r="U1006">
        <v>0</v>
      </c>
      <c r="V1006" t="s">
        <v>260</v>
      </c>
      <c r="W1006">
        <v>0</v>
      </c>
      <c r="X1006">
        <v>0</v>
      </c>
      <c r="Y1006">
        <v>0</v>
      </c>
      <c r="Z1006" t="s">
        <v>88</v>
      </c>
      <c r="AA1006" t="s">
        <v>1841</v>
      </c>
      <c r="AB1006" t="s">
        <v>10</v>
      </c>
      <c r="AC1006">
        <v>0</v>
      </c>
      <c r="AD1006">
        <v>0</v>
      </c>
      <c r="AE1006">
        <v>726182083970</v>
      </c>
      <c r="AF1006">
        <v>595.30999999999995</v>
      </c>
      <c r="AG1006">
        <v>0</v>
      </c>
      <c r="AH1006">
        <v>18.34</v>
      </c>
      <c r="AI1006">
        <v>613.65</v>
      </c>
      <c r="AJ1006" t="s">
        <v>2</v>
      </c>
      <c r="AK1006" t="s">
        <v>11</v>
      </c>
    </row>
    <row r="1007" spans="1:37">
      <c r="A1007">
        <v>257847</v>
      </c>
      <c r="B1007" s="1">
        <v>45366</v>
      </c>
      <c r="C1007" t="s">
        <v>1305</v>
      </c>
      <c r="D1007" t="s">
        <v>1306</v>
      </c>
      <c r="E1007" t="s">
        <v>2</v>
      </c>
      <c r="F1007" t="s">
        <v>1307</v>
      </c>
      <c r="G1007" t="s">
        <v>28</v>
      </c>
      <c r="H1007">
        <v>34233</v>
      </c>
      <c r="I1007" t="s">
        <v>1305</v>
      </c>
      <c r="J1007" t="s">
        <v>1306</v>
      </c>
      <c r="K1007" t="s">
        <v>2</v>
      </c>
      <c r="L1007" t="s">
        <v>1307</v>
      </c>
      <c r="M1007" t="s">
        <v>28</v>
      </c>
      <c r="N1007">
        <v>34233</v>
      </c>
      <c r="O1007" t="s">
        <v>1312</v>
      </c>
      <c r="P1007" t="s">
        <v>1737</v>
      </c>
      <c r="Q1007" t="s">
        <v>21</v>
      </c>
      <c r="R1007">
        <v>415321</v>
      </c>
      <c r="S1007" t="s">
        <v>84</v>
      </c>
      <c r="T1007" s="2">
        <v>247</v>
      </c>
      <c r="U1007">
        <v>0</v>
      </c>
      <c r="V1007" t="s">
        <v>260</v>
      </c>
      <c r="W1007">
        <v>3</v>
      </c>
      <c r="X1007">
        <v>3</v>
      </c>
      <c r="Y1007">
        <v>0</v>
      </c>
      <c r="Z1007" t="s">
        <v>1848</v>
      </c>
      <c r="AA1007" t="s">
        <v>1849</v>
      </c>
      <c r="AB1007" t="s">
        <v>14</v>
      </c>
      <c r="AC1007">
        <v>2.8944999999999999</v>
      </c>
      <c r="AD1007">
        <v>8.68</v>
      </c>
      <c r="AE1007">
        <v>726182083970</v>
      </c>
      <c r="AF1007">
        <v>595.30999999999995</v>
      </c>
      <c r="AG1007">
        <v>0</v>
      </c>
      <c r="AH1007">
        <v>18.34</v>
      </c>
      <c r="AI1007">
        <v>613.65</v>
      </c>
      <c r="AJ1007" t="s">
        <v>2</v>
      </c>
      <c r="AK1007" t="s">
        <v>11</v>
      </c>
    </row>
    <row r="1008" spans="1:37">
      <c r="A1008">
        <v>257847</v>
      </c>
      <c r="B1008" s="1">
        <v>45366</v>
      </c>
      <c r="C1008" t="s">
        <v>1305</v>
      </c>
      <c r="D1008" t="s">
        <v>1306</v>
      </c>
      <c r="E1008" t="s">
        <v>2</v>
      </c>
      <c r="F1008" t="s">
        <v>1307</v>
      </c>
      <c r="G1008" t="s">
        <v>28</v>
      </c>
      <c r="H1008">
        <v>34233</v>
      </c>
      <c r="I1008" t="s">
        <v>1305</v>
      </c>
      <c r="J1008" t="s">
        <v>1306</v>
      </c>
      <c r="K1008" t="s">
        <v>2</v>
      </c>
      <c r="L1008" t="s">
        <v>1307</v>
      </c>
      <c r="M1008" t="s">
        <v>28</v>
      </c>
      <c r="N1008">
        <v>34233</v>
      </c>
      <c r="O1008" t="s">
        <v>1312</v>
      </c>
      <c r="P1008" t="s">
        <v>1737</v>
      </c>
      <c r="Q1008" t="s">
        <v>21</v>
      </c>
      <c r="R1008">
        <v>415321</v>
      </c>
      <c r="S1008" t="s">
        <v>84</v>
      </c>
      <c r="T1008" s="2">
        <v>247</v>
      </c>
      <c r="U1008">
        <v>0</v>
      </c>
      <c r="V1008" t="s">
        <v>260</v>
      </c>
      <c r="W1008">
        <v>0</v>
      </c>
      <c r="X1008">
        <v>0</v>
      </c>
      <c r="Y1008">
        <v>0</v>
      </c>
      <c r="Z1008" t="s">
        <v>88</v>
      </c>
      <c r="AA1008" t="s">
        <v>1841</v>
      </c>
      <c r="AB1008" t="s">
        <v>10</v>
      </c>
      <c r="AC1008">
        <v>0</v>
      </c>
      <c r="AD1008">
        <v>0</v>
      </c>
      <c r="AE1008">
        <v>726182083970</v>
      </c>
      <c r="AF1008">
        <v>595.30999999999995</v>
      </c>
      <c r="AG1008">
        <v>0</v>
      </c>
      <c r="AH1008">
        <v>18.34</v>
      </c>
      <c r="AI1008">
        <v>613.65</v>
      </c>
      <c r="AJ1008" t="s">
        <v>2</v>
      </c>
      <c r="AK1008" t="s">
        <v>11</v>
      </c>
    </row>
    <row r="1009" spans="1:37">
      <c r="A1009">
        <v>257847</v>
      </c>
      <c r="B1009" s="1">
        <v>45366</v>
      </c>
      <c r="C1009" t="s">
        <v>1305</v>
      </c>
      <c r="D1009" t="s">
        <v>1306</v>
      </c>
      <c r="E1009" t="s">
        <v>2</v>
      </c>
      <c r="F1009" t="s">
        <v>1307</v>
      </c>
      <c r="G1009" t="s">
        <v>28</v>
      </c>
      <c r="H1009">
        <v>34233</v>
      </c>
      <c r="I1009" t="s">
        <v>1305</v>
      </c>
      <c r="J1009" t="s">
        <v>1306</v>
      </c>
      <c r="K1009" t="s">
        <v>2</v>
      </c>
      <c r="L1009" t="s">
        <v>1307</v>
      </c>
      <c r="M1009" t="s">
        <v>28</v>
      </c>
      <c r="N1009">
        <v>34233</v>
      </c>
      <c r="O1009" t="s">
        <v>1312</v>
      </c>
      <c r="P1009" t="s">
        <v>1737</v>
      </c>
      <c r="Q1009" t="s">
        <v>21</v>
      </c>
      <c r="R1009">
        <v>415321</v>
      </c>
      <c r="S1009" t="s">
        <v>84</v>
      </c>
      <c r="T1009" s="2">
        <v>247</v>
      </c>
      <c r="U1009">
        <v>0</v>
      </c>
      <c r="V1009" t="s">
        <v>260</v>
      </c>
      <c r="W1009">
        <v>2</v>
      </c>
      <c r="X1009">
        <v>2</v>
      </c>
      <c r="Y1009">
        <v>0</v>
      </c>
      <c r="Z1009" t="s">
        <v>1850</v>
      </c>
      <c r="AA1009" t="s">
        <v>1851</v>
      </c>
      <c r="AB1009" t="s">
        <v>14</v>
      </c>
      <c r="AC1009">
        <v>2.1541000000000001</v>
      </c>
      <c r="AD1009">
        <v>4.3099999999999996</v>
      </c>
      <c r="AE1009">
        <v>726182083970</v>
      </c>
      <c r="AF1009">
        <v>595.30999999999995</v>
      </c>
      <c r="AG1009">
        <v>0</v>
      </c>
      <c r="AH1009">
        <v>18.34</v>
      </c>
      <c r="AI1009">
        <v>613.65</v>
      </c>
      <c r="AJ1009" t="s">
        <v>2</v>
      </c>
      <c r="AK1009" t="s">
        <v>11</v>
      </c>
    </row>
    <row r="1010" spans="1:37">
      <c r="A1010">
        <v>257847</v>
      </c>
      <c r="B1010" s="1">
        <v>45366</v>
      </c>
      <c r="C1010" t="s">
        <v>1305</v>
      </c>
      <c r="D1010" t="s">
        <v>1306</v>
      </c>
      <c r="E1010" t="s">
        <v>2</v>
      </c>
      <c r="F1010" t="s">
        <v>1307</v>
      </c>
      <c r="G1010" t="s">
        <v>28</v>
      </c>
      <c r="H1010">
        <v>34233</v>
      </c>
      <c r="I1010" t="s">
        <v>1305</v>
      </c>
      <c r="J1010" t="s">
        <v>1306</v>
      </c>
      <c r="K1010" t="s">
        <v>2</v>
      </c>
      <c r="L1010" t="s">
        <v>1307</v>
      </c>
      <c r="M1010" t="s">
        <v>28</v>
      </c>
      <c r="N1010">
        <v>34233</v>
      </c>
      <c r="O1010" t="s">
        <v>1312</v>
      </c>
      <c r="P1010" t="s">
        <v>1737</v>
      </c>
      <c r="Q1010" t="s">
        <v>21</v>
      </c>
      <c r="R1010">
        <v>415321</v>
      </c>
      <c r="S1010" t="s">
        <v>84</v>
      </c>
      <c r="T1010" s="2">
        <v>247</v>
      </c>
      <c r="U1010">
        <v>0</v>
      </c>
      <c r="V1010" t="s">
        <v>260</v>
      </c>
      <c r="W1010">
        <v>0</v>
      </c>
      <c r="X1010">
        <v>0</v>
      </c>
      <c r="Y1010">
        <v>0</v>
      </c>
      <c r="Z1010" t="s">
        <v>88</v>
      </c>
      <c r="AA1010" t="s">
        <v>1852</v>
      </c>
      <c r="AB1010" t="s">
        <v>10</v>
      </c>
      <c r="AC1010">
        <v>0</v>
      </c>
      <c r="AD1010">
        <v>0</v>
      </c>
      <c r="AE1010">
        <v>726182083970</v>
      </c>
      <c r="AF1010">
        <v>595.30999999999995</v>
      </c>
      <c r="AG1010">
        <v>0</v>
      </c>
      <c r="AH1010">
        <v>18.34</v>
      </c>
      <c r="AI1010">
        <v>613.65</v>
      </c>
      <c r="AJ1010" t="s">
        <v>2</v>
      </c>
      <c r="AK1010" t="s">
        <v>11</v>
      </c>
    </row>
    <row r="1011" spans="1:37">
      <c r="A1011">
        <v>257847</v>
      </c>
      <c r="B1011" s="1">
        <v>45366</v>
      </c>
      <c r="C1011" t="s">
        <v>1305</v>
      </c>
      <c r="D1011" t="s">
        <v>1306</v>
      </c>
      <c r="E1011" t="s">
        <v>2</v>
      </c>
      <c r="F1011" t="s">
        <v>1307</v>
      </c>
      <c r="G1011" t="s">
        <v>28</v>
      </c>
      <c r="H1011">
        <v>34233</v>
      </c>
      <c r="I1011" t="s">
        <v>1305</v>
      </c>
      <c r="J1011" t="s">
        <v>1306</v>
      </c>
      <c r="K1011" t="s">
        <v>2</v>
      </c>
      <c r="L1011" t="s">
        <v>1307</v>
      </c>
      <c r="M1011" t="s">
        <v>28</v>
      </c>
      <c r="N1011">
        <v>34233</v>
      </c>
      <c r="O1011" t="s">
        <v>1312</v>
      </c>
      <c r="P1011" t="s">
        <v>1737</v>
      </c>
      <c r="Q1011" t="s">
        <v>21</v>
      </c>
      <c r="R1011">
        <v>415321</v>
      </c>
      <c r="S1011" t="s">
        <v>84</v>
      </c>
      <c r="T1011" s="2">
        <v>247</v>
      </c>
      <c r="U1011">
        <v>0</v>
      </c>
      <c r="V1011" t="s">
        <v>260</v>
      </c>
      <c r="W1011">
        <v>2</v>
      </c>
      <c r="X1011">
        <v>2</v>
      </c>
      <c r="Y1011">
        <v>0</v>
      </c>
      <c r="Z1011" t="s">
        <v>1853</v>
      </c>
      <c r="AA1011" t="s">
        <v>1854</v>
      </c>
      <c r="AB1011" t="s">
        <v>14</v>
      </c>
      <c r="AC1011">
        <v>2.1541000000000001</v>
      </c>
      <c r="AD1011">
        <v>4.3099999999999996</v>
      </c>
      <c r="AE1011">
        <v>726182083970</v>
      </c>
      <c r="AF1011">
        <v>595.30999999999995</v>
      </c>
      <c r="AG1011">
        <v>0</v>
      </c>
      <c r="AH1011">
        <v>18.34</v>
      </c>
      <c r="AI1011">
        <v>613.65</v>
      </c>
      <c r="AJ1011" t="s">
        <v>2</v>
      </c>
      <c r="AK1011" t="s">
        <v>11</v>
      </c>
    </row>
    <row r="1012" spans="1:37">
      <c r="A1012">
        <v>257847</v>
      </c>
      <c r="B1012" s="1">
        <v>45366</v>
      </c>
      <c r="C1012" t="s">
        <v>1305</v>
      </c>
      <c r="D1012" t="s">
        <v>1306</v>
      </c>
      <c r="E1012" t="s">
        <v>2</v>
      </c>
      <c r="F1012" t="s">
        <v>1307</v>
      </c>
      <c r="G1012" t="s">
        <v>28</v>
      </c>
      <c r="H1012">
        <v>34233</v>
      </c>
      <c r="I1012" t="s">
        <v>1305</v>
      </c>
      <c r="J1012" t="s">
        <v>1306</v>
      </c>
      <c r="K1012" t="s">
        <v>2</v>
      </c>
      <c r="L1012" t="s">
        <v>1307</v>
      </c>
      <c r="M1012" t="s">
        <v>28</v>
      </c>
      <c r="N1012">
        <v>34233</v>
      </c>
      <c r="O1012" t="s">
        <v>1312</v>
      </c>
      <c r="P1012" t="s">
        <v>1737</v>
      </c>
      <c r="Q1012" t="s">
        <v>21</v>
      </c>
      <c r="R1012">
        <v>415321</v>
      </c>
      <c r="S1012" t="s">
        <v>84</v>
      </c>
      <c r="T1012" s="2">
        <v>247</v>
      </c>
      <c r="U1012">
        <v>0</v>
      </c>
      <c r="V1012" t="s">
        <v>260</v>
      </c>
      <c r="W1012">
        <v>0</v>
      </c>
      <c r="X1012">
        <v>0</v>
      </c>
      <c r="Y1012">
        <v>0</v>
      </c>
      <c r="Z1012" t="s">
        <v>88</v>
      </c>
      <c r="AA1012" t="s">
        <v>1852</v>
      </c>
      <c r="AB1012" t="s">
        <v>10</v>
      </c>
      <c r="AC1012">
        <v>0</v>
      </c>
      <c r="AD1012">
        <v>0</v>
      </c>
      <c r="AE1012">
        <v>726182083970</v>
      </c>
      <c r="AF1012">
        <v>595.30999999999995</v>
      </c>
      <c r="AG1012">
        <v>0</v>
      </c>
      <c r="AH1012">
        <v>18.34</v>
      </c>
      <c r="AI1012">
        <v>613.65</v>
      </c>
      <c r="AJ1012" t="s">
        <v>2</v>
      </c>
      <c r="AK1012" t="s">
        <v>11</v>
      </c>
    </row>
    <row r="1013" spans="1:37">
      <c r="A1013">
        <v>257847</v>
      </c>
      <c r="B1013" s="1">
        <v>45366</v>
      </c>
      <c r="C1013" t="s">
        <v>1305</v>
      </c>
      <c r="D1013" t="s">
        <v>1306</v>
      </c>
      <c r="E1013" t="s">
        <v>2</v>
      </c>
      <c r="F1013" t="s">
        <v>1307</v>
      </c>
      <c r="G1013" t="s">
        <v>28</v>
      </c>
      <c r="H1013">
        <v>34233</v>
      </c>
      <c r="I1013" t="s">
        <v>1305</v>
      </c>
      <c r="J1013" t="s">
        <v>1306</v>
      </c>
      <c r="K1013" t="s">
        <v>2</v>
      </c>
      <c r="L1013" t="s">
        <v>1307</v>
      </c>
      <c r="M1013" t="s">
        <v>28</v>
      </c>
      <c r="N1013">
        <v>34233</v>
      </c>
      <c r="O1013" t="s">
        <v>1312</v>
      </c>
      <c r="P1013" t="s">
        <v>1737</v>
      </c>
      <c r="Q1013" t="s">
        <v>21</v>
      </c>
      <c r="R1013">
        <v>415321</v>
      </c>
      <c r="S1013" t="s">
        <v>84</v>
      </c>
      <c r="T1013" s="2">
        <v>247</v>
      </c>
      <c r="U1013">
        <v>0</v>
      </c>
      <c r="V1013" t="s">
        <v>260</v>
      </c>
      <c r="W1013">
        <v>4</v>
      </c>
      <c r="X1013">
        <v>4</v>
      </c>
      <c r="Y1013">
        <v>0</v>
      </c>
      <c r="Z1013" t="s">
        <v>1855</v>
      </c>
      <c r="AA1013" t="s">
        <v>1856</v>
      </c>
      <c r="AB1013" t="s">
        <v>14</v>
      </c>
      <c r="AC1013">
        <v>2.1541000000000001</v>
      </c>
      <c r="AD1013">
        <v>8.6199999999999992</v>
      </c>
      <c r="AE1013">
        <v>726182083970</v>
      </c>
      <c r="AF1013">
        <v>595.30999999999995</v>
      </c>
      <c r="AG1013">
        <v>0</v>
      </c>
      <c r="AH1013">
        <v>18.34</v>
      </c>
      <c r="AI1013">
        <v>613.65</v>
      </c>
      <c r="AJ1013" t="s">
        <v>2</v>
      </c>
      <c r="AK1013" t="s">
        <v>11</v>
      </c>
    </row>
    <row r="1014" spans="1:37">
      <c r="A1014">
        <v>257847</v>
      </c>
      <c r="B1014" s="1">
        <v>45366</v>
      </c>
      <c r="C1014" t="s">
        <v>1305</v>
      </c>
      <c r="D1014" t="s">
        <v>1306</v>
      </c>
      <c r="E1014" t="s">
        <v>2</v>
      </c>
      <c r="F1014" t="s">
        <v>1307</v>
      </c>
      <c r="G1014" t="s">
        <v>28</v>
      </c>
      <c r="H1014">
        <v>34233</v>
      </c>
      <c r="I1014" t="s">
        <v>1305</v>
      </c>
      <c r="J1014" t="s">
        <v>1306</v>
      </c>
      <c r="K1014" t="s">
        <v>2</v>
      </c>
      <c r="L1014" t="s">
        <v>1307</v>
      </c>
      <c r="M1014" t="s">
        <v>28</v>
      </c>
      <c r="N1014">
        <v>34233</v>
      </c>
      <c r="O1014" t="s">
        <v>1312</v>
      </c>
      <c r="P1014" t="s">
        <v>1737</v>
      </c>
      <c r="Q1014" t="s">
        <v>21</v>
      </c>
      <c r="R1014">
        <v>415321</v>
      </c>
      <c r="S1014" t="s">
        <v>84</v>
      </c>
      <c r="T1014" s="2">
        <v>247</v>
      </c>
      <c r="U1014">
        <v>0</v>
      </c>
      <c r="V1014" t="s">
        <v>260</v>
      </c>
      <c r="W1014">
        <v>0</v>
      </c>
      <c r="X1014">
        <v>0</v>
      </c>
      <c r="Y1014">
        <v>0</v>
      </c>
      <c r="Z1014" t="s">
        <v>88</v>
      </c>
      <c r="AA1014" t="s">
        <v>1852</v>
      </c>
      <c r="AB1014" t="s">
        <v>10</v>
      </c>
      <c r="AC1014">
        <v>0</v>
      </c>
      <c r="AD1014">
        <v>0</v>
      </c>
      <c r="AE1014">
        <v>726182083970</v>
      </c>
      <c r="AF1014">
        <v>595.30999999999995</v>
      </c>
      <c r="AG1014">
        <v>0</v>
      </c>
      <c r="AH1014">
        <v>18.34</v>
      </c>
      <c r="AI1014">
        <v>613.65</v>
      </c>
      <c r="AJ1014" t="s">
        <v>2</v>
      </c>
      <c r="AK1014" t="s">
        <v>11</v>
      </c>
    </row>
    <row r="1015" spans="1:37">
      <c r="A1015">
        <v>257847</v>
      </c>
      <c r="B1015" s="1">
        <v>45366</v>
      </c>
      <c r="C1015" t="s">
        <v>1305</v>
      </c>
      <c r="D1015" t="s">
        <v>1306</v>
      </c>
      <c r="E1015" t="s">
        <v>2</v>
      </c>
      <c r="F1015" t="s">
        <v>1307</v>
      </c>
      <c r="G1015" t="s">
        <v>28</v>
      </c>
      <c r="H1015">
        <v>34233</v>
      </c>
      <c r="I1015" t="s">
        <v>1305</v>
      </c>
      <c r="J1015" t="s">
        <v>1306</v>
      </c>
      <c r="K1015" t="s">
        <v>2</v>
      </c>
      <c r="L1015" t="s">
        <v>1307</v>
      </c>
      <c r="M1015" t="s">
        <v>28</v>
      </c>
      <c r="N1015">
        <v>34233</v>
      </c>
      <c r="O1015" t="s">
        <v>1312</v>
      </c>
      <c r="P1015" t="s">
        <v>1737</v>
      </c>
      <c r="Q1015" t="s">
        <v>21</v>
      </c>
      <c r="R1015">
        <v>415321</v>
      </c>
      <c r="S1015" t="s">
        <v>84</v>
      </c>
      <c r="T1015" s="2">
        <v>247</v>
      </c>
      <c r="U1015">
        <v>0</v>
      </c>
      <c r="V1015" t="s">
        <v>260</v>
      </c>
      <c r="W1015">
        <v>1</v>
      </c>
      <c r="X1015">
        <v>1</v>
      </c>
      <c r="Y1015">
        <v>0</v>
      </c>
      <c r="Z1015" t="s">
        <v>1857</v>
      </c>
      <c r="AA1015" t="s">
        <v>1858</v>
      </c>
      <c r="AB1015" t="s">
        <v>14</v>
      </c>
      <c r="AC1015">
        <v>3.7204999999999999</v>
      </c>
      <c r="AD1015">
        <v>3.72</v>
      </c>
      <c r="AE1015">
        <v>726182083970</v>
      </c>
      <c r="AF1015">
        <v>595.30999999999995</v>
      </c>
      <c r="AG1015">
        <v>0</v>
      </c>
      <c r="AH1015">
        <v>18.34</v>
      </c>
      <c r="AI1015">
        <v>613.65</v>
      </c>
      <c r="AJ1015" t="s">
        <v>2</v>
      </c>
      <c r="AK1015" t="s">
        <v>11</v>
      </c>
    </row>
    <row r="1016" spans="1:37">
      <c r="A1016">
        <v>257847</v>
      </c>
      <c r="B1016" s="1">
        <v>45366</v>
      </c>
      <c r="C1016" t="s">
        <v>1305</v>
      </c>
      <c r="D1016" t="s">
        <v>1306</v>
      </c>
      <c r="E1016" t="s">
        <v>2</v>
      </c>
      <c r="F1016" t="s">
        <v>1307</v>
      </c>
      <c r="G1016" t="s">
        <v>28</v>
      </c>
      <c r="H1016">
        <v>34233</v>
      </c>
      <c r="I1016" t="s">
        <v>1305</v>
      </c>
      <c r="J1016" t="s">
        <v>1306</v>
      </c>
      <c r="K1016" t="s">
        <v>2</v>
      </c>
      <c r="L1016" t="s">
        <v>1307</v>
      </c>
      <c r="M1016" t="s">
        <v>28</v>
      </c>
      <c r="N1016">
        <v>34233</v>
      </c>
      <c r="O1016" t="s">
        <v>1312</v>
      </c>
      <c r="P1016" t="s">
        <v>1737</v>
      </c>
      <c r="Q1016" t="s">
        <v>21</v>
      </c>
      <c r="R1016">
        <v>415321</v>
      </c>
      <c r="S1016" t="s">
        <v>84</v>
      </c>
      <c r="T1016" s="2">
        <v>247</v>
      </c>
      <c r="U1016">
        <v>0</v>
      </c>
      <c r="V1016" t="s">
        <v>260</v>
      </c>
      <c r="W1016">
        <v>0</v>
      </c>
      <c r="X1016">
        <v>0</v>
      </c>
      <c r="Y1016">
        <v>0</v>
      </c>
      <c r="Z1016" t="s">
        <v>88</v>
      </c>
      <c r="AA1016" t="s">
        <v>1702</v>
      </c>
      <c r="AB1016" t="s">
        <v>10</v>
      </c>
      <c r="AC1016">
        <v>0</v>
      </c>
      <c r="AD1016">
        <v>0</v>
      </c>
      <c r="AE1016">
        <v>726182083970</v>
      </c>
      <c r="AF1016">
        <v>595.30999999999995</v>
      </c>
      <c r="AG1016">
        <v>0</v>
      </c>
      <c r="AH1016">
        <v>18.34</v>
      </c>
      <c r="AI1016">
        <v>613.65</v>
      </c>
      <c r="AJ1016" t="s">
        <v>2</v>
      </c>
      <c r="AK1016" t="s">
        <v>11</v>
      </c>
    </row>
    <row r="1017" spans="1:37">
      <c r="A1017">
        <v>257847</v>
      </c>
      <c r="B1017" s="1">
        <v>45366</v>
      </c>
      <c r="C1017" t="s">
        <v>1305</v>
      </c>
      <c r="D1017" t="s">
        <v>1306</v>
      </c>
      <c r="E1017" t="s">
        <v>2</v>
      </c>
      <c r="F1017" t="s">
        <v>1307</v>
      </c>
      <c r="G1017" t="s">
        <v>28</v>
      </c>
      <c r="H1017">
        <v>34233</v>
      </c>
      <c r="I1017" t="s">
        <v>1305</v>
      </c>
      <c r="J1017" t="s">
        <v>1306</v>
      </c>
      <c r="K1017" t="s">
        <v>2</v>
      </c>
      <c r="L1017" t="s">
        <v>1307</v>
      </c>
      <c r="M1017" t="s">
        <v>28</v>
      </c>
      <c r="N1017">
        <v>34233</v>
      </c>
      <c r="O1017" t="s">
        <v>1312</v>
      </c>
      <c r="P1017" t="s">
        <v>1737</v>
      </c>
      <c r="Q1017" t="s">
        <v>21</v>
      </c>
      <c r="R1017">
        <v>415321</v>
      </c>
      <c r="S1017" t="s">
        <v>84</v>
      </c>
      <c r="T1017" s="2">
        <v>247</v>
      </c>
      <c r="U1017">
        <v>0</v>
      </c>
      <c r="V1017" t="s">
        <v>260</v>
      </c>
      <c r="W1017">
        <v>1</v>
      </c>
      <c r="X1017">
        <v>1</v>
      </c>
      <c r="Y1017">
        <v>0</v>
      </c>
      <c r="Z1017" t="s">
        <v>1859</v>
      </c>
      <c r="AA1017" t="s">
        <v>1860</v>
      </c>
      <c r="AB1017" t="s">
        <v>14</v>
      </c>
      <c r="AC1017">
        <v>3.7204999999999999</v>
      </c>
      <c r="AD1017">
        <v>3.72</v>
      </c>
      <c r="AE1017">
        <v>726182083970</v>
      </c>
      <c r="AF1017">
        <v>595.30999999999995</v>
      </c>
      <c r="AG1017">
        <v>0</v>
      </c>
      <c r="AH1017">
        <v>18.34</v>
      </c>
      <c r="AI1017">
        <v>613.65</v>
      </c>
      <c r="AJ1017" t="s">
        <v>2</v>
      </c>
      <c r="AK1017" t="s">
        <v>11</v>
      </c>
    </row>
    <row r="1018" spans="1:37">
      <c r="A1018">
        <v>257847</v>
      </c>
      <c r="B1018" s="1">
        <v>45366</v>
      </c>
      <c r="C1018" t="s">
        <v>1305</v>
      </c>
      <c r="D1018" t="s">
        <v>1306</v>
      </c>
      <c r="E1018" t="s">
        <v>2</v>
      </c>
      <c r="F1018" t="s">
        <v>1307</v>
      </c>
      <c r="G1018" t="s">
        <v>28</v>
      </c>
      <c r="H1018">
        <v>34233</v>
      </c>
      <c r="I1018" t="s">
        <v>1305</v>
      </c>
      <c r="J1018" t="s">
        <v>1306</v>
      </c>
      <c r="K1018" t="s">
        <v>2</v>
      </c>
      <c r="L1018" t="s">
        <v>1307</v>
      </c>
      <c r="M1018" t="s">
        <v>28</v>
      </c>
      <c r="N1018">
        <v>34233</v>
      </c>
      <c r="O1018" t="s">
        <v>1312</v>
      </c>
      <c r="P1018" t="s">
        <v>1737</v>
      </c>
      <c r="Q1018" t="s">
        <v>21</v>
      </c>
      <c r="R1018">
        <v>415321</v>
      </c>
      <c r="S1018" t="s">
        <v>84</v>
      </c>
      <c r="T1018" s="2">
        <v>247</v>
      </c>
      <c r="U1018">
        <v>0</v>
      </c>
      <c r="V1018" t="s">
        <v>260</v>
      </c>
      <c r="W1018">
        <v>0</v>
      </c>
      <c r="X1018">
        <v>0</v>
      </c>
      <c r="Y1018">
        <v>0</v>
      </c>
      <c r="Z1018" t="s">
        <v>88</v>
      </c>
      <c r="AA1018" t="s">
        <v>1702</v>
      </c>
      <c r="AB1018" t="s">
        <v>10</v>
      </c>
      <c r="AC1018">
        <v>0</v>
      </c>
      <c r="AD1018">
        <v>0</v>
      </c>
      <c r="AE1018">
        <v>726182083970</v>
      </c>
      <c r="AF1018">
        <v>595.30999999999995</v>
      </c>
      <c r="AG1018">
        <v>0</v>
      </c>
      <c r="AH1018">
        <v>18.34</v>
      </c>
      <c r="AI1018">
        <v>613.65</v>
      </c>
      <c r="AJ1018" t="s">
        <v>2</v>
      </c>
      <c r="AK1018" t="s">
        <v>11</v>
      </c>
    </row>
    <row r="1019" spans="1:37">
      <c r="A1019">
        <v>257847</v>
      </c>
      <c r="B1019" s="1">
        <v>45366</v>
      </c>
      <c r="C1019" t="s">
        <v>1305</v>
      </c>
      <c r="D1019" t="s">
        <v>1306</v>
      </c>
      <c r="E1019" t="s">
        <v>2</v>
      </c>
      <c r="F1019" t="s">
        <v>1307</v>
      </c>
      <c r="G1019" t="s">
        <v>28</v>
      </c>
      <c r="H1019">
        <v>34233</v>
      </c>
      <c r="I1019" t="s">
        <v>1305</v>
      </c>
      <c r="J1019" t="s">
        <v>1306</v>
      </c>
      <c r="K1019" t="s">
        <v>2</v>
      </c>
      <c r="L1019" t="s">
        <v>1307</v>
      </c>
      <c r="M1019" t="s">
        <v>28</v>
      </c>
      <c r="N1019">
        <v>34233</v>
      </c>
      <c r="O1019" t="s">
        <v>1312</v>
      </c>
      <c r="P1019" t="s">
        <v>1737</v>
      </c>
      <c r="Q1019" t="s">
        <v>21</v>
      </c>
      <c r="R1019">
        <v>415321</v>
      </c>
      <c r="S1019" t="s">
        <v>84</v>
      </c>
      <c r="T1019" s="2">
        <v>247</v>
      </c>
      <c r="U1019">
        <v>0</v>
      </c>
      <c r="V1019" t="s">
        <v>260</v>
      </c>
      <c r="W1019">
        <v>5</v>
      </c>
      <c r="X1019">
        <v>5</v>
      </c>
      <c r="Y1019">
        <v>0</v>
      </c>
      <c r="Z1019" t="s">
        <v>1861</v>
      </c>
      <c r="AA1019" t="s">
        <v>1862</v>
      </c>
      <c r="AB1019" t="s">
        <v>14</v>
      </c>
      <c r="AC1019">
        <v>3.7204999999999999</v>
      </c>
      <c r="AD1019">
        <v>18.600000000000001</v>
      </c>
      <c r="AE1019">
        <v>726182083970</v>
      </c>
      <c r="AF1019">
        <v>595.30999999999995</v>
      </c>
      <c r="AG1019">
        <v>0</v>
      </c>
      <c r="AH1019">
        <v>18.34</v>
      </c>
      <c r="AI1019">
        <v>613.65</v>
      </c>
      <c r="AJ1019" t="s">
        <v>2</v>
      </c>
      <c r="AK1019" t="s">
        <v>11</v>
      </c>
    </row>
    <row r="1020" spans="1:37">
      <c r="A1020">
        <v>257847</v>
      </c>
      <c r="B1020" s="1">
        <v>45366</v>
      </c>
      <c r="C1020" t="s">
        <v>1305</v>
      </c>
      <c r="D1020" t="s">
        <v>1306</v>
      </c>
      <c r="E1020" t="s">
        <v>2</v>
      </c>
      <c r="F1020" t="s">
        <v>1307</v>
      </c>
      <c r="G1020" t="s">
        <v>28</v>
      </c>
      <c r="H1020">
        <v>34233</v>
      </c>
      <c r="I1020" t="s">
        <v>1305</v>
      </c>
      <c r="J1020" t="s">
        <v>1306</v>
      </c>
      <c r="K1020" t="s">
        <v>2</v>
      </c>
      <c r="L1020" t="s">
        <v>1307</v>
      </c>
      <c r="M1020" t="s">
        <v>28</v>
      </c>
      <c r="N1020">
        <v>34233</v>
      </c>
      <c r="O1020" t="s">
        <v>1312</v>
      </c>
      <c r="P1020" t="s">
        <v>1737</v>
      </c>
      <c r="Q1020" t="s">
        <v>21</v>
      </c>
      <c r="R1020">
        <v>415321</v>
      </c>
      <c r="S1020" t="s">
        <v>84</v>
      </c>
      <c r="T1020" s="2">
        <v>247</v>
      </c>
      <c r="U1020">
        <v>0</v>
      </c>
      <c r="V1020" t="s">
        <v>260</v>
      </c>
      <c r="W1020">
        <v>0</v>
      </c>
      <c r="X1020">
        <v>0</v>
      </c>
      <c r="Y1020">
        <v>0</v>
      </c>
      <c r="Z1020" t="s">
        <v>88</v>
      </c>
      <c r="AA1020" t="s">
        <v>1702</v>
      </c>
      <c r="AB1020" t="s">
        <v>10</v>
      </c>
      <c r="AC1020">
        <v>0</v>
      </c>
      <c r="AD1020">
        <v>0</v>
      </c>
      <c r="AE1020">
        <v>726182083970</v>
      </c>
      <c r="AF1020">
        <v>595.30999999999995</v>
      </c>
      <c r="AG1020">
        <v>0</v>
      </c>
      <c r="AH1020">
        <v>18.34</v>
      </c>
      <c r="AI1020">
        <v>613.65</v>
      </c>
      <c r="AJ1020" t="s">
        <v>2</v>
      </c>
      <c r="AK1020" t="s">
        <v>11</v>
      </c>
    </row>
    <row r="1021" spans="1:37">
      <c r="A1021">
        <v>257847</v>
      </c>
      <c r="B1021" s="1">
        <v>45366</v>
      </c>
      <c r="C1021" t="s">
        <v>1305</v>
      </c>
      <c r="D1021" t="s">
        <v>1306</v>
      </c>
      <c r="E1021" t="s">
        <v>2</v>
      </c>
      <c r="F1021" t="s">
        <v>1307</v>
      </c>
      <c r="G1021" t="s">
        <v>28</v>
      </c>
      <c r="H1021">
        <v>34233</v>
      </c>
      <c r="I1021" t="s">
        <v>1305</v>
      </c>
      <c r="J1021" t="s">
        <v>1306</v>
      </c>
      <c r="K1021" t="s">
        <v>2</v>
      </c>
      <c r="L1021" t="s">
        <v>1307</v>
      </c>
      <c r="M1021" t="s">
        <v>28</v>
      </c>
      <c r="N1021">
        <v>34233</v>
      </c>
      <c r="O1021" t="s">
        <v>1312</v>
      </c>
      <c r="P1021" t="s">
        <v>1737</v>
      </c>
      <c r="Q1021" t="s">
        <v>21</v>
      </c>
      <c r="R1021">
        <v>415321</v>
      </c>
      <c r="S1021" t="s">
        <v>84</v>
      </c>
      <c r="T1021" s="2">
        <v>247</v>
      </c>
      <c r="U1021">
        <v>0</v>
      </c>
      <c r="V1021" t="s">
        <v>260</v>
      </c>
      <c r="W1021">
        <v>4</v>
      </c>
      <c r="X1021">
        <v>4</v>
      </c>
      <c r="Y1021">
        <v>0</v>
      </c>
      <c r="Z1021" t="s">
        <v>1863</v>
      </c>
      <c r="AA1021" t="s">
        <v>1864</v>
      </c>
      <c r="AB1021" t="s">
        <v>14</v>
      </c>
      <c r="AC1021">
        <v>3.7204999999999999</v>
      </c>
      <c r="AD1021">
        <v>14.88</v>
      </c>
      <c r="AE1021">
        <v>726182083970</v>
      </c>
      <c r="AF1021">
        <v>595.30999999999995</v>
      </c>
      <c r="AG1021">
        <v>0</v>
      </c>
      <c r="AH1021">
        <v>18.34</v>
      </c>
      <c r="AI1021">
        <v>613.65</v>
      </c>
      <c r="AJ1021" t="s">
        <v>2</v>
      </c>
      <c r="AK1021" t="s">
        <v>11</v>
      </c>
    </row>
    <row r="1022" spans="1:37">
      <c r="A1022">
        <v>257847</v>
      </c>
      <c r="B1022" s="1">
        <v>45366</v>
      </c>
      <c r="C1022" t="s">
        <v>1305</v>
      </c>
      <c r="D1022" t="s">
        <v>1306</v>
      </c>
      <c r="E1022" t="s">
        <v>2</v>
      </c>
      <c r="F1022" t="s">
        <v>1307</v>
      </c>
      <c r="G1022" t="s">
        <v>28</v>
      </c>
      <c r="H1022">
        <v>34233</v>
      </c>
      <c r="I1022" t="s">
        <v>1305</v>
      </c>
      <c r="J1022" t="s">
        <v>1306</v>
      </c>
      <c r="K1022" t="s">
        <v>2</v>
      </c>
      <c r="L1022" t="s">
        <v>1307</v>
      </c>
      <c r="M1022" t="s">
        <v>28</v>
      </c>
      <c r="N1022">
        <v>34233</v>
      </c>
      <c r="O1022" t="s">
        <v>1312</v>
      </c>
      <c r="P1022" t="s">
        <v>1737</v>
      </c>
      <c r="Q1022" t="s">
        <v>21</v>
      </c>
      <c r="R1022">
        <v>415321</v>
      </c>
      <c r="S1022" t="s">
        <v>84</v>
      </c>
      <c r="T1022" s="2">
        <v>247</v>
      </c>
      <c r="U1022">
        <v>0</v>
      </c>
      <c r="V1022" t="s">
        <v>260</v>
      </c>
      <c r="W1022">
        <v>0</v>
      </c>
      <c r="X1022">
        <v>0</v>
      </c>
      <c r="Y1022">
        <v>0</v>
      </c>
      <c r="Z1022" t="s">
        <v>88</v>
      </c>
      <c r="AA1022" t="s">
        <v>1702</v>
      </c>
      <c r="AB1022" t="s">
        <v>10</v>
      </c>
      <c r="AC1022">
        <v>0</v>
      </c>
      <c r="AD1022">
        <v>0</v>
      </c>
      <c r="AE1022">
        <v>726182083970</v>
      </c>
      <c r="AF1022">
        <v>595.30999999999995</v>
      </c>
      <c r="AG1022">
        <v>0</v>
      </c>
      <c r="AH1022">
        <v>18.34</v>
      </c>
      <c r="AI1022">
        <v>613.65</v>
      </c>
      <c r="AJ1022" t="s">
        <v>2</v>
      </c>
      <c r="AK1022" t="s">
        <v>11</v>
      </c>
    </row>
    <row r="1023" spans="1:37">
      <c r="A1023">
        <v>257847</v>
      </c>
      <c r="B1023" s="1">
        <v>45366</v>
      </c>
      <c r="C1023" t="s">
        <v>1305</v>
      </c>
      <c r="D1023" t="s">
        <v>1306</v>
      </c>
      <c r="E1023" t="s">
        <v>2</v>
      </c>
      <c r="F1023" t="s">
        <v>1307</v>
      </c>
      <c r="G1023" t="s">
        <v>28</v>
      </c>
      <c r="H1023">
        <v>34233</v>
      </c>
      <c r="I1023" t="s">
        <v>1305</v>
      </c>
      <c r="J1023" t="s">
        <v>1306</v>
      </c>
      <c r="K1023" t="s">
        <v>2</v>
      </c>
      <c r="L1023" t="s">
        <v>1307</v>
      </c>
      <c r="M1023" t="s">
        <v>28</v>
      </c>
      <c r="N1023">
        <v>34233</v>
      </c>
      <c r="O1023" t="s">
        <v>1312</v>
      </c>
      <c r="P1023" t="s">
        <v>1737</v>
      </c>
      <c r="Q1023" t="s">
        <v>21</v>
      </c>
      <c r="R1023">
        <v>415321</v>
      </c>
      <c r="S1023" t="s">
        <v>84</v>
      </c>
      <c r="T1023" s="2">
        <v>247</v>
      </c>
      <c r="U1023">
        <v>0</v>
      </c>
      <c r="V1023" t="s">
        <v>260</v>
      </c>
      <c r="W1023">
        <v>1</v>
      </c>
      <c r="X1023">
        <v>1</v>
      </c>
      <c r="Y1023">
        <v>0</v>
      </c>
      <c r="Z1023" t="s">
        <v>1865</v>
      </c>
      <c r="AA1023" t="s">
        <v>1866</v>
      </c>
      <c r="AB1023" t="s">
        <v>14</v>
      </c>
      <c r="AC1023">
        <v>3.7204999999999999</v>
      </c>
      <c r="AD1023">
        <v>3.72</v>
      </c>
      <c r="AE1023">
        <v>726182083970</v>
      </c>
      <c r="AF1023">
        <v>595.30999999999995</v>
      </c>
      <c r="AG1023">
        <v>0</v>
      </c>
      <c r="AH1023">
        <v>18.34</v>
      </c>
      <c r="AI1023">
        <v>613.65</v>
      </c>
      <c r="AJ1023" t="s">
        <v>2</v>
      </c>
      <c r="AK1023" t="s">
        <v>11</v>
      </c>
    </row>
    <row r="1024" spans="1:37">
      <c r="A1024">
        <v>257847</v>
      </c>
      <c r="B1024" s="1">
        <v>45366</v>
      </c>
      <c r="C1024" t="s">
        <v>1305</v>
      </c>
      <c r="D1024" t="s">
        <v>1306</v>
      </c>
      <c r="E1024" t="s">
        <v>2</v>
      </c>
      <c r="F1024" t="s">
        <v>1307</v>
      </c>
      <c r="G1024" t="s">
        <v>28</v>
      </c>
      <c r="H1024">
        <v>34233</v>
      </c>
      <c r="I1024" t="s">
        <v>1305</v>
      </c>
      <c r="J1024" t="s">
        <v>1306</v>
      </c>
      <c r="K1024" t="s">
        <v>2</v>
      </c>
      <c r="L1024" t="s">
        <v>1307</v>
      </c>
      <c r="M1024" t="s">
        <v>28</v>
      </c>
      <c r="N1024">
        <v>34233</v>
      </c>
      <c r="O1024" t="s">
        <v>1312</v>
      </c>
      <c r="P1024" t="s">
        <v>1737</v>
      </c>
      <c r="Q1024" t="s">
        <v>21</v>
      </c>
      <c r="R1024">
        <v>415321</v>
      </c>
      <c r="S1024" t="s">
        <v>84</v>
      </c>
      <c r="T1024" s="2">
        <v>247</v>
      </c>
      <c r="U1024">
        <v>0</v>
      </c>
      <c r="V1024" t="s">
        <v>260</v>
      </c>
      <c r="W1024">
        <v>0</v>
      </c>
      <c r="X1024">
        <v>0</v>
      </c>
      <c r="Y1024">
        <v>0</v>
      </c>
      <c r="Z1024" t="s">
        <v>88</v>
      </c>
      <c r="AA1024" t="s">
        <v>1702</v>
      </c>
      <c r="AB1024" t="s">
        <v>10</v>
      </c>
      <c r="AC1024">
        <v>0</v>
      </c>
      <c r="AD1024">
        <v>0</v>
      </c>
      <c r="AE1024">
        <v>726182083970</v>
      </c>
      <c r="AF1024">
        <v>595.30999999999995</v>
      </c>
      <c r="AG1024">
        <v>0</v>
      </c>
      <c r="AH1024">
        <v>18.34</v>
      </c>
      <c r="AI1024">
        <v>613.65</v>
      </c>
      <c r="AJ1024" t="s">
        <v>2</v>
      </c>
      <c r="AK1024" t="s">
        <v>11</v>
      </c>
    </row>
    <row r="1025" spans="1:37">
      <c r="A1025">
        <v>257847</v>
      </c>
      <c r="B1025" s="1">
        <v>45366</v>
      </c>
      <c r="C1025" t="s">
        <v>1305</v>
      </c>
      <c r="D1025" t="s">
        <v>1306</v>
      </c>
      <c r="E1025" t="s">
        <v>2</v>
      </c>
      <c r="F1025" t="s">
        <v>1307</v>
      </c>
      <c r="G1025" t="s">
        <v>28</v>
      </c>
      <c r="H1025">
        <v>34233</v>
      </c>
      <c r="I1025" t="s">
        <v>1305</v>
      </c>
      <c r="J1025" t="s">
        <v>1306</v>
      </c>
      <c r="K1025" t="s">
        <v>2</v>
      </c>
      <c r="L1025" t="s">
        <v>1307</v>
      </c>
      <c r="M1025" t="s">
        <v>28</v>
      </c>
      <c r="N1025">
        <v>34233</v>
      </c>
      <c r="O1025" t="s">
        <v>1312</v>
      </c>
      <c r="P1025" t="s">
        <v>1737</v>
      </c>
      <c r="Q1025" t="s">
        <v>21</v>
      </c>
      <c r="R1025">
        <v>415321</v>
      </c>
      <c r="S1025" t="s">
        <v>84</v>
      </c>
      <c r="T1025" s="2">
        <v>247</v>
      </c>
      <c r="U1025">
        <v>0</v>
      </c>
      <c r="V1025" t="s">
        <v>260</v>
      </c>
      <c r="W1025">
        <v>1</v>
      </c>
      <c r="X1025">
        <v>1</v>
      </c>
      <c r="Y1025">
        <v>0</v>
      </c>
      <c r="Z1025" t="s">
        <v>1867</v>
      </c>
      <c r="AA1025" t="s">
        <v>1868</v>
      </c>
      <c r="AB1025" t="s">
        <v>14</v>
      </c>
      <c r="AC1025">
        <v>3.7204999999999999</v>
      </c>
      <c r="AD1025">
        <v>3.72</v>
      </c>
      <c r="AE1025">
        <v>726182083970</v>
      </c>
      <c r="AF1025">
        <v>595.30999999999995</v>
      </c>
      <c r="AG1025">
        <v>0</v>
      </c>
      <c r="AH1025">
        <v>18.34</v>
      </c>
      <c r="AI1025">
        <v>613.65</v>
      </c>
      <c r="AJ1025" t="s">
        <v>2</v>
      </c>
      <c r="AK1025" t="s">
        <v>11</v>
      </c>
    </row>
    <row r="1026" spans="1:37">
      <c r="A1026">
        <v>257847</v>
      </c>
      <c r="B1026" s="1">
        <v>45366</v>
      </c>
      <c r="C1026" t="s">
        <v>1305</v>
      </c>
      <c r="D1026" t="s">
        <v>1306</v>
      </c>
      <c r="E1026" t="s">
        <v>2</v>
      </c>
      <c r="F1026" t="s">
        <v>1307</v>
      </c>
      <c r="G1026" t="s">
        <v>28</v>
      </c>
      <c r="H1026">
        <v>34233</v>
      </c>
      <c r="I1026" t="s">
        <v>1305</v>
      </c>
      <c r="J1026" t="s">
        <v>1306</v>
      </c>
      <c r="K1026" t="s">
        <v>2</v>
      </c>
      <c r="L1026" t="s">
        <v>1307</v>
      </c>
      <c r="M1026" t="s">
        <v>28</v>
      </c>
      <c r="N1026">
        <v>34233</v>
      </c>
      <c r="O1026" t="s">
        <v>1312</v>
      </c>
      <c r="P1026" t="s">
        <v>1737</v>
      </c>
      <c r="Q1026" t="s">
        <v>21</v>
      </c>
      <c r="R1026">
        <v>415321</v>
      </c>
      <c r="S1026" t="s">
        <v>84</v>
      </c>
      <c r="T1026" s="2">
        <v>247</v>
      </c>
      <c r="U1026">
        <v>0</v>
      </c>
      <c r="V1026" t="s">
        <v>260</v>
      </c>
      <c r="W1026">
        <v>0</v>
      </c>
      <c r="X1026">
        <v>0</v>
      </c>
      <c r="Y1026">
        <v>0</v>
      </c>
      <c r="Z1026" t="s">
        <v>88</v>
      </c>
      <c r="AA1026" t="s">
        <v>1702</v>
      </c>
      <c r="AB1026" t="s">
        <v>10</v>
      </c>
      <c r="AC1026">
        <v>0</v>
      </c>
      <c r="AD1026">
        <v>0</v>
      </c>
      <c r="AE1026">
        <v>726182083970</v>
      </c>
      <c r="AF1026">
        <v>595.30999999999995</v>
      </c>
      <c r="AG1026">
        <v>0</v>
      </c>
      <c r="AH1026">
        <v>18.34</v>
      </c>
      <c r="AI1026">
        <v>613.65</v>
      </c>
      <c r="AJ1026" t="s">
        <v>2</v>
      </c>
      <c r="AK1026" t="s">
        <v>11</v>
      </c>
    </row>
    <row r="1027" spans="1:37">
      <c r="A1027">
        <v>257847</v>
      </c>
      <c r="B1027" s="1">
        <v>45366</v>
      </c>
      <c r="C1027" t="s">
        <v>1305</v>
      </c>
      <c r="D1027" t="s">
        <v>1306</v>
      </c>
      <c r="E1027" t="s">
        <v>2</v>
      </c>
      <c r="F1027" t="s">
        <v>1307</v>
      </c>
      <c r="G1027" t="s">
        <v>28</v>
      </c>
      <c r="H1027">
        <v>34233</v>
      </c>
      <c r="I1027" t="s">
        <v>1305</v>
      </c>
      <c r="J1027" t="s">
        <v>1306</v>
      </c>
      <c r="K1027" t="s">
        <v>2</v>
      </c>
      <c r="L1027" t="s">
        <v>1307</v>
      </c>
      <c r="M1027" t="s">
        <v>28</v>
      </c>
      <c r="N1027">
        <v>34233</v>
      </c>
      <c r="O1027" t="s">
        <v>1312</v>
      </c>
      <c r="P1027" t="s">
        <v>1737</v>
      </c>
      <c r="Q1027" t="s">
        <v>21</v>
      </c>
      <c r="R1027">
        <v>415321</v>
      </c>
      <c r="S1027" t="s">
        <v>84</v>
      </c>
      <c r="T1027" s="2">
        <v>247</v>
      </c>
      <c r="U1027">
        <v>0</v>
      </c>
      <c r="V1027" t="s">
        <v>260</v>
      </c>
      <c r="W1027">
        <v>1</v>
      </c>
      <c r="X1027">
        <v>1</v>
      </c>
      <c r="Y1027">
        <v>0</v>
      </c>
      <c r="Z1027" t="s">
        <v>1869</v>
      </c>
      <c r="AA1027" t="s">
        <v>1870</v>
      </c>
      <c r="AB1027" t="s">
        <v>14</v>
      </c>
      <c r="AC1027">
        <v>3.7204999999999999</v>
      </c>
      <c r="AD1027">
        <v>3.72</v>
      </c>
      <c r="AE1027">
        <v>726182083970</v>
      </c>
      <c r="AF1027">
        <v>595.30999999999995</v>
      </c>
      <c r="AG1027">
        <v>0</v>
      </c>
      <c r="AH1027">
        <v>18.34</v>
      </c>
      <c r="AI1027">
        <v>613.65</v>
      </c>
      <c r="AJ1027" t="s">
        <v>2</v>
      </c>
      <c r="AK1027" t="s">
        <v>11</v>
      </c>
    </row>
    <row r="1028" spans="1:37">
      <c r="A1028">
        <v>257847</v>
      </c>
      <c r="B1028" s="1">
        <v>45366</v>
      </c>
      <c r="C1028" t="s">
        <v>1305</v>
      </c>
      <c r="D1028" t="s">
        <v>1306</v>
      </c>
      <c r="E1028" t="s">
        <v>2</v>
      </c>
      <c r="F1028" t="s">
        <v>1307</v>
      </c>
      <c r="G1028" t="s">
        <v>28</v>
      </c>
      <c r="H1028">
        <v>34233</v>
      </c>
      <c r="I1028" t="s">
        <v>1305</v>
      </c>
      <c r="J1028" t="s">
        <v>1306</v>
      </c>
      <c r="K1028" t="s">
        <v>2</v>
      </c>
      <c r="L1028" t="s">
        <v>1307</v>
      </c>
      <c r="M1028" t="s">
        <v>28</v>
      </c>
      <c r="N1028">
        <v>34233</v>
      </c>
      <c r="O1028" t="s">
        <v>1312</v>
      </c>
      <c r="P1028" t="s">
        <v>1737</v>
      </c>
      <c r="Q1028" t="s">
        <v>21</v>
      </c>
      <c r="R1028">
        <v>415321</v>
      </c>
      <c r="S1028" t="s">
        <v>84</v>
      </c>
      <c r="T1028" s="2">
        <v>247</v>
      </c>
      <c r="U1028">
        <v>0</v>
      </c>
      <c r="V1028" t="s">
        <v>260</v>
      </c>
      <c r="W1028">
        <v>0</v>
      </c>
      <c r="X1028">
        <v>0</v>
      </c>
      <c r="Y1028">
        <v>0</v>
      </c>
      <c r="Z1028" t="s">
        <v>88</v>
      </c>
      <c r="AA1028" t="s">
        <v>1702</v>
      </c>
      <c r="AB1028" t="s">
        <v>10</v>
      </c>
      <c r="AC1028">
        <v>0</v>
      </c>
      <c r="AD1028">
        <v>0</v>
      </c>
      <c r="AE1028">
        <v>726182083970</v>
      </c>
      <c r="AF1028">
        <v>595.30999999999995</v>
      </c>
      <c r="AG1028">
        <v>0</v>
      </c>
      <c r="AH1028">
        <v>18.34</v>
      </c>
      <c r="AI1028">
        <v>613.65</v>
      </c>
      <c r="AJ1028" t="s">
        <v>2</v>
      </c>
      <c r="AK1028" t="s">
        <v>11</v>
      </c>
    </row>
    <row r="1029" spans="1:37">
      <c r="A1029">
        <v>257847</v>
      </c>
      <c r="B1029" s="1">
        <v>45366</v>
      </c>
      <c r="C1029" t="s">
        <v>1305</v>
      </c>
      <c r="D1029" t="s">
        <v>1306</v>
      </c>
      <c r="E1029" t="s">
        <v>2</v>
      </c>
      <c r="F1029" t="s">
        <v>1307</v>
      </c>
      <c r="G1029" t="s">
        <v>28</v>
      </c>
      <c r="H1029">
        <v>34233</v>
      </c>
      <c r="I1029" t="s">
        <v>1305</v>
      </c>
      <c r="J1029" t="s">
        <v>1306</v>
      </c>
      <c r="K1029" t="s">
        <v>2</v>
      </c>
      <c r="L1029" t="s">
        <v>1307</v>
      </c>
      <c r="M1029" t="s">
        <v>28</v>
      </c>
      <c r="N1029">
        <v>34233</v>
      </c>
      <c r="O1029" t="s">
        <v>1312</v>
      </c>
      <c r="P1029" t="s">
        <v>1737</v>
      </c>
      <c r="Q1029" t="s">
        <v>21</v>
      </c>
      <c r="R1029">
        <v>415321</v>
      </c>
      <c r="S1029" t="s">
        <v>84</v>
      </c>
      <c r="T1029" s="2">
        <v>247</v>
      </c>
      <c r="U1029">
        <v>0</v>
      </c>
      <c r="V1029" t="s">
        <v>260</v>
      </c>
      <c r="W1029">
        <v>3</v>
      </c>
      <c r="X1029">
        <v>3</v>
      </c>
      <c r="Y1029">
        <v>0</v>
      </c>
      <c r="Z1029" t="s">
        <v>1871</v>
      </c>
      <c r="AA1029" t="s">
        <v>1872</v>
      </c>
      <c r="AB1029" t="s">
        <v>14</v>
      </c>
      <c r="AC1029">
        <v>3.7204999999999999</v>
      </c>
      <c r="AD1029">
        <v>11.16</v>
      </c>
      <c r="AE1029">
        <v>726182083970</v>
      </c>
      <c r="AF1029">
        <v>595.30999999999995</v>
      </c>
      <c r="AG1029">
        <v>0</v>
      </c>
      <c r="AH1029">
        <v>18.34</v>
      </c>
      <c r="AI1029">
        <v>613.65</v>
      </c>
      <c r="AJ1029" t="s">
        <v>2</v>
      </c>
      <c r="AK1029" t="s">
        <v>11</v>
      </c>
    </row>
    <row r="1030" spans="1:37">
      <c r="A1030">
        <v>257847</v>
      </c>
      <c r="B1030" s="1">
        <v>45366</v>
      </c>
      <c r="C1030" t="s">
        <v>1305</v>
      </c>
      <c r="D1030" t="s">
        <v>1306</v>
      </c>
      <c r="E1030" t="s">
        <v>2</v>
      </c>
      <c r="F1030" t="s">
        <v>1307</v>
      </c>
      <c r="G1030" t="s">
        <v>28</v>
      </c>
      <c r="H1030">
        <v>34233</v>
      </c>
      <c r="I1030" t="s">
        <v>1305</v>
      </c>
      <c r="J1030" t="s">
        <v>1306</v>
      </c>
      <c r="K1030" t="s">
        <v>2</v>
      </c>
      <c r="L1030" t="s">
        <v>1307</v>
      </c>
      <c r="M1030" t="s">
        <v>28</v>
      </c>
      <c r="N1030">
        <v>34233</v>
      </c>
      <c r="O1030" t="s">
        <v>1312</v>
      </c>
      <c r="P1030" t="s">
        <v>1737</v>
      </c>
      <c r="Q1030" t="s">
        <v>21</v>
      </c>
      <c r="R1030">
        <v>415321</v>
      </c>
      <c r="S1030" t="s">
        <v>84</v>
      </c>
      <c r="T1030" s="2">
        <v>247</v>
      </c>
      <c r="U1030">
        <v>0</v>
      </c>
      <c r="V1030" t="s">
        <v>260</v>
      </c>
      <c r="W1030">
        <v>0</v>
      </c>
      <c r="X1030">
        <v>0</v>
      </c>
      <c r="Y1030">
        <v>0</v>
      </c>
      <c r="Z1030" t="s">
        <v>88</v>
      </c>
      <c r="AA1030" t="s">
        <v>1702</v>
      </c>
      <c r="AB1030" t="s">
        <v>10</v>
      </c>
      <c r="AC1030">
        <v>0</v>
      </c>
      <c r="AD1030">
        <v>0</v>
      </c>
      <c r="AE1030">
        <v>726182083970</v>
      </c>
      <c r="AF1030">
        <v>595.30999999999995</v>
      </c>
      <c r="AG1030">
        <v>0</v>
      </c>
      <c r="AH1030">
        <v>18.34</v>
      </c>
      <c r="AI1030">
        <v>613.65</v>
      </c>
      <c r="AJ1030" t="s">
        <v>2</v>
      </c>
      <c r="AK1030" t="s">
        <v>11</v>
      </c>
    </row>
    <row r="1031" spans="1:37">
      <c r="A1031">
        <v>257847</v>
      </c>
      <c r="B1031" s="1">
        <v>45366</v>
      </c>
      <c r="C1031" t="s">
        <v>1305</v>
      </c>
      <c r="D1031" t="s">
        <v>1306</v>
      </c>
      <c r="E1031" t="s">
        <v>2</v>
      </c>
      <c r="F1031" t="s">
        <v>1307</v>
      </c>
      <c r="G1031" t="s">
        <v>28</v>
      </c>
      <c r="H1031">
        <v>34233</v>
      </c>
      <c r="I1031" t="s">
        <v>1305</v>
      </c>
      <c r="J1031" t="s">
        <v>1306</v>
      </c>
      <c r="K1031" t="s">
        <v>2</v>
      </c>
      <c r="L1031" t="s">
        <v>1307</v>
      </c>
      <c r="M1031" t="s">
        <v>28</v>
      </c>
      <c r="N1031">
        <v>34233</v>
      </c>
      <c r="O1031" t="s">
        <v>1312</v>
      </c>
      <c r="P1031" t="s">
        <v>1737</v>
      </c>
      <c r="Q1031" t="s">
        <v>21</v>
      </c>
      <c r="R1031">
        <v>415321</v>
      </c>
      <c r="S1031" t="s">
        <v>84</v>
      </c>
      <c r="T1031" s="2">
        <v>247</v>
      </c>
      <c r="U1031">
        <v>0</v>
      </c>
      <c r="V1031" t="s">
        <v>260</v>
      </c>
      <c r="W1031">
        <v>1</v>
      </c>
      <c r="X1031">
        <v>1</v>
      </c>
      <c r="Y1031">
        <v>0</v>
      </c>
      <c r="Z1031" t="s">
        <v>1873</v>
      </c>
      <c r="AA1031" t="s">
        <v>1874</v>
      </c>
      <c r="AB1031" t="s">
        <v>14</v>
      </c>
      <c r="AC1031">
        <v>3.7204999999999999</v>
      </c>
      <c r="AD1031">
        <v>3.72</v>
      </c>
      <c r="AE1031">
        <v>726182083970</v>
      </c>
      <c r="AF1031">
        <v>595.30999999999995</v>
      </c>
      <c r="AG1031">
        <v>0</v>
      </c>
      <c r="AH1031">
        <v>18.34</v>
      </c>
      <c r="AI1031">
        <v>613.65</v>
      </c>
      <c r="AJ1031" t="s">
        <v>2</v>
      </c>
      <c r="AK1031" t="s">
        <v>11</v>
      </c>
    </row>
    <row r="1032" spans="1:37">
      <c r="A1032">
        <v>257847</v>
      </c>
      <c r="B1032" s="1">
        <v>45366</v>
      </c>
      <c r="C1032" t="s">
        <v>1305</v>
      </c>
      <c r="D1032" t="s">
        <v>1306</v>
      </c>
      <c r="E1032" t="s">
        <v>2</v>
      </c>
      <c r="F1032" t="s">
        <v>1307</v>
      </c>
      <c r="G1032" t="s">
        <v>28</v>
      </c>
      <c r="H1032">
        <v>34233</v>
      </c>
      <c r="I1032" t="s">
        <v>1305</v>
      </c>
      <c r="J1032" t="s">
        <v>1306</v>
      </c>
      <c r="K1032" t="s">
        <v>2</v>
      </c>
      <c r="L1032" t="s">
        <v>1307</v>
      </c>
      <c r="M1032" t="s">
        <v>28</v>
      </c>
      <c r="N1032">
        <v>34233</v>
      </c>
      <c r="O1032" t="s">
        <v>1312</v>
      </c>
      <c r="P1032" t="s">
        <v>1737</v>
      </c>
      <c r="Q1032" t="s">
        <v>21</v>
      </c>
      <c r="R1032">
        <v>415321</v>
      </c>
      <c r="S1032" t="s">
        <v>84</v>
      </c>
      <c r="T1032" s="2">
        <v>247</v>
      </c>
      <c r="U1032">
        <v>0</v>
      </c>
      <c r="V1032" t="s">
        <v>260</v>
      </c>
      <c r="W1032">
        <v>0</v>
      </c>
      <c r="X1032">
        <v>0</v>
      </c>
      <c r="Y1032">
        <v>0</v>
      </c>
      <c r="Z1032" t="s">
        <v>88</v>
      </c>
      <c r="AA1032" t="s">
        <v>1702</v>
      </c>
      <c r="AB1032" t="s">
        <v>10</v>
      </c>
      <c r="AC1032">
        <v>0</v>
      </c>
      <c r="AD1032">
        <v>0</v>
      </c>
      <c r="AE1032">
        <v>726182083970</v>
      </c>
      <c r="AF1032">
        <v>595.30999999999995</v>
      </c>
      <c r="AG1032">
        <v>0</v>
      </c>
      <c r="AH1032">
        <v>18.34</v>
      </c>
      <c r="AI1032">
        <v>613.65</v>
      </c>
      <c r="AJ1032" t="s">
        <v>2</v>
      </c>
      <c r="AK1032" t="s">
        <v>11</v>
      </c>
    </row>
    <row r="1033" spans="1:37">
      <c r="A1033">
        <v>257847</v>
      </c>
      <c r="B1033" s="1">
        <v>45366</v>
      </c>
      <c r="C1033" t="s">
        <v>1305</v>
      </c>
      <c r="D1033" t="s">
        <v>1306</v>
      </c>
      <c r="E1033" t="s">
        <v>2</v>
      </c>
      <c r="F1033" t="s">
        <v>1307</v>
      </c>
      <c r="G1033" t="s">
        <v>28</v>
      </c>
      <c r="H1033">
        <v>34233</v>
      </c>
      <c r="I1033" t="s">
        <v>1305</v>
      </c>
      <c r="J1033" t="s">
        <v>1306</v>
      </c>
      <c r="K1033" t="s">
        <v>2</v>
      </c>
      <c r="L1033" t="s">
        <v>1307</v>
      </c>
      <c r="M1033" t="s">
        <v>28</v>
      </c>
      <c r="N1033">
        <v>34233</v>
      </c>
      <c r="O1033" t="s">
        <v>1312</v>
      </c>
      <c r="P1033" t="s">
        <v>1737</v>
      </c>
      <c r="Q1033" t="s">
        <v>21</v>
      </c>
      <c r="R1033">
        <v>415321</v>
      </c>
      <c r="S1033" t="s">
        <v>84</v>
      </c>
      <c r="T1033" s="2">
        <v>247</v>
      </c>
      <c r="U1033">
        <v>0</v>
      </c>
      <c r="V1033" t="s">
        <v>260</v>
      </c>
      <c r="W1033">
        <v>1</v>
      </c>
      <c r="X1033">
        <v>1</v>
      </c>
      <c r="Y1033">
        <v>0</v>
      </c>
      <c r="Z1033" t="s">
        <v>1875</v>
      </c>
      <c r="AA1033" t="s">
        <v>1876</v>
      </c>
      <c r="AB1033" t="s">
        <v>14</v>
      </c>
      <c r="AC1033">
        <v>3.7204999999999999</v>
      </c>
      <c r="AD1033">
        <v>3.72</v>
      </c>
      <c r="AE1033">
        <v>726182083970</v>
      </c>
      <c r="AF1033">
        <v>595.30999999999995</v>
      </c>
      <c r="AG1033">
        <v>0</v>
      </c>
      <c r="AH1033">
        <v>18.34</v>
      </c>
      <c r="AI1033">
        <v>613.65</v>
      </c>
      <c r="AJ1033" t="s">
        <v>2</v>
      </c>
      <c r="AK1033" t="s">
        <v>11</v>
      </c>
    </row>
    <row r="1034" spans="1:37">
      <c r="A1034">
        <v>257847</v>
      </c>
      <c r="B1034" s="1">
        <v>45366</v>
      </c>
      <c r="C1034" t="s">
        <v>1305</v>
      </c>
      <c r="D1034" t="s">
        <v>1306</v>
      </c>
      <c r="E1034" t="s">
        <v>2</v>
      </c>
      <c r="F1034" t="s">
        <v>1307</v>
      </c>
      <c r="G1034" t="s">
        <v>28</v>
      </c>
      <c r="H1034">
        <v>34233</v>
      </c>
      <c r="I1034" t="s">
        <v>1305</v>
      </c>
      <c r="J1034" t="s">
        <v>1306</v>
      </c>
      <c r="K1034" t="s">
        <v>2</v>
      </c>
      <c r="L1034" t="s">
        <v>1307</v>
      </c>
      <c r="M1034" t="s">
        <v>28</v>
      </c>
      <c r="N1034">
        <v>34233</v>
      </c>
      <c r="O1034" t="s">
        <v>1312</v>
      </c>
      <c r="P1034" t="s">
        <v>1737</v>
      </c>
      <c r="Q1034" t="s">
        <v>21</v>
      </c>
      <c r="R1034">
        <v>415321</v>
      </c>
      <c r="S1034" t="s">
        <v>84</v>
      </c>
      <c r="T1034" s="2">
        <v>247</v>
      </c>
      <c r="U1034">
        <v>0</v>
      </c>
      <c r="V1034" t="s">
        <v>260</v>
      </c>
      <c r="W1034">
        <v>0</v>
      </c>
      <c r="X1034">
        <v>0</v>
      </c>
      <c r="Y1034">
        <v>0</v>
      </c>
      <c r="Z1034" t="s">
        <v>88</v>
      </c>
      <c r="AA1034" t="s">
        <v>1702</v>
      </c>
      <c r="AB1034" t="s">
        <v>10</v>
      </c>
      <c r="AC1034">
        <v>0</v>
      </c>
      <c r="AD1034">
        <v>0</v>
      </c>
      <c r="AE1034">
        <v>726182083970</v>
      </c>
      <c r="AF1034">
        <v>595.30999999999995</v>
      </c>
      <c r="AG1034">
        <v>0</v>
      </c>
      <c r="AH1034">
        <v>18.34</v>
      </c>
      <c r="AI1034">
        <v>613.65</v>
      </c>
      <c r="AJ1034" t="s">
        <v>2</v>
      </c>
      <c r="AK1034" t="s">
        <v>11</v>
      </c>
    </row>
    <row r="1035" spans="1:37">
      <c r="A1035">
        <v>257847</v>
      </c>
      <c r="B1035" s="1">
        <v>45366</v>
      </c>
      <c r="C1035" t="s">
        <v>1305</v>
      </c>
      <c r="D1035" t="s">
        <v>1306</v>
      </c>
      <c r="E1035" t="s">
        <v>2</v>
      </c>
      <c r="F1035" t="s">
        <v>1307</v>
      </c>
      <c r="G1035" t="s">
        <v>28</v>
      </c>
      <c r="H1035">
        <v>34233</v>
      </c>
      <c r="I1035" t="s">
        <v>1305</v>
      </c>
      <c r="J1035" t="s">
        <v>1306</v>
      </c>
      <c r="K1035" t="s">
        <v>2</v>
      </c>
      <c r="L1035" t="s">
        <v>1307</v>
      </c>
      <c r="M1035" t="s">
        <v>28</v>
      </c>
      <c r="N1035">
        <v>34233</v>
      </c>
      <c r="O1035" t="s">
        <v>1312</v>
      </c>
      <c r="P1035" t="s">
        <v>1737</v>
      </c>
      <c r="Q1035" t="s">
        <v>21</v>
      </c>
      <c r="R1035">
        <v>415321</v>
      </c>
      <c r="S1035" t="s">
        <v>84</v>
      </c>
      <c r="T1035" s="2">
        <v>247</v>
      </c>
      <c r="U1035">
        <v>0</v>
      </c>
      <c r="V1035" t="s">
        <v>260</v>
      </c>
      <c r="W1035">
        <v>1</v>
      </c>
      <c r="X1035">
        <v>1</v>
      </c>
      <c r="Y1035">
        <v>0</v>
      </c>
      <c r="Z1035" t="s">
        <v>1877</v>
      </c>
      <c r="AA1035" t="s">
        <v>1878</v>
      </c>
      <c r="AB1035" t="s">
        <v>14</v>
      </c>
      <c r="AC1035">
        <v>3.7204999999999999</v>
      </c>
      <c r="AD1035">
        <v>3.72</v>
      </c>
      <c r="AE1035">
        <v>726182083970</v>
      </c>
      <c r="AF1035">
        <v>595.30999999999995</v>
      </c>
      <c r="AG1035">
        <v>0</v>
      </c>
      <c r="AH1035">
        <v>18.34</v>
      </c>
      <c r="AI1035">
        <v>613.65</v>
      </c>
      <c r="AJ1035" t="s">
        <v>2</v>
      </c>
      <c r="AK1035" t="s">
        <v>11</v>
      </c>
    </row>
    <row r="1036" spans="1:37">
      <c r="A1036">
        <v>257847</v>
      </c>
      <c r="B1036" s="1">
        <v>45366</v>
      </c>
      <c r="C1036" t="s">
        <v>1305</v>
      </c>
      <c r="D1036" t="s">
        <v>1306</v>
      </c>
      <c r="E1036" t="s">
        <v>2</v>
      </c>
      <c r="F1036" t="s">
        <v>1307</v>
      </c>
      <c r="G1036" t="s">
        <v>28</v>
      </c>
      <c r="H1036">
        <v>34233</v>
      </c>
      <c r="I1036" t="s">
        <v>1305</v>
      </c>
      <c r="J1036" t="s">
        <v>1306</v>
      </c>
      <c r="K1036" t="s">
        <v>2</v>
      </c>
      <c r="L1036" t="s">
        <v>1307</v>
      </c>
      <c r="M1036" t="s">
        <v>28</v>
      </c>
      <c r="N1036">
        <v>34233</v>
      </c>
      <c r="O1036" t="s">
        <v>1312</v>
      </c>
      <c r="P1036" t="s">
        <v>1737</v>
      </c>
      <c r="Q1036" t="s">
        <v>21</v>
      </c>
      <c r="R1036">
        <v>415321</v>
      </c>
      <c r="S1036" t="s">
        <v>84</v>
      </c>
      <c r="T1036" s="2">
        <v>247</v>
      </c>
      <c r="U1036">
        <v>0</v>
      </c>
      <c r="V1036" t="s">
        <v>260</v>
      </c>
      <c r="W1036">
        <v>0</v>
      </c>
      <c r="X1036">
        <v>0</v>
      </c>
      <c r="Y1036">
        <v>0</v>
      </c>
      <c r="Z1036" t="s">
        <v>88</v>
      </c>
      <c r="AA1036" t="s">
        <v>1702</v>
      </c>
      <c r="AB1036" t="s">
        <v>10</v>
      </c>
      <c r="AC1036">
        <v>0</v>
      </c>
      <c r="AD1036">
        <v>0</v>
      </c>
      <c r="AE1036">
        <v>726182083970</v>
      </c>
      <c r="AF1036">
        <v>595.30999999999995</v>
      </c>
      <c r="AG1036">
        <v>0</v>
      </c>
      <c r="AH1036">
        <v>18.34</v>
      </c>
      <c r="AI1036">
        <v>613.65</v>
      </c>
      <c r="AJ1036" t="s">
        <v>2</v>
      </c>
      <c r="AK1036" t="s">
        <v>11</v>
      </c>
    </row>
    <row r="1037" spans="1:37">
      <c r="A1037">
        <v>257847</v>
      </c>
      <c r="B1037" s="1">
        <v>45366</v>
      </c>
      <c r="C1037" t="s">
        <v>1305</v>
      </c>
      <c r="D1037" t="s">
        <v>1306</v>
      </c>
      <c r="E1037" t="s">
        <v>2</v>
      </c>
      <c r="F1037" t="s">
        <v>1307</v>
      </c>
      <c r="G1037" t="s">
        <v>28</v>
      </c>
      <c r="H1037">
        <v>34233</v>
      </c>
      <c r="I1037" t="s">
        <v>1305</v>
      </c>
      <c r="J1037" t="s">
        <v>1306</v>
      </c>
      <c r="K1037" t="s">
        <v>2</v>
      </c>
      <c r="L1037" t="s">
        <v>1307</v>
      </c>
      <c r="M1037" t="s">
        <v>28</v>
      </c>
      <c r="N1037">
        <v>34233</v>
      </c>
      <c r="O1037" t="s">
        <v>1312</v>
      </c>
      <c r="P1037" t="s">
        <v>1737</v>
      </c>
      <c r="Q1037" t="s">
        <v>21</v>
      </c>
      <c r="R1037">
        <v>415321</v>
      </c>
      <c r="S1037" t="s">
        <v>84</v>
      </c>
      <c r="T1037" s="2">
        <v>247</v>
      </c>
      <c r="U1037">
        <v>0</v>
      </c>
      <c r="V1037" t="s">
        <v>260</v>
      </c>
      <c r="W1037">
        <v>3</v>
      </c>
      <c r="X1037">
        <v>3</v>
      </c>
      <c r="Y1037">
        <v>0</v>
      </c>
      <c r="Z1037" t="s">
        <v>1879</v>
      </c>
      <c r="AA1037" t="s">
        <v>1880</v>
      </c>
      <c r="AB1037" t="s">
        <v>14</v>
      </c>
      <c r="AC1037">
        <v>3.7204999999999999</v>
      </c>
      <c r="AD1037">
        <v>11.16</v>
      </c>
      <c r="AE1037">
        <v>726182083970</v>
      </c>
      <c r="AF1037">
        <v>595.30999999999995</v>
      </c>
      <c r="AG1037">
        <v>0</v>
      </c>
      <c r="AH1037">
        <v>18.34</v>
      </c>
      <c r="AI1037">
        <v>613.65</v>
      </c>
      <c r="AJ1037" t="s">
        <v>2</v>
      </c>
      <c r="AK1037" t="s">
        <v>11</v>
      </c>
    </row>
    <row r="1038" spans="1:37">
      <c r="A1038">
        <v>257847</v>
      </c>
      <c r="B1038" s="1">
        <v>45366</v>
      </c>
      <c r="C1038" t="s">
        <v>1305</v>
      </c>
      <c r="D1038" t="s">
        <v>1306</v>
      </c>
      <c r="E1038" t="s">
        <v>2</v>
      </c>
      <c r="F1038" t="s">
        <v>1307</v>
      </c>
      <c r="G1038" t="s">
        <v>28</v>
      </c>
      <c r="H1038">
        <v>34233</v>
      </c>
      <c r="I1038" t="s">
        <v>1305</v>
      </c>
      <c r="J1038" t="s">
        <v>1306</v>
      </c>
      <c r="K1038" t="s">
        <v>2</v>
      </c>
      <c r="L1038" t="s">
        <v>1307</v>
      </c>
      <c r="M1038" t="s">
        <v>28</v>
      </c>
      <c r="N1038">
        <v>34233</v>
      </c>
      <c r="O1038" t="s">
        <v>1312</v>
      </c>
      <c r="P1038" t="s">
        <v>1737</v>
      </c>
      <c r="Q1038" t="s">
        <v>21</v>
      </c>
      <c r="R1038">
        <v>415321</v>
      </c>
      <c r="S1038" t="s">
        <v>84</v>
      </c>
      <c r="T1038" s="2">
        <v>247</v>
      </c>
      <c r="U1038">
        <v>0</v>
      </c>
      <c r="V1038" t="s">
        <v>260</v>
      </c>
      <c r="W1038">
        <v>0</v>
      </c>
      <c r="X1038">
        <v>0</v>
      </c>
      <c r="Y1038">
        <v>0</v>
      </c>
      <c r="Z1038" t="s">
        <v>88</v>
      </c>
      <c r="AA1038" t="s">
        <v>1702</v>
      </c>
      <c r="AB1038" t="s">
        <v>10</v>
      </c>
      <c r="AC1038">
        <v>0</v>
      </c>
      <c r="AD1038">
        <v>0</v>
      </c>
      <c r="AE1038">
        <v>726182083970</v>
      </c>
      <c r="AF1038">
        <v>595.30999999999995</v>
      </c>
      <c r="AG1038">
        <v>0</v>
      </c>
      <c r="AH1038">
        <v>18.34</v>
      </c>
      <c r="AI1038">
        <v>613.65</v>
      </c>
      <c r="AJ1038" t="s">
        <v>2</v>
      </c>
      <c r="AK1038" t="s">
        <v>11</v>
      </c>
    </row>
    <row r="1039" spans="1:37">
      <c r="A1039">
        <v>257847</v>
      </c>
      <c r="B1039" s="1">
        <v>45366</v>
      </c>
      <c r="C1039" t="s">
        <v>1305</v>
      </c>
      <c r="D1039" t="s">
        <v>1306</v>
      </c>
      <c r="E1039" t="s">
        <v>2</v>
      </c>
      <c r="F1039" t="s">
        <v>1307</v>
      </c>
      <c r="G1039" t="s">
        <v>28</v>
      </c>
      <c r="H1039">
        <v>34233</v>
      </c>
      <c r="I1039" t="s">
        <v>1305</v>
      </c>
      <c r="J1039" t="s">
        <v>1306</v>
      </c>
      <c r="K1039" t="s">
        <v>2</v>
      </c>
      <c r="L1039" t="s">
        <v>1307</v>
      </c>
      <c r="M1039" t="s">
        <v>28</v>
      </c>
      <c r="N1039">
        <v>34233</v>
      </c>
      <c r="O1039" t="s">
        <v>1312</v>
      </c>
      <c r="P1039" t="s">
        <v>1737</v>
      </c>
      <c r="Q1039" t="s">
        <v>21</v>
      </c>
      <c r="R1039">
        <v>415321</v>
      </c>
      <c r="S1039" t="s">
        <v>84</v>
      </c>
      <c r="T1039" s="2">
        <v>247</v>
      </c>
      <c r="U1039">
        <v>0</v>
      </c>
      <c r="V1039" t="s">
        <v>260</v>
      </c>
      <c r="W1039">
        <v>3</v>
      </c>
      <c r="X1039">
        <v>3</v>
      </c>
      <c r="Y1039">
        <v>0</v>
      </c>
      <c r="Z1039" t="s">
        <v>1881</v>
      </c>
      <c r="AA1039" t="s">
        <v>1882</v>
      </c>
      <c r="AB1039" t="s">
        <v>14</v>
      </c>
      <c r="AC1039">
        <v>4.2394999999999996</v>
      </c>
      <c r="AD1039">
        <v>12.72</v>
      </c>
      <c r="AE1039">
        <v>726182083970</v>
      </c>
      <c r="AF1039">
        <v>595.30999999999995</v>
      </c>
      <c r="AG1039">
        <v>0</v>
      </c>
      <c r="AH1039">
        <v>18.34</v>
      </c>
      <c r="AI1039">
        <v>613.65</v>
      </c>
      <c r="AJ1039" t="s">
        <v>2</v>
      </c>
      <c r="AK1039" t="s">
        <v>11</v>
      </c>
    </row>
    <row r="1040" spans="1:37">
      <c r="A1040">
        <v>257847</v>
      </c>
      <c r="B1040" s="1">
        <v>45366</v>
      </c>
      <c r="C1040" t="s">
        <v>1305</v>
      </c>
      <c r="D1040" t="s">
        <v>1306</v>
      </c>
      <c r="E1040" t="s">
        <v>2</v>
      </c>
      <c r="F1040" t="s">
        <v>1307</v>
      </c>
      <c r="G1040" t="s">
        <v>28</v>
      </c>
      <c r="H1040">
        <v>34233</v>
      </c>
      <c r="I1040" t="s">
        <v>1305</v>
      </c>
      <c r="J1040" t="s">
        <v>1306</v>
      </c>
      <c r="K1040" t="s">
        <v>2</v>
      </c>
      <c r="L1040" t="s">
        <v>1307</v>
      </c>
      <c r="M1040" t="s">
        <v>28</v>
      </c>
      <c r="N1040">
        <v>34233</v>
      </c>
      <c r="O1040" t="s">
        <v>1312</v>
      </c>
      <c r="P1040" t="s">
        <v>1737</v>
      </c>
      <c r="Q1040" t="s">
        <v>21</v>
      </c>
      <c r="R1040">
        <v>415321</v>
      </c>
      <c r="S1040" t="s">
        <v>84</v>
      </c>
      <c r="T1040" s="2">
        <v>247</v>
      </c>
      <c r="U1040">
        <v>0</v>
      </c>
      <c r="V1040" t="s">
        <v>260</v>
      </c>
      <c r="W1040">
        <v>0</v>
      </c>
      <c r="X1040">
        <v>0</v>
      </c>
      <c r="Y1040">
        <v>0</v>
      </c>
      <c r="Z1040" t="s">
        <v>88</v>
      </c>
      <c r="AA1040" t="s">
        <v>1883</v>
      </c>
      <c r="AB1040" t="s">
        <v>10</v>
      </c>
      <c r="AC1040">
        <v>0</v>
      </c>
      <c r="AD1040">
        <v>0</v>
      </c>
      <c r="AE1040">
        <v>726182083970</v>
      </c>
      <c r="AF1040">
        <v>595.30999999999995</v>
      </c>
      <c r="AG1040">
        <v>0</v>
      </c>
      <c r="AH1040">
        <v>18.34</v>
      </c>
      <c r="AI1040">
        <v>613.65</v>
      </c>
      <c r="AJ1040" t="s">
        <v>2</v>
      </c>
      <c r="AK1040" t="s">
        <v>11</v>
      </c>
    </row>
    <row r="1041" spans="1:37">
      <c r="A1041">
        <v>257847</v>
      </c>
      <c r="B1041" s="1">
        <v>45366</v>
      </c>
      <c r="C1041" t="s">
        <v>1305</v>
      </c>
      <c r="D1041" t="s">
        <v>1306</v>
      </c>
      <c r="E1041" t="s">
        <v>2</v>
      </c>
      <c r="F1041" t="s">
        <v>1307</v>
      </c>
      <c r="G1041" t="s">
        <v>28</v>
      </c>
      <c r="H1041">
        <v>34233</v>
      </c>
      <c r="I1041" t="s">
        <v>1305</v>
      </c>
      <c r="J1041" t="s">
        <v>1306</v>
      </c>
      <c r="K1041" t="s">
        <v>2</v>
      </c>
      <c r="L1041" t="s">
        <v>1307</v>
      </c>
      <c r="M1041" t="s">
        <v>28</v>
      </c>
      <c r="N1041">
        <v>34233</v>
      </c>
      <c r="O1041" t="s">
        <v>1312</v>
      </c>
      <c r="P1041" t="s">
        <v>1737</v>
      </c>
      <c r="Q1041" t="s">
        <v>21</v>
      </c>
      <c r="R1041">
        <v>415321</v>
      </c>
      <c r="S1041" t="s">
        <v>84</v>
      </c>
      <c r="T1041" s="2">
        <v>247</v>
      </c>
      <c r="U1041">
        <v>0</v>
      </c>
      <c r="V1041" t="s">
        <v>260</v>
      </c>
      <c r="W1041">
        <v>3</v>
      </c>
      <c r="X1041">
        <v>3</v>
      </c>
      <c r="Y1041">
        <v>0</v>
      </c>
      <c r="Z1041" t="s">
        <v>1884</v>
      </c>
      <c r="AA1041" t="s">
        <v>1885</v>
      </c>
      <c r="AB1041" t="s">
        <v>14</v>
      </c>
      <c r="AC1041">
        <v>4.2394999999999996</v>
      </c>
      <c r="AD1041">
        <v>12.72</v>
      </c>
      <c r="AE1041">
        <v>726182083970</v>
      </c>
      <c r="AF1041">
        <v>595.30999999999995</v>
      </c>
      <c r="AG1041">
        <v>0</v>
      </c>
      <c r="AH1041">
        <v>18.34</v>
      </c>
      <c r="AI1041">
        <v>613.65</v>
      </c>
      <c r="AJ1041" t="s">
        <v>2</v>
      </c>
      <c r="AK1041" t="s">
        <v>11</v>
      </c>
    </row>
    <row r="1042" spans="1:37">
      <c r="A1042">
        <v>257847</v>
      </c>
      <c r="B1042" s="1">
        <v>45366</v>
      </c>
      <c r="C1042" t="s">
        <v>1305</v>
      </c>
      <c r="D1042" t="s">
        <v>1306</v>
      </c>
      <c r="E1042" t="s">
        <v>2</v>
      </c>
      <c r="F1042" t="s">
        <v>1307</v>
      </c>
      <c r="G1042" t="s">
        <v>28</v>
      </c>
      <c r="H1042">
        <v>34233</v>
      </c>
      <c r="I1042" t="s">
        <v>1305</v>
      </c>
      <c r="J1042" t="s">
        <v>1306</v>
      </c>
      <c r="K1042" t="s">
        <v>2</v>
      </c>
      <c r="L1042" t="s">
        <v>1307</v>
      </c>
      <c r="M1042" t="s">
        <v>28</v>
      </c>
      <c r="N1042">
        <v>34233</v>
      </c>
      <c r="O1042" t="s">
        <v>1312</v>
      </c>
      <c r="P1042" t="s">
        <v>1737</v>
      </c>
      <c r="Q1042" t="s">
        <v>21</v>
      </c>
      <c r="R1042">
        <v>415321</v>
      </c>
      <c r="S1042" t="s">
        <v>84</v>
      </c>
      <c r="T1042" s="2">
        <v>247</v>
      </c>
      <c r="U1042">
        <v>0</v>
      </c>
      <c r="V1042" t="s">
        <v>260</v>
      </c>
      <c r="W1042">
        <v>0</v>
      </c>
      <c r="X1042">
        <v>0</v>
      </c>
      <c r="Y1042">
        <v>0</v>
      </c>
      <c r="Z1042" t="s">
        <v>88</v>
      </c>
      <c r="AA1042" t="s">
        <v>1883</v>
      </c>
      <c r="AB1042" t="s">
        <v>10</v>
      </c>
      <c r="AC1042">
        <v>0</v>
      </c>
      <c r="AD1042">
        <v>0</v>
      </c>
      <c r="AE1042">
        <v>726182083970</v>
      </c>
      <c r="AF1042">
        <v>595.30999999999995</v>
      </c>
      <c r="AG1042">
        <v>0</v>
      </c>
      <c r="AH1042">
        <v>18.34</v>
      </c>
      <c r="AI1042">
        <v>613.65</v>
      </c>
      <c r="AJ1042" t="s">
        <v>2</v>
      </c>
      <c r="AK1042" t="s">
        <v>11</v>
      </c>
    </row>
    <row r="1043" spans="1:37">
      <c r="A1043">
        <v>257847</v>
      </c>
      <c r="B1043" s="1">
        <v>45366</v>
      </c>
      <c r="C1043" t="s">
        <v>1305</v>
      </c>
      <c r="D1043" t="s">
        <v>1306</v>
      </c>
      <c r="E1043" t="s">
        <v>2</v>
      </c>
      <c r="F1043" t="s">
        <v>1307</v>
      </c>
      <c r="G1043" t="s">
        <v>28</v>
      </c>
      <c r="H1043">
        <v>34233</v>
      </c>
      <c r="I1043" t="s">
        <v>1305</v>
      </c>
      <c r="J1043" t="s">
        <v>1306</v>
      </c>
      <c r="K1043" t="s">
        <v>2</v>
      </c>
      <c r="L1043" t="s">
        <v>1307</v>
      </c>
      <c r="M1043" t="s">
        <v>28</v>
      </c>
      <c r="N1043">
        <v>34233</v>
      </c>
      <c r="O1043" t="s">
        <v>1312</v>
      </c>
      <c r="P1043" t="s">
        <v>1737</v>
      </c>
      <c r="Q1043" t="s">
        <v>21</v>
      </c>
      <c r="R1043">
        <v>415321</v>
      </c>
      <c r="S1043" t="s">
        <v>84</v>
      </c>
      <c r="T1043" s="2">
        <v>247</v>
      </c>
      <c r="U1043">
        <v>0</v>
      </c>
      <c r="V1043" t="s">
        <v>260</v>
      </c>
      <c r="W1043">
        <v>3</v>
      </c>
      <c r="X1043">
        <v>3</v>
      </c>
      <c r="Y1043">
        <v>0</v>
      </c>
      <c r="Z1043" t="s">
        <v>1886</v>
      </c>
      <c r="AA1043" t="s">
        <v>1887</v>
      </c>
      <c r="AB1043" t="s">
        <v>14</v>
      </c>
      <c r="AC1043">
        <v>4.2394999999999996</v>
      </c>
      <c r="AD1043">
        <v>12.72</v>
      </c>
      <c r="AE1043">
        <v>726182083970</v>
      </c>
      <c r="AF1043">
        <v>595.30999999999995</v>
      </c>
      <c r="AG1043">
        <v>0</v>
      </c>
      <c r="AH1043">
        <v>18.34</v>
      </c>
      <c r="AI1043">
        <v>613.65</v>
      </c>
      <c r="AJ1043" t="s">
        <v>2</v>
      </c>
      <c r="AK1043" t="s">
        <v>11</v>
      </c>
    </row>
    <row r="1044" spans="1:37">
      <c r="A1044">
        <v>257847</v>
      </c>
      <c r="B1044" s="1">
        <v>45366</v>
      </c>
      <c r="C1044" t="s">
        <v>1305</v>
      </c>
      <c r="D1044" t="s">
        <v>1306</v>
      </c>
      <c r="E1044" t="s">
        <v>2</v>
      </c>
      <c r="F1044" t="s">
        <v>1307</v>
      </c>
      <c r="G1044" t="s">
        <v>28</v>
      </c>
      <c r="H1044">
        <v>34233</v>
      </c>
      <c r="I1044" t="s">
        <v>1305</v>
      </c>
      <c r="J1044" t="s">
        <v>1306</v>
      </c>
      <c r="K1044" t="s">
        <v>2</v>
      </c>
      <c r="L1044" t="s">
        <v>1307</v>
      </c>
      <c r="M1044" t="s">
        <v>28</v>
      </c>
      <c r="N1044">
        <v>34233</v>
      </c>
      <c r="O1044" t="s">
        <v>1312</v>
      </c>
      <c r="P1044" t="s">
        <v>1737</v>
      </c>
      <c r="Q1044" t="s">
        <v>21</v>
      </c>
      <c r="R1044">
        <v>415321</v>
      </c>
      <c r="S1044" t="s">
        <v>84</v>
      </c>
      <c r="T1044" s="2">
        <v>247</v>
      </c>
      <c r="U1044">
        <v>0</v>
      </c>
      <c r="V1044" t="s">
        <v>260</v>
      </c>
      <c r="W1044">
        <v>0</v>
      </c>
      <c r="X1044">
        <v>0</v>
      </c>
      <c r="Y1044">
        <v>0</v>
      </c>
      <c r="Z1044" t="s">
        <v>88</v>
      </c>
      <c r="AA1044" t="s">
        <v>1883</v>
      </c>
      <c r="AB1044" t="s">
        <v>10</v>
      </c>
      <c r="AC1044">
        <v>0</v>
      </c>
      <c r="AD1044">
        <v>0</v>
      </c>
      <c r="AE1044">
        <v>726182083970</v>
      </c>
      <c r="AF1044">
        <v>595.30999999999995</v>
      </c>
      <c r="AG1044">
        <v>0</v>
      </c>
      <c r="AH1044">
        <v>18.34</v>
      </c>
      <c r="AI1044">
        <v>613.65</v>
      </c>
      <c r="AJ1044" t="s">
        <v>2</v>
      </c>
      <c r="AK1044" t="s">
        <v>11</v>
      </c>
    </row>
    <row r="1045" spans="1:37">
      <c r="A1045">
        <v>257847</v>
      </c>
      <c r="B1045" s="1">
        <v>45366</v>
      </c>
      <c r="C1045" t="s">
        <v>1305</v>
      </c>
      <c r="D1045" t="s">
        <v>1306</v>
      </c>
      <c r="E1045" t="s">
        <v>2</v>
      </c>
      <c r="F1045" t="s">
        <v>1307</v>
      </c>
      <c r="G1045" t="s">
        <v>28</v>
      </c>
      <c r="H1045">
        <v>34233</v>
      </c>
      <c r="I1045" t="s">
        <v>1305</v>
      </c>
      <c r="J1045" t="s">
        <v>1306</v>
      </c>
      <c r="K1045" t="s">
        <v>2</v>
      </c>
      <c r="L1045" t="s">
        <v>1307</v>
      </c>
      <c r="M1045" t="s">
        <v>28</v>
      </c>
      <c r="N1045">
        <v>34233</v>
      </c>
      <c r="O1045" t="s">
        <v>1312</v>
      </c>
      <c r="P1045" t="s">
        <v>1737</v>
      </c>
      <c r="Q1045" t="s">
        <v>21</v>
      </c>
      <c r="R1045">
        <v>415321</v>
      </c>
      <c r="S1045" t="s">
        <v>84</v>
      </c>
      <c r="T1045" s="2">
        <v>247</v>
      </c>
      <c r="U1045">
        <v>0</v>
      </c>
      <c r="V1045" t="s">
        <v>260</v>
      </c>
      <c r="W1045">
        <v>3</v>
      </c>
      <c r="X1045">
        <v>3</v>
      </c>
      <c r="Y1045">
        <v>0</v>
      </c>
      <c r="Z1045" t="s">
        <v>1888</v>
      </c>
      <c r="AA1045" t="s">
        <v>1889</v>
      </c>
      <c r="AB1045" t="s">
        <v>14</v>
      </c>
      <c r="AC1045">
        <v>4.2394999999999996</v>
      </c>
      <c r="AD1045">
        <v>12.72</v>
      </c>
      <c r="AE1045">
        <v>726182083970</v>
      </c>
      <c r="AF1045">
        <v>595.30999999999995</v>
      </c>
      <c r="AG1045">
        <v>0</v>
      </c>
      <c r="AH1045">
        <v>18.34</v>
      </c>
      <c r="AI1045">
        <v>613.65</v>
      </c>
      <c r="AJ1045" t="s">
        <v>2</v>
      </c>
      <c r="AK1045" t="s">
        <v>11</v>
      </c>
    </row>
    <row r="1046" spans="1:37">
      <c r="A1046">
        <v>257847</v>
      </c>
      <c r="B1046" s="1">
        <v>45366</v>
      </c>
      <c r="C1046" t="s">
        <v>1305</v>
      </c>
      <c r="D1046" t="s">
        <v>1306</v>
      </c>
      <c r="E1046" t="s">
        <v>2</v>
      </c>
      <c r="F1046" t="s">
        <v>1307</v>
      </c>
      <c r="G1046" t="s">
        <v>28</v>
      </c>
      <c r="H1046">
        <v>34233</v>
      </c>
      <c r="I1046" t="s">
        <v>1305</v>
      </c>
      <c r="J1046" t="s">
        <v>1306</v>
      </c>
      <c r="K1046" t="s">
        <v>2</v>
      </c>
      <c r="L1046" t="s">
        <v>1307</v>
      </c>
      <c r="M1046" t="s">
        <v>28</v>
      </c>
      <c r="N1046">
        <v>34233</v>
      </c>
      <c r="O1046" t="s">
        <v>1312</v>
      </c>
      <c r="P1046" t="s">
        <v>1737</v>
      </c>
      <c r="Q1046" t="s">
        <v>21</v>
      </c>
      <c r="R1046">
        <v>415321</v>
      </c>
      <c r="S1046" t="s">
        <v>84</v>
      </c>
      <c r="T1046" s="2">
        <v>247</v>
      </c>
      <c r="U1046">
        <v>0</v>
      </c>
      <c r="V1046" t="s">
        <v>260</v>
      </c>
      <c r="W1046">
        <v>0</v>
      </c>
      <c r="X1046">
        <v>0</v>
      </c>
      <c r="Y1046">
        <v>0</v>
      </c>
      <c r="Z1046" t="s">
        <v>88</v>
      </c>
      <c r="AA1046" t="s">
        <v>1883</v>
      </c>
      <c r="AB1046" t="s">
        <v>10</v>
      </c>
      <c r="AC1046">
        <v>0</v>
      </c>
      <c r="AD1046">
        <v>0</v>
      </c>
      <c r="AE1046">
        <v>726182083970</v>
      </c>
      <c r="AF1046">
        <v>595.30999999999995</v>
      </c>
      <c r="AG1046">
        <v>0</v>
      </c>
      <c r="AH1046">
        <v>18.34</v>
      </c>
      <c r="AI1046">
        <v>613.65</v>
      </c>
      <c r="AJ1046" t="s">
        <v>2</v>
      </c>
      <c r="AK1046" t="s">
        <v>11</v>
      </c>
    </row>
    <row r="1047" spans="1:37">
      <c r="A1047">
        <v>257847</v>
      </c>
      <c r="B1047" s="1">
        <v>45366</v>
      </c>
      <c r="C1047" t="s">
        <v>1305</v>
      </c>
      <c r="D1047" t="s">
        <v>1306</v>
      </c>
      <c r="E1047" t="s">
        <v>2</v>
      </c>
      <c r="F1047" t="s">
        <v>1307</v>
      </c>
      <c r="G1047" t="s">
        <v>28</v>
      </c>
      <c r="H1047">
        <v>34233</v>
      </c>
      <c r="I1047" t="s">
        <v>1305</v>
      </c>
      <c r="J1047" t="s">
        <v>1306</v>
      </c>
      <c r="K1047" t="s">
        <v>2</v>
      </c>
      <c r="L1047" t="s">
        <v>1307</v>
      </c>
      <c r="M1047" t="s">
        <v>28</v>
      </c>
      <c r="N1047">
        <v>34233</v>
      </c>
      <c r="O1047" t="s">
        <v>1312</v>
      </c>
      <c r="P1047" t="s">
        <v>1737</v>
      </c>
      <c r="Q1047" t="s">
        <v>21</v>
      </c>
      <c r="R1047">
        <v>415321</v>
      </c>
      <c r="S1047" t="s">
        <v>84</v>
      </c>
      <c r="T1047" s="2">
        <v>247</v>
      </c>
      <c r="U1047">
        <v>0</v>
      </c>
      <c r="V1047" t="s">
        <v>260</v>
      </c>
      <c r="W1047">
        <v>2</v>
      </c>
      <c r="X1047">
        <v>2</v>
      </c>
      <c r="Y1047">
        <v>0</v>
      </c>
      <c r="Z1047" t="s">
        <v>1890</v>
      </c>
      <c r="AA1047" t="s">
        <v>1891</v>
      </c>
      <c r="AB1047" t="s">
        <v>14</v>
      </c>
      <c r="AC1047">
        <v>1.6317999999999999</v>
      </c>
      <c r="AD1047">
        <v>3.26</v>
      </c>
      <c r="AE1047">
        <v>726182083970</v>
      </c>
      <c r="AF1047">
        <v>595.30999999999995</v>
      </c>
      <c r="AG1047">
        <v>0</v>
      </c>
      <c r="AH1047">
        <v>18.34</v>
      </c>
      <c r="AI1047">
        <v>613.65</v>
      </c>
      <c r="AJ1047" t="s">
        <v>2</v>
      </c>
      <c r="AK1047" t="s">
        <v>11</v>
      </c>
    </row>
    <row r="1048" spans="1:37">
      <c r="A1048">
        <v>257847</v>
      </c>
      <c r="B1048" s="1">
        <v>45366</v>
      </c>
      <c r="C1048" t="s">
        <v>1305</v>
      </c>
      <c r="D1048" t="s">
        <v>1306</v>
      </c>
      <c r="E1048" t="s">
        <v>2</v>
      </c>
      <c r="F1048" t="s">
        <v>1307</v>
      </c>
      <c r="G1048" t="s">
        <v>28</v>
      </c>
      <c r="H1048">
        <v>34233</v>
      </c>
      <c r="I1048" t="s">
        <v>1305</v>
      </c>
      <c r="J1048" t="s">
        <v>1306</v>
      </c>
      <c r="K1048" t="s">
        <v>2</v>
      </c>
      <c r="L1048" t="s">
        <v>1307</v>
      </c>
      <c r="M1048" t="s">
        <v>28</v>
      </c>
      <c r="N1048">
        <v>34233</v>
      </c>
      <c r="O1048" t="s">
        <v>1312</v>
      </c>
      <c r="P1048" t="s">
        <v>1737</v>
      </c>
      <c r="Q1048" t="s">
        <v>21</v>
      </c>
      <c r="R1048">
        <v>415321</v>
      </c>
      <c r="S1048" t="s">
        <v>84</v>
      </c>
      <c r="T1048" s="2">
        <v>247</v>
      </c>
      <c r="U1048">
        <v>0</v>
      </c>
      <c r="V1048" t="s">
        <v>260</v>
      </c>
      <c r="W1048">
        <v>0</v>
      </c>
      <c r="X1048">
        <v>0</v>
      </c>
      <c r="Y1048">
        <v>0</v>
      </c>
      <c r="Z1048" t="s">
        <v>88</v>
      </c>
      <c r="AA1048" t="s">
        <v>1732</v>
      </c>
      <c r="AB1048" t="s">
        <v>10</v>
      </c>
      <c r="AC1048">
        <v>0</v>
      </c>
      <c r="AD1048">
        <v>0</v>
      </c>
      <c r="AE1048">
        <v>726182083970</v>
      </c>
      <c r="AF1048">
        <v>595.30999999999995</v>
      </c>
      <c r="AG1048">
        <v>0</v>
      </c>
      <c r="AH1048">
        <v>18.34</v>
      </c>
      <c r="AI1048">
        <v>613.65</v>
      </c>
      <c r="AJ1048" t="s">
        <v>2</v>
      </c>
      <c r="AK1048" t="s">
        <v>11</v>
      </c>
    </row>
    <row r="1049" spans="1:37">
      <c r="A1049">
        <v>257847</v>
      </c>
      <c r="B1049" s="1">
        <v>45366</v>
      </c>
      <c r="C1049" t="s">
        <v>1305</v>
      </c>
      <c r="D1049" t="s">
        <v>1306</v>
      </c>
      <c r="E1049" t="s">
        <v>2</v>
      </c>
      <c r="F1049" t="s">
        <v>1307</v>
      </c>
      <c r="G1049" t="s">
        <v>28</v>
      </c>
      <c r="H1049">
        <v>34233</v>
      </c>
      <c r="I1049" t="s">
        <v>1305</v>
      </c>
      <c r="J1049" t="s">
        <v>1306</v>
      </c>
      <c r="K1049" t="s">
        <v>2</v>
      </c>
      <c r="L1049" t="s">
        <v>1307</v>
      </c>
      <c r="M1049" t="s">
        <v>28</v>
      </c>
      <c r="N1049">
        <v>34233</v>
      </c>
      <c r="O1049" t="s">
        <v>1312</v>
      </c>
      <c r="P1049" t="s">
        <v>1737</v>
      </c>
      <c r="Q1049" t="s">
        <v>21</v>
      </c>
      <c r="R1049">
        <v>415321</v>
      </c>
      <c r="S1049" t="s">
        <v>84</v>
      </c>
      <c r="T1049" s="2">
        <v>247</v>
      </c>
      <c r="U1049">
        <v>0</v>
      </c>
      <c r="V1049" t="s">
        <v>260</v>
      </c>
      <c r="W1049">
        <v>1</v>
      </c>
      <c r="X1049">
        <v>1</v>
      </c>
      <c r="Y1049">
        <v>0</v>
      </c>
      <c r="Z1049" t="s">
        <v>1892</v>
      </c>
      <c r="AA1049" t="s">
        <v>1893</v>
      </c>
      <c r="AB1049" t="s">
        <v>14</v>
      </c>
      <c r="AC1049">
        <v>1.6317999999999999</v>
      </c>
      <c r="AD1049">
        <v>1.63</v>
      </c>
      <c r="AE1049">
        <v>726182083970</v>
      </c>
      <c r="AF1049">
        <v>595.30999999999995</v>
      </c>
      <c r="AG1049">
        <v>0</v>
      </c>
      <c r="AH1049">
        <v>18.34</v>
      </c>
      <c r="AI1049">
        <v>613.65</v>
      </c>
      <c r="AJ1049" t="s">
        <v>2</v>
      </c>
      <c r="AK1049" t="s">
        <v>11</v>
      </c>
    </row>
    <row r="1050" spans="1:37">
      <c r="A1050">
        <v>257847</v>
      </c>
      <c r="B1050" s="1">
        <v>45366</v>
      </c>
      <c r="C1050" t="s">
        <v>1305</v>
      </c>
      <c r="D1050" t="s">
        <v>1306</v>
      </c>
      <c r="E1050" t="s">
        <v>2</v>
      </c>
      <c r="F1050" t="s">
        <v>1307</v>
      </c>
      <c r="G1050" t="s">
        <v>28</v>
      </c>
      <c r="H1050">
        <v>34233</v>
      </c>
      <c r="I1050" t="s">
        <v>1305</v>
      </c>
      <c r="J1050" t="s">
        <v>1306</v>
      </c>
      <c r="K1050" t="s">
        <v>2</v>
      </c>
      <c r="L1050" t="s">
        <v>1307</v>
      </c>
      <c r="M1050" t="s">
        <v>28</v>
      </c>
      <c r="N1050">
        <v>34233</v>
      </c>
      <c r="O1050" t="s">
        <v>1312</v>
      </c>
      <c r="P1050" t="s">
        <v>1737</v>
      </c>
      <c r="Q1050" t="s">
        <v>21</v>
      </c>
      <c r="R1050">
        <v>415321</v>
      </c>
      <c r="S1050" t="s">
        <v>84</v>
      </c>
      <c r="T1050" s="2">
        <v>247</v>
      </c>
      <c r="U1050">
        <v>0</v>
      </c>
      <c r="V1050" t="s">
        <v>260</v>
      </c>
      <c r="W1050">
        <v>0</v>
      </c>
      <c r="X1050">
        <v>0</v>
      </c>
      <c r="Y1050">
        <v>0</v>
      </c>
      <c r="Z1050" t="s">
        <v>88</v>
      </c>
      <c r="AA1050" t="s">
        <v>1732</v>
      </c>
      <c r="AB1050" t="s">
        <v>10</v>
      </c>
      <c r="AC1050">
        <v>0</v>
      </c>
      <c r="AD1050">
        <v>0</v>
      </c>
      <c r="AE1050">
        <v>726182083970</v>
      </c>
      <c r="AF1050">
        <v>595.30999999999995</v>
      </c>
      <c r="AG1050">
        <v>0</v>
      </c>
      <c r="AH1050">
        <v>18.34</v>
      </c>
      <c r="AI1050">
        <v>613.65</v>
      </c>
      <c r="AJ1050" t="s">
        <v>2</v>
      </c>
      <c r="AK1050" t="s">
        <v>11</v>
      </c>
    </row>
    <row r="1051" spans="1:37">
      <c r="A1051">
        <v>257847</v>
      </c>
      <c r="B1051" s="1">
        <v>45366</v>
      </c>
      <c r="C1051" t="s">
        <v>1305</v>
      </c>
      <c r="D1051" t="s">
        <v>1306</v>
      </c>
      <c r="E1051" t="s">
        <v>2</v>
      </c>
      <c r="F1051" t="s">
        <v>1307</v>
      </c>
      <c r="G1051" t="s">
        <v>28</v>
      </c>
      <c r="H1051">
        <v>34233</v>
      </c>
      <c r="I1051" t="s">
        <v>1305</v>
      </c>
      <c r="J1051" t="s">
        <v>1306</v>
      </c>
      <c r="K1051" t="s">
        <v>2</v>
      </c>
      <c r="L1051" t="s">
        <v>1307</v>
      </c>
      <c r="M1051" t="s">
        <v>28</v>
      </c>
      <c r="N1051">
        <v>34233</v>
      </c>
      <c r="O1051" t="s">
        <v>1312</v>
      </c>
      <c r="P1051" t="s">
        <v>1737</v>
      </c>
      <c r="Q1051" t="s">
        <v>21</v>
      </c>
      <c r="R1051">
        <v>415321</v>
      </c>
      <c r="S1051" t="s">
        <v>84</v>
      </c>
      <c r="T1051" s="2">
        <v>247</v>
      </c>
      <c r="U1051">
        <v>0</v>
      </c>
      <c r="V1051" t="s">
        <v>260</v>
      </c>
      <c r="W1051">
        <v>1</v>
      </c>
      <c r="X1051">
        <v>1</v>
      </c>
      <c r="Y1051">
        <v>0</v>
      </c>
      <c r="Z1051" t="s">
        <v>1894</v>
      </c>
      <c r="AA1051" t="s">
        <v>1895</v>
      </c>
      <c r="AB1051" t="s">
        <v>14</v>
      </c>
      <c r="AC1051">
        <v>1.6317999999999999</v>
      </c>
      <c r="AD1051">
        <v>1.63</v>
      </c>
      <c r="AE1051">
        <v>726182083970</v>
      </c>
      <c r="AF1051">
        <v>595.30999999999995</v>
      </c>
      <c r="AG1051">
        <v>0</v>
      </c>
      <c r="AH1051">
        <v>18.34</v>
      </c>
      <c r="AI1051">
        <v>613.65</v>
      </c>
      <c r="AJ1051" t="s">
        <v>2</v>
      </c>
      <c r="AK1051" t="s">
        <v>11</v>
      </c>
    </row>
    <row r="1052" spans="1:37">
      <c r="A1052">
        <v>257847</v>
      </c>
      <c r="B1052" s="1">
        <v>45366</v>
      </c>
      <c r="C1052" t="s">
        <v>1305</v>
      </c>
      <c r="D1052" t="s">
        <v>1306</v>
      </c>
      <c r="E1052" t="s">
        <v>2</v>
      </c>
      <c r="F1052" t="s">
        <v>1307</v>
      </c>
      <c r="G1052" t="s">
        <v>28</v>
      </c>
      <c r="H1052">
        <v>34233</v>
      </c>
      <c r="I1052" t="s">
        <v>1305</v>
      </c>
      <c r="J1052" t="s">
        <v>1306</v>
      </c>
      <c r="K1052" t="s">
        <v>2</v>
      </c>
      <c r="L1052" t="s">
        <v>1307</v>
      </c>
      <c r="M1052" t="s">
        <v>28</v>
      </c>
      <c r="N1052">
        <v>34233</v>
      </c>
      <c r="O1052" t="s">
        <v>1312</v>
      </c>
      <c r="P1052" t="s">
        <v>1737</v>
      </c>
      <c r="Q1052" t="s">
        <v>21</v>
      </c>
      <c r="R1052">
        <v>415321</v>
      </c>
      <c r="S1052" t="s">
        <v>84</v>
      </c>
      <c r="T1052" s="2">
        <v>247</v>
      </c>
      <c r="U1052">
        <v>0</v>
      </c>
      <c r="V1052" t="s">
        <v>260</v>
      </c>
      <c r="W1052">
        <v>0</v>
      </c>
      <c r="X1052">
        <v>0</v>
      </c>
      <c r="Y1052">
        <v>0</v>
      </c>
      <c r="Z1052" t="s">
        <v>88</v>
      </c>
      <c r="AA1052" t="s">
        <v>1732</v>
      </c>
      <c r="AB1052" t="s">
        <v>10</v>
      </c>
      <c r="AC1052">
        <v>0</v>
      </c>
      <c r="AD1052">
        <v>0</v>
      </c>
      <c r="AE1052">
        <v>726182083970</v>
      </c>
      <c r="AF1052">
        <v>595.30999999999995</v>
      </c>
      <c r="AG1052">
        <v>0</v>
      </c>
      <c r="AH1052">
        <v>18.34</v>
      </c>
      <c r="AI1052">
        <v>613.65</v>
      </c>
      <c r="AJ1052" t="s">
        <v>2</v>
      </c>
      <c r="AK1052" t="s">
        <v>11</v>
      </c>
    </row>
    <row r="1053" spans="1:37">
      <c r="A1053">
        <v>257847</v>
      </c>
      <c r="B1053" s="1">
        <v>45366</v>
      </c>
      <c r="C1053" t="s">
        <v>1305</v>
      </c>
      <c r="D1053" t="s">
        <v>1306</v>
      </c>
      <c r="E1053" t="s">
        <v>2</v>
      </c>
      <c r="F1053" t="s">
        <v>1307</v>
      </c>
      <c r="G1053" t="s">
        <v>28</v>
      </c>
      <c r="H1053">
        <v>34233</v>
      </c>
      <c r="I1053" t="s">
        <v>1305</v>
      </c>
      <c r="J1053" t="s">
        <v>1306</v>
      </c>
      <c r="K1053" t="s">
        <v>2</v>
      </c>
      <c r="L1053" t="s">
        <v>1307</v>
      </c>
      <c r="M1053" t="s">
        <v>28</v>
      </c>
      <c r="N1053">
        <v>34233</v>
      </c>
      <c r="O1053" t="s">
        <v>1312</v>
      </c>
      <c r="P1053" t="s">
        <v>1737</v>
      </c>
      <c r="Q1053" t="s">
        <v>21</v>
      </c>
      <c r="R1053">
        <v>415321</v>
      </c>
      <c r="S1053" t="s">
        <v>84</v>
      </c>
      <c r="T1053" s="2">
        <v>247</v>
      </c>
      <c r="U1053">
        <v>0</v>
      </c>
      <c r="V1053" t="s">
        <v>260</v>
      </c>
      <c r="W1053">
        <v>1</v>
      </c>
      <c r="X1053">
        <v>1</v>
      </c>
      <c r="Y1053">
        <v>0</v>
      </c>
      <c r="Z1053" t="s">
        <v>1896</v>
      </c>
      <c r="AA1053" t="s">
        <v>1897</v>
      </c>
      <c r="AB1053" t="s">
        <v>14</v>
      </c>
      <c r="AC1053">
        <v>1.6317999999999999</v>
      </c>
      <c r="AD1053">
        <v>1.63</v>
      </c>
      <c r="AE1053">
        <v>726182083970</v>
      </c>
      <c r="AF1053">
        <v>595.30999999999995</v>
      </c>
      <c r="AG1053">
        <v>0</v>
      </c>
      <c r="AH1053">
        <v>18.34</v>
      </c>
      <c r="AI1053">
        <v>613.65</v>
      </c>
      <c r="AJ1053" t="s">
        <v>2</v>
      </c>
      <c r="AK1053" t="s">
        <v>11</v>
      </c>
    </row>
    <row r="1054" spans="1:37">
      <c r="A1054">
        <v>257847</v>
      </c>
      <c r="B1054" s="1">
        <v>45366</v>
      </c>
      <c r="C1054" t="s">
        <v>1305</v>
      </c>
      <c r="D1054" t="s">
        <v>1306</v>
      </c>
      <c r="E1054" t="s">
        <v>2</v>
      </c>
      <c r="F1054" t="s">
        <v>1307</v>
      </c>
      <c r="G1054" t="s">
        <v>28</v>
      </c>
      <c r="H1054">
        <v>34233</v>
      </c>
      <c r="I1054" t="s">
        <v>1305</v>
      </c>
      <c r="J1054" t="s">
        <v>1306</v>
      </c>
      <c r="K1054" t="s">
        <v>2</v>
      </c>
      <c r="L1054" t="s">
        <v>1307</v>
      </c>
      <c r="M1054" t="s">
        <v>28</v>
      </c>
      <c r="N1054">
        <v>34233</v>
      </c>
      <c r="O1054" t="s">
        <v>1312</v>
      </c>
      <c r="P1054" t="s">
        <v>1737</v>
      </c>
      <c r="Q1054" t="s">
        <v>21</v>
      </c>
      <c r="R1054">
        <v>415321</v>
      </c>
      <c r="S1054" t="s">
        <v>84</v>
      </c>
      <c r="T1054" s="2">
        <v>247</v>
      </c>
      <c r="U1054">
        <v>0</v>
      </c>
      <c r="V1054" t="s">
        <v>260</v>
      </c>
      <c r="W1054">
        <v>0</v>
      </c>
      <c r="X1054">
        <v>0</v>
      </c>
      <c r="Y1054">
        <v>0</v>
      </c>
      <c r="Z1054" t="s">
        <v>88</v>
      </c>
      <c r="AA1054" t="s">
        <v>1732</v>
      </c>
      <c r="AB1054" t="s">
        <v>10</v>
      </c>
      <c r="AC1054">
        <v>0</v>
      </c>
      <c r="AD1054">
        <v>0</v>
      </c>
      <c r="AE1054">
        <v>726182083970</v>
      </c>
      <c r="AF1054">
        <v>595.30999999999995</v>
      </c>
      <c r="AG1054">
        <v>0</v>
      </c>
      <c r="AH1054">
        <v>18.34</v>
      </c>
      <c r="AI1054">
        <v>613.65</v>
      </c>
      <c r="AJ1054" t="s">
        <v>2</v>
      </c>
      <c r="AK1054" t="s">
        <v>11</v>
      </c>
    </row>
    <row r="1055" spans="1:37">
      <c r="A1055">
        <v>257847</v>
      </c>
      <c r="B1055" s="1">
        <v>45366</v>
      </c>
      <c r="C1055" t="s">
        <v>1305</v>
      </c>
      <c r="D1055" t="s">
        <v>1306</v>
      </c>
      <c r="E1055" t="s">
        <v>2</v>
      </c>
      <c r="F1055" t="s">
        <v>1307</v>
      </c>
      <c r="G1055" t="s">
        <v>28</v>
      </c>
      <c r="H1055">
        <v>34233</v>
      </c>
      <c r="I1055" t="s">
        <v>1305</v>
      </c>
      <c r="J1055" t="s">
        <v>1306</v>
      </c>
      <c r="K1055" t="s">
        <v>2</v>
      </c>
      <c r="L1055" t="s">
        <v>1307</v>
      </c>
      <c r="M1055" t="s">
        <v>28</v>
      </c>
      <c r="N1055">
        <v>34233</v>
      </c>
      <c r="O1055" t="s">
        <v>1312</v>
      </c>
      <c r="P1055" t="s">
        <v>1737</v>
      </c>
      <c r="Q1055" t="s">
        <v>21</v>
      </c>
      <c r="R1055">
        <v>415321</v>
      </c>
      <c r="S1055" t="s">
        <v>84</v>
      </c>
      <c r="T1055" s="2">
        <v>247</v>
      </c>
      <c r="U1055">
        <v>0</v>
      </c>
      <c r="V1055" t="s">
        <v>260</v>
      </c>
      <c r="W1055">
        <v>1</v>
      </c>
      <c r="X1055">
        <v>1</v>
      </c>
      <c r="Y1055">
        <v>0</v>
      </c>
      <c r="Z1055" t="s">
        <v>1898</v>
      </c>
      <c r="AA1055" t="s">
        <v>1899</v>
      </c>
      <c r="AB1055" t="s">
        <v>14</v>
      </c>
      <c r="AC1055">
        <v>1.6317999999999999</v>
      </c>
      <c r="AD1055">
        <v>1.63</v>
      </c>
      <c r="AE1055">
        <v>726182083970</v>
      </c>
      <c r="AF1055">
        <v>595.30999999999995</v>
      </c>
      <c r="AG1055">
        <v>0</v>
      </c>
      <c r="AH1055">
        <v>18.34</v>
      </c>
      <c r="AI1055">
        <v>613.65</v>
      </c>
      <c r="AJ1055" t="s">
        <v>2</v>
      </c>
      <c r="AK1055" t="s">
        <v>11</v>
      </c>
    </row>
    <row r="1056" spans="1:37">
      <c r="A1056">
        <v>257847</v>
      </c>
      <c r="B1056" s="1">
        <v>45366</v>
      </c>
      <c r="C1056" t="s">
        <v>1305</v>
      </c>
      <c r="D1056" t="s">
        <v>1306</v>
      </c>
      <c r="E1056" t="s">
        <v>2</v>
      </c>
      <c r="F1056" t="s">
        <v>1307</v>
      </c>
      <c r="G1056" t="s">
        <v>28</v>
      </c>
      <c r="H1056">
        <v>34233</v>
      </c>
      <c r="I1056" t="s">
        <v>1305</v>
      </c>
      <c r="J1056" t="s">
        <v>1306</v>
      </c>
      <c r="K1056" t="s">
        <v>2</v>
      </c>
      <c r="L1056" t="s">
        <v>1307</v>
      </c>
      <c r="M1056" t="s">
        <v>28</v>
      </c>
      <c r="N1056">
        <v>34233</v>
      </c>
      <c r="O1056" t="s">
        <v>1312</v>
      </c>
      <c r="P1056" t="s">
        <v>1737</v>
      </c>
      <c r="Q1056" t="s">
        <v>21</v>
      </c>
      <c r="R1056">
        <v>415321</v>
      </c>
      <c r="S1056" t="s">
        <v>84</v>
      </c>
      <c r="T1056" s="2">
        <v>247</v>
      </c>
      <c r="U1056">
        <v>0</v>
      </c>
      <c r="V1056" t="s">
        <v>260</v>
      </c>
      <c r="W1056">
        <v>0</v>
      </c>
      <c r="X1056">
        <v>0</v>
      </c>
      <c r="Y1056">
        <v>0</v>
      </c>
      <c r="Z1056" t="s">
        <v>88</v>
      </c>
      <c r="AA1056" t="s">
        <v>1732</v>
      </c>
      <c r="AB1056" t="s">
        <v>10</v>
      </c>
      <c r="AC1056">
        <v>0</v>
      </c>
      <c r="AD1056">
        <v>0</v>
      </c>
      <c r="AE1056">
        <v>726182083970</v>
      </c>
      <c r="AF1056">
        <v>595.30999999999995</v>
      </c>
      <c r="AG1056">
        <v>0</v>
      </c>
      <c r="AH1056">
        <v>18.34</v>
      </c>
      <c r="AI1056">
        <v>613.65</v>
      </c>
      <c r="AJ1056" t="s">
        <v>2</v>
      </c>
      <c r="AK1056" t="s">
        <v>11</v>
      </c>
    </row>
    <row r="1057" spans="1:37">
      <c r="A1057">
        <v>257847</v>
      </c>
      <c r="B1057" s="1">
        <v>45366</v>
      </c>
      <c r="C1057" t="s">
        <v>1305</v>
      </c>
      <c r="D1057" t="s">
        <v>1306</v>
      </c>
      <c r="E1057" t="s">
        <v>2</v>
      </c>
      <c r="F1057" t="s">
        <v>1307</v>
      </c>
      <c r="G1057" t="s">
        <v>28</v>
      </c>
      <c r="H1057">
        <v>34233</v>
      </c>
      <c r="I1057" t="s">
        <v>1305</v>
      </c>
      <c r="J1057" t="s">
        <v>1306</v>
      </c>
      <c r="K1057" t="s">
        <v>2</v>
      </c>
      <c r="L1057" t="s">
        <v>1307</v>
      </c>
      <c r="M1057" t="s">
        <v>28</v>
      </c>
      <c r="N1057">
        <v>34233</v>
      </c>
      <c r="O1057" t="s">
        <v>1312</v>
      </c>
      <c r="P1057" t="s">
        <v>1737</v>
      </c>
      <c r="Q1057" t="s">
        <v>21</v>
      </c>
      <c r="R1057">
        <v>415321</v>
      </c>
      <c r="S1057" t="s">
        <v>84</v>
      </c>
      <c r="T1057" s="2">
        <v>247</v>
      </c>
      <c r="U1057">
        <v>0</v>
      </c>
      <c r="V1057" t="s">
        <v>260</v>
      </c>
      <c r="W1057">
        <v>3</v>
      </c>
      <c r="X1057">
        <v>3</v>
      </c>
      <c r="Y1057">
        <v>0</v>
      </c>
      <c r="Z1057" t="s">
        <v>1900</v>
      </c>
      <c r="AA1057" t="s">
        <v>1901</v>
      </c>
      <c r="AB1057" t="s">
        <v>14</v>
      </c>
      <c r="AC1057">
        <v>1.6317999999999999</v>
      </c>
      <c r="AD1057">
        <v>4.9000000000000004</v>
      </c>
      <c r="AE1057">
        <v>726182083970</v>
      </c>
      <c r="AF1057">
        <v>595.30999999999995</v>
      </c>
      <c r="AG1057">
        <v>0</v>
      </c>
      <c r="AH1057">
        <v>18.34</v>
      </c>
      <c r="AI1057">
        <v>613.65</v>
      </c>
      <c r="AJ1057" t="s">
        <v>2</v>
      </c>
      <c r="AK1057" t="s">
        <v>11</v>
      </c>
    </row>
    <row r="1058" spans="1:37">
      <c r="A1058">
        <v>257847</v>
      </c>
      <c r="B1058" s="1">
        <v>45366</v>
      </c>
      <c r="C1058" t="s">
        <v>1305</v>
      </c>
      <c r="D1058" t="s">
        <v>1306</v>
      </c>
      <c r="E1058" t="s">
        <v>2</v>
      </c>
      <c r="F1058" t="s">
        <v>1307</v>
      </c>
      <c r="G1058" t="s">
        <v>28</v>
      </c>
      <c r="H1058">
        <v>34233</v>
      </c>
      <c r="I1058" t="s">
        <v>1305</v>
      </c>
      <c r="J1058" t="s">
        <v>1306</v>
      </c>
      <c r="K1058" t="s">
        <v>2</v>
      </c>
      <c r="L1058" t="s">
        <v>1307</v>
      </c>
      <c r="M1058" t="s">
        <v>28</v>
      </c>
      <c r="N1058">
        <v>34233</v>
      </c>
      <c r="O1058" t="s">
        <v>1312</v>
      </c>
      <c r="P1058" t="s">
        <v>1737</v>
      </c>
      <c r="Q1058" t="s">
        <v>21</v>
      </c>
      <c r="R1058">
        <v>415321</v>
      </c>
      <c r="S1058" t="s">
        <v>84</v>
      </c>
      <c r="T1058" s="2">
        <v>247</v>
      </c>
      <c r="U1058">
        <v>0</v>
      </c>
      <c r="V1058" t="s">
        <v>260</v>
      </c>
      <c r="W1058">
        <v>0</v>
      </c>
      <c r="X1058">
        <v>0</v>
      </c>
      <c r="Y1058">
        <v>0</v>
      </c>
      <c r="Z1058" t="s">
        <v>88</v>
      </c>
      <c r="AA1058" t="s">
        <v>1732</v>
      </c>
      <c r="AB1058" t="s">
        <v>10</v>
      </c>
      <c r="AC1058">
        <v>0</v>
      </c>
      <c r="AD1058">
        <v>0</v>
      </c>
      <c r="AE1058">
        <v>726182083970</v>
      </c>
      <c r="AF1058">
        <v>595.30999999999995</v>
      </c>
      <c r="AG1058">
        <v>0</v>
      </c>
      <c r="AH1058">
        <v>18.34</v>
      </c>
      <c r="AI1058">
        <v>613.65</v>
      </c>
      <c r="AJ1058" t="s">
        <v>2</v>
      </c>
      <c r="AK1058" t="s">
        <v>11</v>
      </c>
    </row>
    <row r="1059" spans="1:37">
      <c r="A1059">
        <v>257847</v>
      </c>
      <c r="B1059" s="1">
        <v>45366</v>
      </c>
      <c r="C1059" t="s">
        <v>1305</v>
      </c>
      <c r="D1059" t="s">
        <v>1306</v>
      </c>
      <c r="E1059" t="s">
        <v>2</v>
      </c>
      <c r="F1059" t="s">
        <v>1307</v>
      </c>
      <c r="G1059" t="s">
        <v>28</v>
      </c>
      <c r="H1059">
        <v>34233</v>
      </c>
      <c r="I1059" t="s">
        <v>1305</v>
      </c>
      <c r="J1059" t="s">
        <v>1306</v>
      </c>
      <c r="K1059" t="s">
        <v>2</v>
      </c>
      <c r="L1059" t="s">
        <v>1307</v>
      </c>
      <c r="M1059" t="s">
        <v>28</v>
      </c>
      <c r="N1059">
        <v>34233</v>
      </c>
      <c r="O1059" t="s">
        <v>1312</v>
      </c>
      <c r="P1059" t="s">
        <v>1737</v>
      </c>
      <c r="Q1059" t="s">
        <v>21</v>
      </c>
      <c r="R1059">
        <v>415321</v>
      </c>
      <c r="S1059" t="s">
        <v>84</v>
      </c>
      <c r="T1059" s="2">
        <v>247</v>
      </c>
      <c r="U1059">
        <v>0</v>
      </c>
      <c r="V1059" t="s">
        <v>260</v>
      </c>
      <c r="W1059">
        <v>1</v>
      </c>
      <c r="X1059">
        <v>1</v>
      </c>
      <c r="Y1059">
        <v>0</v>
      </c>
      <c r="Z1059" t="s">
        <v>1902</v>
      </c>
      <c r="AA1059" t="s">
        <v>1903</v>
      </c>
      <c r="AB1059" t="s">
        <v>14</v>
      </c>
      <c r="AC1059">
        <v>1.6317999999999999</v>
      </c>
      <c r="AD1059">
        <v>1.63</v>
      </c>
      <c r="AE1059">
        <v>726182083970</v>
      </c>
      <c r="AF1059">
        <v>595.30999999999995</v>
      </c>
      <c r="AG1059">
        <v>0</v>
      </c>
      <c r="AH1059">
        <v>18.34</v>
      </c>
      <c r="AI1059">
        <v>613.65</v>
      </c>
      <c r="AJ1059" t="s">
        <v>2</v>
      </c>
      <c r="AK1059" t="s">
        <v>11</v>
      </c>
    </row>
    <row r="1060" spans="1:37">
      <c r="A1060">
        <v>257847</v>
      </c>
      <c r="B1060" s="1">
        <v>45366</v>
      </c>
      <c r="C1060" t="s">
        <v>1305</v>
      </c>
      <c r="D1060" t="s">
        <v>1306</v>
      </c>
      <c r="E1060" t="s">
        <v>2</v>
      </c>
      <c r="F1060" t="s">
        <v>1307</v>
      </c>
      <c r="G1060" t="s">
        <v>28</v>
      </c>
      <c r="H1060">
        <v>34233</v>
      </c>
      <c r="I1060" t="s">
        <v>1305</v>
      </c>
      <c r="J1060" t="s">
        <v>1306</v>
      </c>
      <c r="K1060" t="s">
        <v>2</v>
      </c>
      <c r="L1060" t="s">
        <v>1307</v>
      </c>
      <c r="M1060" t="s">
        <v>28</v>
      </c>
      <c r="N1060">
        <v>34233</v>
      </c>
      <c r="O1060" t="s">
        <v>1312</v>
      </c>
      <c r="P1060" t="s">
        <v>1737</v>
      </c>
      <c r="Q1060" t="s">
        <v>21</v>
      </c>
      <c r="R1060">
        <v>415321</v>
      </c>
      <c r="S1060" t="s">
        <v>84</v>
      </c>
      <c r="T1060" s="2">
        <v>247</v>
      </c>
      <c r="U1060">
        <v>0</v>
      </c>
      <c r="V1060" t="s">
        <v>260</v>
      </c>
      <c r="W1060">
        <v>0</v>
      </c>
      <c r="X1060">
        <v>0</v>
      </c>
      <c r="Y1060">
        <v>0</v>
      </c>
      <c r="Z1060" t="s">
        <v>88</v>
      </c>
      <c r="AA1060" t="s">
        <v>1732</v>
      </c>
      <c r="AB1060" t="s">
        <v>10</v>
      </c>
      <c r="AC1060">
        <v>0</v>
      </c>
      <c r="AD1060">
        <v>0</v>
      </c>
      <c r="AE1060">
        <v>726182083970</v>
      </c>
      <c r="AF1060">
        <v>595.30999999999995</v>
      </c>
      <c r="AG1060">
        <v>0</v>
      </c>
      <c r="AH1060">
        <v>18.34</v>
      </c>
      <c r="AI1060">
        <v>613.65</v>
      </c>
      <c r="AJ1060" t="s">
        <v>2</v>
      </c>
      <c r="AK1060" t="s">
        <v>11</v>
      </c>
    </row>
    <row r="1061" spans="1:37">
      <c r="A1061">
        <v>257847</v>
      </c>
      <c r="B1061" s="1">
        <v>45366</v>
      </c>
      <c r="C1061" t="s">
        <v>1305</v>
      </c>
      <c r="D1061" t="s">
        <v>1306</v>
      </c>
      <c r="E1061" t="s">
        <v>2</v>
      </c>
      <c r="F1061" t="s">
        <v>1307</v>
      </c>
      <c r="G1061" t="s">
        <v>28</v>
      </c>
      <c r="H1061">
        <v>34233</v>
      </c>
      <c r="I1061" t="s">
        <v>1305</v>
      </c>
      <c r="J1061" t="s">
        <v>1306</v>
      </c>
      <c r="K1061" t="s">
        <v>2</v>
      </c>
      <c r="L1061" t="s">
        <v>1307</v>
      </c>
      <c r="M1061" t="s">
        <v>28</v>
      </c>
      <c r="N1061">
        <v>34233</v>
      </c>
      <c r="O1061" t="s">
        <v>1312</v>
      </c>
      <c r="P1061" t="s">
        <v>1737</v>
      </c>
      <c r="Q1061" t="s">
        <v>21</v>
      </c>
      <c r="R1061">
        <v>415321</v>
      </c>
      <c r="S1061" t="s">
        <v>84</v>
      </c>
      <c r="T1061" s="2">
        <v>247</v>
      </c>
      <c r="U1061">
        <v>0</v>
      </c>
      <c r="V1061" t="s">
        <v>260</v>
      </c>
      <c r="W1061">
        <v>1</v>
      </c>
      <c r="X1061">
        <v>1</v>
      </c>
      <c r="Y1061">
        <v>0</v>
      </c>
      <c r="Z1061" t="s">
        <v>1904</v>
      </c>
      <c r="AA1061" t="s">
        <v>1905</v>
      </c>
      <c r="AB1061" t="s">
        <v>14</v>
      </c>
      <c r="AC1061">
        <v>1.6317999999999999</v>
      </c>
      <c r="AD1061">
        <v>1.63</v>
      </c>
      <c r="AE1061">
        <v>726182083970</v>
      </c>
      <c r="AF1061">
        <v>595.30999999999995</v>
      </c>
      <c r="AG1061">
        <v>0</v>
      </c>
      <c r="AH1061">
        <v>18.34</v>
      </c>
      <c r="AI1061">
        <v>613.65</v>
      </c>
      <c r="AJ1061" t="s">
        <v>2</v>
      </c>
      <c r="AK1061" t="s">
        <v>11</v>
      </c>
    </row>
    <row r="1062" spans="1:37">
      <c r="A1062">
        <v>257847</v>
      </c>
      <c r="B1062" s="1">
        <v>45366</v>
      </c>
      <c r="C1062" t="s">
        <v>1305</v>
      </c>
      <c r="D1062" t="s">
        <v>1306</v>
      </c>
      <c r="E1062" t="s">
        <v>2</v>
      </c>
      <c r="F1062" t="s">
        <v>1307</v>
      </c>
      <c r="G1062" t="s">
        <v>28</v>
      </c>
      <c r="H1062">
        <v>34233</v>
      </c>
      <c r="I1062" t="s">
        <v>1305</v>
      </c>
      <c r="J1062" t="s">
        <v>1306</v>
      </c>
      <c r="K1062" t="s">
        <v>2</v>
      </c>
      <c r="L1062" t="s">
        <v>1307</v>
      </c>
      <c r="M1062" t="s">
        <v>28</v>
      </c>
      <c r="N1062">
        <v>34233</v>
      </c>
      <c r="O1062" t="s">
        <v>1312</v>
      </c>
      <c r="P1062" t="s">
        <v>1737</v>
      </c>
      <c r="Q1062" t="s">
        <v>21</v>
      </c>
      <c r="R1062">
        <v>415321</v>
      </c>
      <c r="S1062" t="s">
        <v>84</v>
      </c>
      <c r="T1062" s="2">
        <v>247</v>
      </c>
      <c r="U1062">
        <v>0</v>
      </c>
      <c r="V1062" t="s">
        <v>260</v>
      </c>
      <c r="W1062">
        <v>0</v>
      </c>
      <c r="X1062">
        <v>0</v>
      </c>
      <c r="Y1062">
        <v>0</v>
      </c>
      <c r="Z1062" t="s">
        <v>88</v>
      </c>
      <c r="AA1062" t="s">
        <v>1732</v>
      </c>
      <c r="AB1062" t="s">
        <v>10</v>
      </c>
      <c r="AC1062">
        <v>0</v>
      </c>
      <c r="AD1062">
        <v>0</v>
      </c>
      <c r="AE1062">
        <v>726182083970</v>
      </c>
      <c r="AF1062">
        <v>595.30999999999995</v>
      </c>
      <c r="AG1062">
        <v>0</v>
      </c>
      <c r="AH1062">
        <v>18.34</v>
      </c>
      <c r="AI1062">
        <v>613.65</v>
      </c>
      <c r="AJ1062" t="s">
        <v>2</v>
      </c>
      <c r="AK1062" t="s">
        <v>11</v>
      </c>
    </row>
    <row r="1063" spans="1:37">
      <c r="A1063">
        <v>257847</v>
      </c>
      <c r="B1063" s="1">
        <v>45366</v>
      </c>
      <c r="C1063" t="s">
        <v>1305</v>
      </c>
      <c r="D1063" t="s">
        <v>1306</v>
      </c>
      <c r="E1063" t="s">
        <v>2</v>
      </c>
      <c r="F1063" t="s">
        <v>1307</v>
      </c>
      <c r="G1063" t="s">
        <v>28</v>
      </c>
      <c r="H1063">
        <v>34233</v>
      </c>
      <c r="I1063" t="s">
        <v>1305</v>
      </c>
      <c r="J1063" t="s">
        <v>1306</v>
      </c>
      <c r="K1063" t="s">
        <v>2</v>
      </c>
      <c r="L1063" t="s">
        <v>1307</v>
      </c>
      <c r="M1063" t="s">
        <v>28</v>
      </c>
      <c r="N1063">
        <v>34233</v>
      </c>
      <c r="O1063" t="s">
        <v>1312</v>
      </c>
      <c r="P1063" t="s">
        <v>1737</v>
      </c>
      <c r="Q1063" t="s">
        <v>21</v>
      </c>
      <c r="R1063">
        <v>415321</v>
      </c>
      <c r="S1063" t="s">
        <v>84</v>
      </c>
      <c r="T1063" s="2">
        <v>247</v>
      </c>
      <c r="U1063">
        <v>0</v>
      </c>
      <c r="V1063" t="s">
        <v>260</v>
      </c>
      <c r="W1063">
        <v>1</v>
      </c>
      <c r="X1063">
        <v>1</v>
      </c>
      <c r="Y1063">
        <v>0</v>
      </c>
      <c r="Z1063" t="s">
        <v>1906</v>
      </c>
      <c r="AA1063" t="s">
        <v>1907</v>
      </c>
      <c r="AB1063" t="s">
        <v>14</v>
      </c>
      <c r="AC1063">
        <v>1.6317999999999999</v>
      </c>
      <c r="AD1063">
        <v>1.63</v>
      </c>
      <c r="AE1063">
        <v>726182083970</v>
      </c>
      <c r="AF1063">
        <v>595.30999999999995</v>
      </c>
      <c r="AG1063">
        <v>0</v>
      </c>
      <c r="AH1063">
        <v>18.34</v>
      </c>
      <c r="AI1063">
        <v>613.65</v>
      </c>
      <c r="AJ1063" t="s">
        <v>2</v>
      </c>
      <c r="AK1063" t="s">
        <v>11</v>
      </c>
    </row>
    <row r="1064" spans="1:37">
      <c r="A1064">
        <v>257847</v>
      </c>
      <c r="B1064" s="1">
        <v>45366</v>
      </c>
      <c r="C1064" t="s">
        <v>1305</v>
      </c>
      <c r="D1064" t="s">
        <v>1306</v>
      </c>
      <c r="E1064" t="s">
        <v>2</v>
      </c>
      <c r="F1064" t="s">
        <v>1307</v>
      </c>
      <c r="G1064" t="s">
        <v>28</v>
      </c>
      <c r="H1064">
        <v>34233</v>
      </c>
      <c r="I1064" t="s">
        <v>1305</v>
      </c>
      <c r="J1064" t="s">
        <v>1306</v>
      </c>
      <c r="K1064" t="s">
        <v>2</v>
      </c>
      <c r="L1064" t="s">
        <v>1307</v>
      </c>
      <c r="M1064" t="s">
        <v>28</v>
      </c>
      <c r="N1064">
        <v>34233</v>
      </c>
      <c r="O1064" t="s">
        <v>1312</v>
      </c>
      <c r="P1064" t="s">
        <v>1737</v>
      </c>
      <c r="Q1064" t="s">
        <v>21</v>
      </c>
      <c r="R1064">
        <v>415321</v>
      </c>
      <c r="S1064" t="s">
        <v>84</v>
      </c>
      <c r="T1064" s="2">
        <v>247</v>
      </c>
      <c r="U1064">
        <v>0</v>
      </c>
      <c r="V1064" t="s">
        <v>260</v>
      </c>
      <c r="W1064">
        <v>0</v>
      </c>
      <c r="X1064">
        <v>0</v>
      </c>
      <c r="Y1064">
        <v>0</v>
      </c>
      <c r="Z1064" t="s">
        <v>88</v>
      </c>
      <c r="AA1064" t="s">
        <v>1732</v>
      </c>
      <c r="AB1064" t="s">
        <v>10</v>
      </c>
      <c r="AC1064">
        <v>0</v>
      </c>
      <c r="AD1064">
        <v>0</v>
      </c>
      <c r="AE1064">
        <v>726182083970</v>
      </c>
      <c r="AF1064">
        <v>595.30999999999995</v>
      </c>
      <c r="AG1064">
        <v>0</v>
      </c>
      <c r="AH1064">
        <v>18.34</v>
      </c>
      <c r="AI1064">
        <v>613.65</v>
      </c>
      <c r="AJ1064" t="s">
        <v>2</v>
      </c>
      <c r="AK1064" t="s">
        <v>11</v>
      </c>
    </row>
    <row r="1065" spans="1:37">
      <c r="A1065">
        <v>257847</v>
      </c>
      <c r="B1065" s="1">
        <v>45366</v>
      </c>
      <c r="C1065" t="s">
        <v>1305</v>
      </c>
      <c r="D1065" t="s">
        <v>1306</v>
      </c>
      <c r="E1065" t="s">
        <v>2</v>
      </c>
      <c r="F1065" t="s">
        <v>1307</v>
      </c>
      <c r="G1065" t="s">
        <v>28</v>
      </c>
      <c r="H1065">
        <v>34233</v>
      </c>
      <c r="I1065" t="s">
        <v>1305</v>
      </c>
      <c r="J1065" t="s">
        <v>1306</v>
      </c>
      <c r="K1065" t="s">
        <v>2</v>
      </c>
      <c r="L1065" t="s">
        <v>1307</v>
      </c>
      <c r="M1065" t="s">
        <v>28</v>
      </c>
      <c r="N1065">
        <v>34233</v>
      </c>
      <c r="O1065" t="s">
        <v>1312</v>
      </c>
      <c r="P1065" t="s">
        <v>1737</v>
      </c>
      <c r="Q1065" t="s">
        <v>21</v>
      </c>
      <c r="R1065">
        <v>415321</v>
      </c>
      <c r="S1065" t="s">
        <v>84</v>
      </c>
      <c r="T1065" s="2">
        <v>247</v>
      </c>
      <c r="U1065">
        <v>0</v>
      </c>
      <c r="V1065" t="s">
        <v>260</v>
      </c>
      <c r="W1065">
        <v>5</v>
      </c>
      <c r="X1065">
        <v>5</v>
      </c>
      <c r="Y1065">
        <v>0</v>
      </c>
      <c r="Z1065" t="s">
        <v>1908</v>
      </c>
      <c r="AA1065" t="s">
        <v>1909</v>
      </c>
      <c r="AB1065" t="s">
        <v>14</v>
      </c>
      <c r="AC1065">
        <v>1.6317999999999999</v>
      </c>
      <c r="AD1065">
        <v>8.16</v>
      </c>
      <c r="AE1065">
        <v>726182083970</v>
      </c>
      <c r="AF1065">
        <v>595.30999999999995</v>
      </c>
      <c r="AG1065">
        <v>0</v>
      </c>
      <c r="AH1065">
        <v>18.34</v>
      </c>
      <c r="AI1065">
        <v>613.65</v>
      </c>
      <c r="AJ1065" t="s">
        <v>2</v>
      </c>
      <c r="AK1065" t="s">
        <v>11</v>
      </c>
    </row>
    <row r="1066" spans="1:37">
      <c r="A1066">
        <v>257847</v>
      </c>
      <c r="B1066" s="1">
        <v>45366</v>
      </c>
      <c r="C1066" t="s">
        <v>1305</v>
      </c>
      <c r="D1066" t="s">
        <v>1306</v>
      </c>
      <c r="E1066" t="s">
        <v>2</v>
      </c>
      <c r="F1066" t="s">
        <v>1307</v>
      </c>
      <c r="G1066" t="s">
        <v>28</v>
      </c>
      <c r="H1066">
        <v>34233</v>
      </c>
      <c r="I1066" t="s">
        <v>1305</v>
      </c>
      <c r="J1066" t="s">
        <v>1306</v>
      </c>
      <c r="K1066" t="s">
        <v>2</v>
      </c>
      <c r="L1066" t="s">
        <v>1307</v>
      </c>
      <c r="M1066" t="s">
        <v>28</v>
      </c>
      <c r="N1066">
        <v>34233</v>
      </c>
      <c r="O1066" t="s">
        <v>1312</v>
      </c>
      <c r="P1066" t="s">
        <v>1737</v>
      </c>
      <c r="Q1066" t="s">
        <v>21</v>
      </c>
      <c r="R1066">
        <v>415321</v>
      </c>
      <c r="S1066" t="s">
        <v>84</v>
      </c>
      <c r="T1066" s="2">
        <v>247</v>
      </c>
      <c r="U1066">
        <v>0</v>
      </c>
      <c r="V1066" t="s">
        <v>260</v>
      </c>
      <c r="W1066">
        <v>0</v>
      </c>
      <c r="X1066">
        <v>0</v>
      </c>
      <c r="Y1066">
        <v>0</v>
      </c>
      <c r="Z1066" t="s">
        <v>88</v>
      </c>
      <c r="AA1066" t="s">
        <v>1732</v>
      </c>
      <c r="AB1066" t="s">
        <v>10</v>
      </c>
      <c r="AC1066">
        <v>0</v>
      </c>
      <c r="AD1066">
        <v>0</v>
      </c>
      <c r="AE1066">
        <v>726182083970</v>
      </c>
      <c r="AF1066">
        <v>595.30999999999995</v>
      </c>
      <c r="AG1066">
        <v>0</v>
      </c>
      <c r="AH1066">
        <v>18.34</v>
      </c>
      <c r="AI1066">
        <v>613.65</v>
      </c>
      <c r="AJ1066" t="s">
        <v>2</v>
      </c>
      <c r="AK1066" t="s">
        <v>11</v>
      </c>
    </row>
    <row r="1067" spans="1:37">
      <c r="A1067">
        <v>257847</v>
      </c>
      <c r="B1067" s="1">
        <v>45366</v>
      </c>
      <c r="C1067" t="s">
        <v>1305</v>
      </c>
      <c r="D1067" t="s">
        <v>1306</v>
      </c>
      <c r="E1067" t="s">
        <v>2</v>
      </c>
      <c r="F1067" t="s">
        <v>1307</v>
      </c>
      <c r="G1067" t="s">
        <v>28</v>
      </c>
      <c r="H1067">
        <v>34233</v>
      </c>
      <c r="I1067" t="s">
        <v>1305</v>
      </c>
      <c r="J1067" t="s">
        <v>1306</v>
      </c>
      <c r="K1067" t="s">
        <v>2</v>
      </c>
      <c r="L1067" t="s">
        <v>1307</v>
      </c>
      <c r="M1067" t="s">
        <v>28</v>
      </c>
      <c r="N1067">
        <v>34233</v>
      </c>
      <c r="O1067" t="s">
        <v>1312</v>
      </c>
      <c r="P1067" t="s">
        <v>1737</v>
      </c>
      <c r="Q1067" t="s">
        <v>21</v>
      </c>
      <c r="R1067">
        <v>415321</v>
      </c>
      <c r="S1067" t="s">
        <v>84</v>
      </c>
      <c r="T1067" s="2">
        <v>247</v>
      </c>
      <c r="U1067">
        <v>0</v>
      </c>
      <c r="V1067" t="s">
        <v>260</v>
      </c>
      <c r="W1067">
        <v>1</v>
      </c>
      <c r="X1067">
        <v>1</v>
      </c>
      <c r="Y1067">
        <v>0</v>
      </c>
      <c r="Z1067" t="s">
        <v>1910</v>
      </c>
      <c r="AA1067" t="s">
        <v>1911</v>
      </c>
      <c r="AB1067" t="s">
        <v>14</v>
      </c>
      <c r="AC1067">
        <v>1.6317999999999999</v>
      </c>
      <c r="AD1067">
        <v>1.63</v>
      </c>
      <c r="AE1067">
        <v>726182083970</v>
      </c>
      <c r="AF1067">
        <v>595.30999999999995</v>
      </c>
      <c r="AG1067">
        <v>0</v>
      </c>
      <c r="AH1067">
        <v>18.34</v>
      </c>
      <c r="AI1067">
        <v>613.65</v>
      </c>
      <c r="AJ1067" t="s">
        <v>2</v>
      </c>
      <c r="AK1067" t="s">
        <v>11</v>
      </c>
    </row>
    <row r="1068" spans="1:37">
      <c r="A1068">
        <v>257847</v>
      </c>
      <c r="B1068" s="1">
        <v>45366</v>
      </c>
      <c r="C1068" t="s">
        <v>1305</v>
      </c>
      <c r="D1068" t="s">
        <v>1306</v>
      </c>
      <c r="E1068" t="s">
        <v>2</v>
      </c>
      <c r="F1068" t="s">
        <v>1307</v>
      </c>
      <c r="G1068" t="s">
        <v>28</v>
      </c>
      <c r="H1068">
        <v>34233</v>
      </c>
      <c r="I1068" t="s">
        <v>1305</v>
      </c>
      <c r="J1068" t="s">
        <v>1306</v>
      </c>
      <c r="K1068" t="s">
        <v>2</v>
      </c>
      <c r="L1068" t="s">
        <v>1307</v>
      </c>
      <c r="M1068" t="s">
        <v>28</v>
      </c>
      <c r="N1068">
        <v>34233</v>
      </c>
      <c r="O1068" t="s">
        <v>1312</v>
      </c>
      <c r="P1068" t="s">
        <v>1737</v>
      </c>
      <c r="Q1068" t="s">
        <v>21</v>
      </c>
      <c r="R1068">
        <v>415321</v>
      </c>
      <c r="S1068" t="s">
        <v>84</v>
      </c>
      <c r="T1068" s="2">
        <v>247</v>
      </c>
      <c r="U1068">
        <v>0</v>
      </c>
      <c r="V1068" t="s">
        <v>260</v>
      </c>
      <c r="W1068">
        <v>0</v>
      </c>
      <c r="X1068">
        <v>0</v>
      </c>
      <c r="Y1068">
        <v>0</v>
      </c>
      <c r="Z1068" t="s">
        <v>88</v>
      </c>
      <c r="AA1068" t="s">
        <v>1732</v>
      </c>
      <c r="AB1068" t="s">
        <v>10</v>
      </c>
      <c r="AC1068">
        <v>0</v>
      </c>
      <c r="AD1068">
        <v>0</v>
      </c>
      <c r="AE1068">
        <v>726182083970</v>
      </c>
      <c r="AF1068">
        <v>595.30999999999995</v>
      </c>
      <c r="AG1068">
        <v>0</v>
      </c>
      <c r="AH1068">
        <v>18.34</v>
      </c>
      <c r="AI1068">
        <v>613.65</v>
      </c>
      <c r="AJ1068" t="s">
        <v>2</v>
      </c>
      <c r="AK1068" t="s">
        <v>11</v>
      </c>
    </row>
    <row r="1069" spans="1:37">
      <c r="A1069">
        <v>257847</v>
      </c>
      <c r="B1069" s="1">
        <v>45366</v>
      </c>
      <c r="C1069" t="s">
        <v>1305</v>
      </c>
      <c r="D1069" t="s">
        <v>1306</v>
      </c>
      <c r="E1069" t="s">
        <v>2</v>
      </c>
      <c r="F1069" t="s">
        <v>1307</v>
      </c>
      <c r="G1069" t="s">
        <v>28</v>
      </c>
      <c r="H1069">
        <v>34233</v>
      </c>
      <c r="I1069" t="s">
        <v>1305</v>
      </c>
      <c r="J1069" t="s">
        <v>1306</v>
      </c>
      <c r="K1069" t="s">
        <v>2</v>
      </c>
      <c r="L1069" t="s">
        <v>1307</v>
      </c>
      <c r="M1069" t="s">
        <v>28</v>
      </c>
      <c r="N1069">
        <v>34233</v>
      </c>
      <c r="O1069" t="s">
        <v>1312</v>
      </c>
      <c r="P1069" t="s">
        <v>1737</v>
      </c>
      <c r="Q1069" t="s">
        <v>21</v>
      </c>
      <c r="R1069">
        <v>415321</v>
      </c>
      <c r="S1069" t="s">
        <v>84</v>
      </c>
      <c r="T1069" s="2">
        <v>247</v>
      </c>
      <c r="U1069">
        <v>0</v>
      </c>
      <c r="V1069" t="s">
        <v>260</v>
      </c>
      <c r="W1069">
        <v>1</v>
      </c>
      <c r="X1069">
        <v>1</v>
      </c>
      <c r="Y1069">
        <v>0</v>
      </c>
      <c r="Z1069" t="s">
        <v>1912</v>
      </c>
      <c r="AA1069" t="s">
        <v>1913</v>
      </c>
      <c r="AB1069" t="s">
        <v>14</v>
      </c>
      <c r="AC1069">
        <v>1.6317999999999999</v>
      </c>
      <c r="AD1069">
        <v>1.63</v>
      </c>
      <c r="AE1069">
        <v>726182083970</v>
      </c>
      <c r="AF1069">
        <v>595.30999999999995</v>
      </c>
      <c r="AG1069">
        <v>0</v>
      </c>
      <c r="AH1069">
        <v>18.34</v>
      </c>
      <c r="AI1069">
        <v>613.65</v>
      </c>
      <c r="AJ1069" t="s">
        <v>2</v>
      </c>
      <c r="AK1069" t="s">
        <v>11</v>
      </c>
    </row>
    <row r="1070" spans="1:37">
      <c r="A1070">
        <v>257847</v>
      </c>
      <c r="B1070" s="1">
        <v>45366</v>
      </c>
      <c r="C1070" t="s">
        <v>1305</v>
      </c>
      <c r="D1070" t="s">
        <v>1306</v>
      </c>
      <c r="E1070" t="s">
        <v>2</v>
      </c>
      <c r="F1070" t="s">
        <v>1307</v>
      </c>
      <c r="G1070" t="s">
        <v>28</v>
      </c>
      <c r="H1070">
        <v>34233</v>
      </c>
      <c r="I1070" t="s">
        <v>1305</v>
      </c>
      <c r="J1070" t="s">
        <v>1306</v>
      </c>
      <c r="K1070" t="s">
        <v>2</v>
      </c>
      <c r="L1070" t="s">
        <v>1307</v>
      </c>
      <c r="M1070" t="s">
        <v>28</v>
      </c>
      <c r="N1070">
        <v>34233</v>
      </c>
      <c r="O1070" t="s">
        <v>1312</v>
      </c>
      <c r="P1070" t="s">
        <v>1737</v>
      </c>
      <c r="Q1070" t="s">
        <v>21</v>
      </c>
      <c r="R1070">
        <v>415321</v>
      </c>
      <c r="S1070" t="s">
        <v>84</v>
      </c>
      <c r="T1070" s="2">
        <v>247</v>
      </c>
      <c r="U1070">
        <v>0</v>
      </c>
      <c r="V1070" t="s">
        <v>260</v>
      </c>
      <c r="W1070">
        <v>0</v>
      </c>
      <c r="X1070">
        <v>0</v>
      </c>
      <c r="Y1070">
        <v>0</v>
      </c>
      <c r="Z1070" t="s">
        <v>88</v>
      </c>
      <c r="AA1070" t="s">
        <v>1732</v>
      </c>
      <c r="AB1070" t="s">
        <v>10</v>
      </c>
      <c r="AC1070">
        <v>0</v>
      </c>
      <c r="AD1070">
        <v>0</v>
      </c>
      <c r="AE1070">
        <v>726182083970</v>
      </c>
      <c r="AF1070">
        <v>595.30999999999995</v>
      </c>
      <c r="AG1070">
        <v>0</v>
      </c>
      <c r="AH1070">
        <v>18.34</v>
      </c>
      <c r="AI1070">
        <v>613.65</v>
      </c>
      <c r="AJ1070" t="s">
        <v>2</v>
      </c>
      <c r="AK1070" t="s">
        <v>11</v>
      </c>
    </row>
    <row r="1071" spans="1:37">
      <c r="A1071">
        <v>257847</v>
      </c>
      <c r="B1071" s="1">
        <v>45366</v>
      </c>
      <c r="C1071" t="s">
        <v>1305</v>
      </c>
      <c r="D1071" t="s">
        <v>1306</v>
      </c>
      <c r="E1071" t="s">
        <v>2</v>
      </c>
      <c r="F1071" t="s">
        <v>1307</v>
      </c>
      <c r="G1071" t="s">
        <v>28</v>
      </c>
      <c r="H1071">
        <v>34233</v>
      </c>
      <c r="I1071" t="s">
        <v>1305</v>
      </c>
      <c r="J1071" t="s">
        <v>1306</v>
      </c>
      <c r="K1071" t="s">
        <v>2</v>
      </c>
      <c r="L1071" t="s">
        <v>1307</v>
      </c>
      <c r="M1071" t="s">
        <v>28</v>
      </c>
      <c r="N1071">
        <v>34233</v>
      </c>
      <c r="O1071" t="s">
        <v>1312</v>
      </c>
      <c r="P1071" t="s">
        <v>1737</v>
      </c>
      <c r="Q1071" t="s">
        <v>21</v>
      </c>
      <c r="R1071">
        <v>415321</v>
      </c>
      <c r="S1071" t="s">
        <v>84</v>
      </c>
      <c r="T1071" s="2">
        <v>247</v>
      </c>
      <c r="U1071">
        <v>0</v>
      </c>
      <c r="V1071" t="s">
        <v>260</v>
      </c>
      <c r="W1071">
        <v>4</v>
      </c>
      <c r="X1071">
        <v>4</v>
      </c>
      <c r="Y1071">
        <v>0</v>
      </c>
      <c r="Z1071" t="s">
        <v>1914</v>
      </c>
      <c r="AA1071" t="s">
        <v>1915</v>
      </c>
      <c r="AB1071" t="s">
        <v>14</v>
      </c>
      <c r="AC1071">
        <v>1.6317999999999999</v>
      </c>
      <c r="AD1071">
        <v>6.53</v>
      </c>
      <c r="AE1071">
        <v>726182083970</v>
      </c>
      <c r="AF1071">
        <v>595.30999999999995</v>
      </c>
      <c r="AG1071">
        <v>0</v>
      </c>
      <c r="AH1071">
        <v>18.34</v>
      </c>
      <c r="AI1071">
        <v>613.65</v>
      </c>
      <c r="AJ1071" t="s">
        <v>2</v>
      </c>
      <c r="AK1071" t="s">
        <v>11</v>
      </c>
    </row>
    <row r="1072" spans="1:37">
      <c r="A1072">
        <v>257847</v>
      </c>
      <c r="B1072" s="1">
        <v>45366</v>
      </c>
      <c r="C1072" t="s">
        <v>1305</v>
      </c>
      <c r="D1072" t="s">
        <v>1306</v>
      </c>
      <c r="E1072" t="s">
        <v>2</v>
      </c>
      <c r="F1072" t="s">
        <v>1307</v>
      </c>
      <c r="G1072" t="s">
        <v>28</v>
      </c>
      <c r="H1072">
        <v>34233</v>
      </c>
      <c r="I1072" t="s">
        <v>1305</v>
      </c>
      <c r="J1072" t="s">
        <v>1306</v>
      </c>
      <c r="K1072" t="s">
        <v>2</v>
      </c>
      <c r="L1072" t="s">
        <v>1307</v>
      </c>
      <c r="M1072" t="s">
        <v>28</v>
      </c>
      <c r="N1072">
        <v>34233</v>
      </c>
      <c r="O1072" t="s">
        <v>1312</v>
      </c>
      <c r="P1072" t="s">
        <v>1737</v>
      </c>
      <c r="Q1072" t="s">
        <v>21</v>
      </c>
      <c r="R1072">
        <v>415321</v>
      </c>
      <c r="S1072" t="s">
        <v>84</v>
      </c>
      <c r="T1072" s="2">
        <v>247</v>
      </c>
      <c r="U1072">
        <v>0</v>
      </c>
      <c r="V1072" t="s">
        <v>260</v>
      </c>
      <c r="W1072">
        <v>0</v>
      </c>
      <c r="X1072">
        <v>0</v>
      </c>
      <c r="Y1072">
        <v>0</v>
      </c>
      <c r="Z1072" t="s">
        <v>88</v>
      </c>
      <c r="AA1072" t="s">
        <v>1732</v>
      </c>
      <c r="AB1072" t="s">
        <v>10</v>
      </c>
      <c r="AC1072">
        <v>0</v>
      </c>
      <c r="AD1072">
        <v>0</v>
      </c>
      <c r="AE1072">
        <v>726182083970</v>
      </c>
      <c r="AF1072">
        <v>595.30999999999995</v>
      </c>
      <c r="AG1072">
        <v>0</v>
      </c>
      <c r="AH1072">
        <v>18.34</v>
      </c>
      <c r="AI1072">
        <v>613.65</v>
      </c>
      <c r="AJ1072" t="s">
        <v>2</v>
      </c>
      <c r="AK1072" t="s">
        <v>11</v>
      </c>
    </row>
    <row r="1073" spans="1:37">
      <c r="A1073">
        <v>257847</v>
      </c>
      <c r="B1073" s="1">
        <v>45366</v>
      </c>
      <c r="C1073" t="s">
        <v>1305</v>
      </c>
      <c r="D1073" t="s">
        <v>1306</v>
      </c>
      <c r="E1073" t="s">
        <v>2</v>
      </c>
      <c r="F1073" t="s">
        <v>1307</v>
      </c>
      <c r="G1073" t="s">
        <v>28</v>
      </c>
      <c r="H1073">
        <v>34233</v>
      </c>
      <c r="I1073" t="s">
        <v>1305</v>
      </c>
      <c r="J1073" t="s">
        <v>1306</v>
      </c>
      <c r="K1073" t="s">
        <v>2</v>
      </c>
      <c r="L1073" t="s">
        <v>1307</v>
      </c>
      <c r="M1073" t="s">
        <v>28</v>
      </c>
      <c r="N1073">
        <v>34233</v>
      </c>
      <c r="O1073" t="s">
        <v>1312</v>
      </c>
      <c r="P1073" t="s">
        <v>1737</v>
      </c>
      <c r="Q1073" t="s">
        <v>21</v>
      </c>
      <c r="R1073">
        <v>415321</v>
      </c>
      <c r="S1073" t="s">
        <v>84</v>
      </c>
      <c r="T1073" s="2">
        <v>247</v>
      </c>
      <c r="U1073">
        <v>0</v>
      </c>
      <c r="V1073" t="s">
        <v>260</v>
      </c>
      <c r="W1073">
        <v>1</v>
      </c>
      <c r="X1073">
        <v>1</v>
      </c>
      <c r="Y1073">
        <v>0</v>
      </c>
      <c r="Z1073" t="s">
        <v>1916</v>
      </c>
      <c r="AA1073" t="s">
        <v>1917</v>
      </c>
      <c r="AB1073" t="s">
        <v>14</v>
      </c>
      <c r="AC1073">
        <v>1.6317999999999999</v>
      </c>
      <c r="AD1073">
        <v>1.63</v>
      </c>
      <c r="AE1073">
        <v>726182083970</v>
      </c>
      <c r="AF1073">
        <v>595.30999999999995</v>
      </c>
      <c r="AG1073">
        <v>0</v>
      </c>
      <c r="AH1073">
        <v>18.34</v>
      </c>
      <c r="AI1073">
        <v>613.65</v>
      </c>
      <c r="AJ1073" t="s">
        <v>2</v>
      </c>
      <c r="AK1073" t="s">
        <v>11</v>
      </c>
    </row>
    <row r="1074" spans="1:37">
      <c r="A1074">
        <v>257847</v>
      </c>
      <c r="B1074" s="1">
        <v>45366</v>
      </c>
      <c r="C1074" t="s">
        <v>1305</v>
      </c>
      <c r="D1074" t="s">
        <v>1306</v>
      </c>
      <c r="E1074" t="s">
        <v>2</v>
      </c>
      <c r="F1074" t="s">
        <v>1307</v>
      </c>
      <c r="G1074" t="s">
        <v>28</v>
      </c>
      <c r="H1074">
        <v>34233</v>
      </c>
      <c r="I1074" t="s">
        <v>1305</v>
      </c>
      <c r="J1074" t="s">
        <v>1306</v>
      </c>
      <c r="K1074" t="s">
        <v>2</v>
      </c>
      <c r="L1074" t="s">
        <v>1307</v>
      </c>
      <c r="M1074" t="s">
        <v>28</v>
      </c>
      <c r="N1074">
        <v>34233</v>
      </c>
      <c r="O1074" t="s">
        <v>1312</v>
      </c>
      <c r="P1074" t="s">
        <v>1737</v>
      </c>
      <c r="Q1074" t="s">
        <v>21</v>
      </c>
      <c r="R1074">
        <v>415321</v>
      </c>
      <c r="S1074" t="s">
        <v>84</v>
      </c>
      <c r="T1074" s="2">
        <v>247</v>
      </c>
      <c r="U1074">
        <v>0</v>
      </c>
      <c r="V1074" t="s">
        <v>260</v>
      </c>
      <c r="W1074">
        <v>0</v>
      </c>
      <c r="X1074">
        <v>0</v>
      </c>
      <c r="Y1074">
        <v>0</v>
      </c>
      <c r="Z1074" t="s">
        <v>88</v>
      </c>
      <c r="AA1074" t="s">
        <v>1732</v>
      </c>
      <c r="AB1074" t="s">
        <v>10</v>
      </c>
      <c r="AC1074">
        <v>0</v>
      </c>
      <c r="AD1074">
        <v>0</v>
      </c>
      <c r="AE1074">
        <v>726182083970</v>
      </c>
      <c r="AF1074">
        <v>595.30999999999995</v>
      </c>
      <c r="AG1074">
        <v>0</v>
      </c>
      <c r="AH1074">
        <v>18.34</v>
      </c>
      <c r="AI1074">
        <v>613.65</v>
      </c>
      <c r="AJ1074" t="s">
        <v>2</v>
      </c>
      <c r="AK1074" t="s">
        <v>11</v>
      </c>
    </row>
    <row r="1075" spans="1:37">
      <c r="A1075">
        <v>257847</v>
      </c>
      <c r="B1075" s="1">
        <v>45366</v>
      </c>
      <c r="C1075" t="s">
        <v>1305</v>
      </c>
      <c r="D1075" t="s">
        <v>1306</v>
      </c>
      <c r="E1075" t="s">
        <v>2</v>
      </c>
      <c r="F1075" t="s">
        <v>1307</v>
      </c>
      <c r="G1075" t="s">
        <v>28</v>
      </c>
      <c r="H1075">
        <v>34233</v>
      </c>
      <c r="I1075" t="s">
        <v>1305</v>
      </c>
      <c r="J1075" t="s">
        <v>1306</v>
      </c>
      <c r="K1075" t="s">
        <v>2</v>
      </c>
      <c r="L1075" t="s">
        <v>1307</v>
      </c>
      <c r="M1075" t="s">
        <v>28</v>
      </c>
      <c r="N1075">
        <v>34233</v>
      </c>
      <c r="O1075" t="s">
        <v>1312</v>
      </c>
      <c r="P1075" t="s">
        <v>1737</v>
      </c>
      <c r="Q1075" t="s">
        <v>21</v>
      </c>
      <c r="R1075">
        <v>415321</v>
      </c>
      <c r="S1075" t="s">
        <v>84</v>
      </c>
      <c r="T1075" s="2">
        <v>247</v>
      </c>
      <c r="U1075">
        <v>0</v>
      </c>
      <c r="V1075" t="s">
        <v>260</v>
      </c>
      <c r="W1075">
        <v>2</v>
      </c>
      <c r="X1075">
        <v>0</v>
      </c>
      <c r="Y1075">
        <v>2</v>
      </c>
      <c r="Z1075" t="s">
        <v>1918</v>
      </c>
      <c r="AA1075" t="s">
        <v>1919</v>
      </c>
      <c r="AB1075" t="s">
        <v>14</v>
      </c>
      <c r="AC1075">
        <v>1.6317999999999999</v>
      </c>
      <c r="AD1075">
        <v>0</v>
      </c>
      <c r="AE1075">
        <v>726182083970</v>
      </c>
      <c r="AF1075">
        <v>595.30999999999995</v>
      </c>
      <c r="AG1075">
        <v>0</v>
      </c>
      <c r="AH1075">
        <v>18.34</v>
      </c>
      <c r="AI1075">
        <v>613.65</v>
      </c>
      <c r="AJ1075" t="s">
        <v>2</v>
      </c>
      <c r="AK1075" t="s">
        <v>11</v>
      </c>
    </row>
    <row r="1076" spans="1:37">
      <c r="A1076">
        <v>257847</v>
      </c>
      <c r="B1076" s="1">
        <v>45366</v>
      </c>
      <c r="C1076" t="s">
        <v>1305</v>
      </c>
      <c r="D1076" t="s">
        <v>1306</v>
      </c>
      <c r="E1076" t="s">
        <v>2</v>
      </c>
      <c r="F1076" t="s">
        <v>1307</v>
      </c>
      <c r="G1076" t="s">
        <v>28</v>
      </c>
      <c r="H1076">
        <v>34233</v>
      </c>
      <c r="I1076" t="s">
        <v>1305</v>
      </c>
      <c r="J1076" t="s">
        <v>1306</v>
      </c>
      <c r="K1076" t="s">
        <v>2</v>
      </c>
      <c r="L1076" t="s">
        <v>1307</v>
      </c>
      <c r="M1076" t="s">
        <v>28</v>
      </c>
      <c r="N1076">
        <v>34233</v>
      </c>
      <c r="O1076" t="s">
        <v>1312</v>
      </c>
      <c r="P1076" t="s">
        <v>1737</v>
      </c>
      <c r="Q1076" t="s">
        <v>21</v>
      </c>
      <c r="R1076">
        <v>415321</v>
      </c>
      <c r="S1076" t="s">
        <v>84</v>
      </c>
      <c r="T1076" s="2">
        <v>247</v>
      </c>
      <c r="U1076">
        <v>0</v>
      </c>
      <c r="V1076" t="s">
        <v>260</v>
      </c>
      <c r="W1076">
        <v>0</v>
      </c>
      <c r="X1076">
        <v>0</v>
      </c>
      <c r="Y1076">
        <v>0</v>
      </c>
      <c r="Z1076" t="s">
        <v>88</v>
      </c>
      <c r="AA1076" t="s">
        <v>1732</v>
      </c>
      <c r="AB1076" t="s">
        <v>10</v>
      </c>
      <c r="AC1076">
        <v>0</v>
      </c>
      <c r="AD1076">
        <v>0</v>
      </c>
      <c r="AE1076">
        <v>726182083970</v>
      </c>
      <c r="AF1076">
        <v>595.30999999999995</v>
      </c>
      <c r="AG1076">
        <v>0</v>
      </c>
      <c r="AH1076">
        <v>18.34</v>
      </c>
      <c r="AI1076">
        <v>613.65</v>
      </c>
      <c r="AJ1076" t="s">
        <v>2</v>
      </c>
      <c r="AK1076" t="s">
        <v>11</v>
      </c>
    </row>
    <row r="1077" spans="1:37">
      <c r="A1077">
        <v>257847</v>
      </c>
      <c r="B1077" s="1">
        <v>45366</v>
      </c>
      <c r="C1077" t="s">
        <v>1305</v>
      </c>
      <c r="D1077" t="s">
        <v>1306</v>
      </c>
      <c r="E1077" t="s">
        <v>2</v>
      </c>
      <c r="F1077" t="s">
        <v>1307</v>
      </c>
      <c r="G1077" t="s">
        <v>28</v>
      </c>
      <c r="H1077">
        <v>34233</v>
      </c>
      <c r="I1077" t="s">
        <v>1305</v>
      </c>
      <c r="J1077" t="s">
        <v>1306</v>
      </c>
      <c r="K1077" t="s">
        <v>2</v>
      </c>
      <c r="L1077" t="s">
        <v>1307</v>
      </c>
      <c r="M1077" t="s">
        <v>28</v>
      </c>
      <c r="N1077">
        <v>34233</v>
      </c>
      <c r="O1077" t="s">
        <v>1312</v>
      </c>
      <c r="P1077" t="s">
        <v>1737</v>
      </c>
      <c r="Q1077" t="s">
        <v>21</v>
      </c>
      <c r="R1077">
        <v>415321</v>
      </c>
      <c r="S1077" t="s">
        <v>84</v>
      </c>
      <c r="T1077" s="2">
        <v>247</v>
      </c>
      <c r="U1077">
        <v>0</v>
      </c>
      <c r="V1077" t="s">
        <v>260</v>
      </c>
      <c r="W1077">
        <v>1</v>
      </c>
      <c r="X1077">
        <v>1</v>
      </c>
      <c r="Y1077">
        <v>0</v>
      </c>
      <c r="Z1077" t="s">
        <v>1920</v>
      </c>
      <c r="AA1077" t="s">
        <v>1921</v>
      </c>
      <c r="AB1077" t="s">
        <v>14</v>
      </c>
      <c r="AC1077">
        <v>1.6317999999999999</v>
      </c>
      <c r="AD1077">
        <v>1.63</v>
      </c>
      <c r="AE1077">
        <v>726182083970</v>
      </c>
      <c r="AF1077">
        <v>595.30999999999995</v>
      </c>
      <c r="AG1077">
        <v>0</v>
      </c>
      <c r="AH1077">
        <v>18.34</v>
      </c>
      <c r="AI1077">
        <v>613.65</v>
      </c>
      <c r="AJ1077" t="s">
        <v>2</v>
      </c>
      <c r="AK1077" t="s">
        <v>11</v>
      </c>
    </row>
    <row r="1078" spans="1:37">
      <c r="A1078">
        <v>257847</v>
      </c>
      <c r="B1078" s="1">
        <v>45366</v>
      </c>
      <c r="C1078" t="s">
        <v>1305</v>
      </c>
      <c r="D1078" t="s">
        <v>1306</v>
      </c>
      <c r="E1078" t="s">
        <v>2</v>
      </c>
      <c r="F1078" t="s">
        <v>1307</v>
      </c>
      <c r="G1078" t="s">
        <v>28</v>
      </c>
      <c r="H1078">
        <v>34233</v>
      </c>
      <c r="I1078" t="s">
        <v>1305</v>
      </c>
      <c r="J1078" t="s">
        <v>1306</v>
      </c>
      <c r="K1078" t="s">
        <v>2</v>
      </c>
      <c r="L1078" t="s">
        <v>1307</v>
      </c>
      <c r="M1078" t="s">
        <v>28</v>
      </c>
      <c r="N1078">
        <v>34233</v>
      </c>
      <c r="O1078" t="s">
        <v>1312</v>
      </c>
      <c r="P1078" t="s">
        <v>1737</v>
      </c>
      <c r="Q1078" t="s">
        <v>21</v>
      </c>
      <c r="R1078">
        <v>415321</v>
      </c>
      <c r="S1078" t="s">
        <v>84</v>
      </c>
      <c r="T1078" s="2">
        <v>247</v>
      </c>
      <c r="U1078">
        <v>0</v>
      </c>
      <c r="V1078" t="s">
        <v>260</v>
      </c>
      <c r="W1078">
        <v>0</v>
      </c>
      <c r="X1078">
        <v>0</v>
      </c>
      <c r="Y1078">
        <v>0</v>
      </c>
      <c r="Z1078" t="s">
        <v>88</v>
      </c>
      <c r="AA1078" t="s">
        <v>1732</v>
      </c>
      <c r="AB1078" t="s">
        <v>10</v>
      </c>
      <c r="AC1078">
        <v>0</v>
      </c>
      <c r="AD1078">
        <v>0</v>
      </c>
      <c r="AE1078">
        <v>726182083970</v>
      </c>
      <c r="AF1078">
        <v>595.30999999999995</v>
      </c>
      <c r="AG1078">
        <v>0</v>
      </c>
      <c r="AH1078">
        <v>18.34</v>
      </c>
      <c r="AI1078">
        <v>613.65</v>
      </c>
      <c r="AJ1078" t="s">
        <v>2</v>
      </c>
      <c r="AK1078" t="s">
        <v>11</v>
      </c>
    </row>
    <row r="1079" spans="1:37">
      <c r="A1079">
        <v>257847</v>
      </c>
      <c r="B1079" s="1">
        <v>45366</v>
      </c>
      <c r="C1079" t="s">
        <v>1305</v>
      </c>
      <c r="D1079" t="s">
        <v>1306</v>
      </c>
      <c r="E1079" t="s">
        <v>2</v>
      </c>
      <c r="F1079" t="s">
        <v>1307</v>
      </c>
      <c r="G1079" t="s">
        <v>28</v>
      </c>
      <c r="H1079">
        <v>34233</v>
      </c>
      <c r="I1079" t="s">
        <v>1305</v>
      </c>
      <c r="J1079" t="s">
        <v>1306</v>
      </c>
      <c r="K1079" t="s">
        <v>2</v>
      </c>
      <c r="L1079" t="s">
        <v>1307</v>
      </c>
      <c r="M1079" t="s">
        <v>28</v>
      </c>
      <c r="N1079">
        <v>34233</v>
      </c>
      <c r="O1079" t="s">
        <v>1312</v>
      </c>
      <c r="P1079" t="s">
        <v>1737</v>
      </c>
      <c r="Q1079" t="s">
        <v>21</v>
      </c>
      <c r="R1079">
        <v>415321</v>
      </c>
      <c r="S1079" t="s">
        <v>84</v>
      </c>
      <c r="T1079" s="2">
        <v>247</v>
      </c>
      <c r="U1079">
        <v>0</v>
      </c>
      <c r="V1079" t="s">
        <v>260</v>
      </c>
      <c r="W1079">
        <v>1</v>
      </c>
      <c r="X1079">
        <v>1</v>
      </c>
      <c r="Y1079">
        <v>0</v>
      </c>
      <c r="Z1079" t="s">
        <v>1922</v>
      </c>
      <c r="AA1079" t="s">
        <v>1923</v>
      </c>
      <c r="AB1079" t="s">
        <v>14</v>
      </c>
      <c r="AC1079">
        <v>1.6317999999999999</v>
      </c>
      <c r="AD1079">
        <v>1.63</v>
      </c>
      <c r="AE1079">
        <v>726182083970</v>
      </c>
      <c r="AF1079">
        <v>595.30999999999995</v>
      </c>
      <c r="AG1079">
        <v>0</v>
      </c>
      <c r="AH1079">
        <v>18.34</v>
      </c>
      <c r="AI1079">
        <v>613.65</v>
      </c>
      <c r="AJ1079" t="s">
        <v>2</v>
      </c>
      <c r="AK1079" t="s">
        <v>11</v>
      </c>
    </row>
    <row r="1080" spans="1:37">
      <c r="A1080">
        <v>257847</v>
      </c>
      <c r="B1080" s="1">
        <v>45366</v>
      </c>
      <c r="C1080" t="s">
        <v>1305</v>
      </c>
      <c r="D1080" t="s">
        <v>1306</v>
      </c>
      <c r="E1080" t="s">
        <v>2</v>
      </c>
      <c r="F1080" t="s">
        <v>1307</v>
      </c>
      <c r="G1080" t="s">
        <v>28</v>
      </c>
      <c r="H1080">
        <v>34233</v>
      </c>
      <c r="I1080" t="s">
        <v>1305</v>
      </c>
      <c r="J1080" t="s">
        <v>1306</v>
      </c>
      <c r="K1080" t="s">
        <v>2</v>
      </c>
      <c r="L1080" t="s">
        <v>1307</v>
      </c>
      <c r="M1080" t="s">
        <v>28</v>
      </c>
      <c r="N1080">
        <v>34233</v>
      </c>
      <c r="O1080" t="s">
        <v>1312</v>
      </c>
      <c r="P1080" t="s">
        <v>1737</v>
      </c>
      <c r="Q1080" t="s">
        <v>21</v>
      </c>
      <c r="R1080">
        <v>415321</v>
      </c>
      <c r="S1080" t="s">
        <v>84</v>
      </c>
      <c r="T1080" s="2">
        <v>247</v>
      </c>
      <c r="U1080">
        <v>0</v>
      </c>
      <c r="V1080" t="s">
        <v>260</v>
      </c>
      <c r="W1080">
        <v>0</v>
      </c>
      <c r="X1080">
        <v>0</v>
      </c>
      <c r="Y1080">
        <v>0</v>
      </c>
      <c r="Z1080" t="s">
        <v>88</v>
      </c>
      <c r="AA1080" t="s">
        <v>1732</v>
      </c>
      <c r="AB1080" t="s">
        <v>10</v>
      </c>
      <c r="AC1080">
        <v>0</v>
      </c>
      <c r="AD1080">
        <v>0</v>
      </c>
      <c r="AE1080">
        <v>726182083970</v>
      </c>
      <c r="AF1080">
        <v>595.30999999999995</v>
      </c>
      <c r="AG1080">
        <v>0</v>
      </c>
      <c r="AH1080">
        <v>18.34</v>
      </c>
      <c r="AI1080">
        <v>613.65</v>
      </c>
      <c r="AJ1080" t="s">
        <v>2</v>
      </c>
      <c r="AK1080" t="s">
        <v>11</v>
      </c>
    </row>
    <row r="1081" spans="1:37">
      <c r="A1081">
        <v>257847</v>
      </c>
      <c r="B1081" s="1">
        <v>45366</v>
      </c>
      <c r="C1081" t="s">
        <v>1305</v>
      </c>
      <c r="D1081" t="s">
        <v>1306</v>
      </c>
      <c r="E1081" t="s">
        <v>2</v>
      </c>
      <c r="F1081" t="s">
        <v>1307</v>
      </c>
      <c r="G1081" t="s">
        <v>28</v>
      </c>
      <c r="H1081">
        <v>34233</v>
      </c>
      <c r="I1081" t="s">
        <v>1305</v>
      </c>
      <c r="J1081" t="s">
        <v>1306</v>
      </c>
      <c r="K1081" t="s">
        <v>2</v>
      </c>
      <c r="L1081" t="s">
        <v>1307</v>
      </c>
      <c r="M1081" t="s">
        <v>28</v>
      </c>
      <c r="N1081">
        <v>34233</v>
      </c>
      <c r="O1081" t="s">
        <v>1312</v>
      </c>
      <c r="P1081" t="s">
        <v>1737</v>
      </c>
      <c r="Q1081" t="s">
        <v>21</v>
      </c>
      <c r="R1081">
        <v>415321</v>
      </c>
      <c r="S1081" t="s">
        <v>84</v>
      </c>
      <c r="T1081" s="2">
        <v>247</v>
      </c>
      <c r="U1081">
        <v>0</v>
      </c>
      <c r="V1081" t="s">
        <v>260</v>
      </c>
      <c r="W1081">
        <v>1</v>
      </c>
      <c r="X1081">
        <v>1</v>
      </c>
      <c r="Y1081">
        <v>0</v>
      </c>
      <c r="Z1081" t="s">
        <v>1924</v>
      </c>
      <c r="AA1081" t="s">
        <v>1925</v>
      </c>
      <c r="AB1081" t="s">
        <v>14</v>
      </c>
      <c r="AC1081">
        <v>1.6317999999999999</v>
      </c>
      <c r="AD1081">
        <v>1.63</v>
      </c>
      <c r="AE1081">
        <v>726182083970</v>
      </c>
      <c r="AF1081">
        <v>595.30999999999995</v>
      </c>
      <c r="AG1081">
        <v>0</v>
      </c>
      <c r="AH1081">
        <v>18.34</v>
      </c>
      <c r="AI1081">
        <v>613.65</v>
      </c>
      <c r="AJ1081" t="s">
        <v>2</v>
      </c>
      <c r="AK1081" t="s">
        <v>11</v>
      </c>
    </row>
    <row r="1082" spans="1:37">
      <c r="A1082">
        <v>257847</v>
      </c>
      <c r="B1082" s="1">
        <v>45366</v>
      </c>
      <c r="C1082" t="s">
        <v>1305</v>
      </c>
      <c r="D1082" t="s">
        <v>1306</v>
      </c>
      <c r="E1082" t="s">
        <v>2</v>
      </c>
      <c r="F1082" t="s">
        <v>1307</v>
      </c>
      <c r="G1082" t="s">
        <v>28</v>
      </c>
      <c r="H1082">
        <v>34233</v>
      </c>
      <c r="I1082" t="s">
        <v>1305</v>
      </c>
      <c r="J1082" t="s">
        <v>1306</v>
      </c>
      <c r="K1082" t="s">
        <v>2</v>
      </c>
      <c r="L1082" t="s">
        <v>1307</v>
      </c>
      <c r="M1082" t="s">
        <v>28</v>
      </c>
      <c r="N1082">
        <v>34233</v>
      </c>
      <c r="O1082" t="s">
        <v>1312</v>
      </c>
      <c r="P1082" t="s">
        <v>1737</v>
      </c>
      <c r="Q1082" t="s">
        <v>21</v>
      </c>
      <c r="R1082">
        <v>415321</v>
      </c>
      <c r="S1082" t="s">
        <v>84</v>
      </c>
      <c r="T1082" s="2">
        <v>247</v>
      </c>
      <c r="U1082">
        <v>0</v>
      </c>
      <c r="V1082" t="s">
        <v>260</v>
      </c>
      <c r="W1082">
        <v>0</v>
      </c>
      <c r="X1082">
        <v>0</v>
      </c>
      <c r="Y1082">
        <v>0</v>
      </c>
      <c r="Z1082" t="s">
        <v>88</v>
      </c>
      <c r="AA1082" t="s">
        <v>1732</v>
      </c>
      <c r="AB1082" t="s">
        <v>10</v>
      </c>
      <c r="AC1082">
        <v>0</v>
      </c>
      <c r="AD1082">
        <v>0</v>
      </c>
      <c r="AE1082">
        <v>726182083970</v>
      </c>
      <c r="AF1082">
        <v>595.30999999999995</v>
      </c>
      <c r="AG1082">
        <v>0</v>
      </c>
      <c r="AH1082">
        <v>18.34</v>
      </c>
      <c r="AI1082">
        <v>613.65</v>
      </c>
      <c r="AJ1082" t="s">
        <v>2</v>
      </c>
      <c r="AK1082" t="s">
        <v>11</v>
      </c>
    </row>
    <row r="1083" spans="1:37">
      <c r="A1083">
        <v>257847</v>
      </c>
      <c r="B1083" s="1">
        <v>45366</v>
      </c>
      <c r="C1083" t="s">
        <v>1305</v>
      </c>
      <c r="D1083" t="s">
        <v>1306</v>
      </c>
      <c r="E1083" t="s">
        <v>2</v>
      </c>
      <c r="F1083" t="s">
        <v>1307</v>
      </c>
      <c r="G1083" t="s">
        <v>28</v>
      </c>
      <c r="H1083">
        <v>34233</v>
      </c>
      <c r="I1083" t="s">
        <v>1305</v>
      </c>
      <c r="J1083" t="s">
        <v>1306</v>
      </c>
      <c r="K1083" t="s">
        <v>2</v>
      </c>
      <c r="L1083" t="s">
        <v>1307</v>
      </c>
      <c r="M1083" t="s">
        <v>28</v>
      </c>
      <c r="N1083">
        <v>34233</v>
      </c>
      <c r="O1083" t="s">
        <v>1312</v>
      </c>
      <c r="P1083" t="s">
        <v>1737</v>
      </c>
      <c r="Q1083" t="s">
        <v>21</v>
      </c>
      <c r="R1083">
        <v>415321</v>
      </c>
      <c r="S1083" t="s">
        <v>84</v>
      </c>
      <c r="T1083" s="2">
        <v>247</v>
      </c>
      <c r="U1083">
        <v>0</v>
      </c>
      <c r="V1083" t="s">
        <v>260</v>
      </c>
      <c r="W1083">
        <v>3</v>
      </c>
      <c r="X1083">
        <v>3</v>
      </c>
      <c r="Y1083">
        <v>0</v>
      </c>
      <c r="Z1083" t="s">
        <v>1926</v>
      </c>
      <c r="AA1083" t="s">
        <v>1927</v>
      </c>
      <c r="AB1083" t="s">
        <v>14</v>
      </c>
      <c r="AC1083">
        <v>1.6317999999999999</v>
      </c>
      <c r="AD1083">
        <v>4.9000000000000004</v>
      </c>
      <c r="AE1083">
        <v>726182083970</v>
      </c>
      <c r="AF1083">
        <v>595.30999999999995</v>
      </c>
      <c r="AG1083">
        <v>0</v>
      </c>
      <c r="AH1083">
        <v>18.34</v>
      </c>
      <c r="AI1083">
        <v>613.65</v>
      </c>
      <c r="AJ1083" t="s">
        <v>2</v>
      </c>
      <c r="AK1083" t="s">
        <v>11</v>
      </c>
    </row>
    <row r="1084" spans="1:37">
      <c r="A1084">
        <v>257847</v>
      </c>
      <c r="B1084" s="1">
        <v>45366</v>
      </c>
      <c r="C1084" t="s">
        <v>1305</v>
      </c>
      <c r="D1084" t="s">
        <v>1306</v>
      </c>
      <c r="E1084" t="s">
        <v>2</v>
      </c>
      <c r="F1084" t="s">
        <v>1307</v>
      </c>
      <c r="G1084" t="s">
        <v>28</v>
      </c>
      <c r="H1084">
        <v>34233</v>
      </c>
      <c r="I1084" t="s">
        <v>1305</v>
      </c>
      <c r="J1084" t="s">
        <v>1306</v>
      </c>
      <c r="K1084" t="s">
        <v>2</v>
      </c>
      <c r="L1084" t="s">
        <v>1307</v>
      </c>
      <c r="M1084" t="s">
        <v>28</v>
      </c>
      <c r="N1084">
        <v>34233</v>
      </c>
      <c r="O1084" t="s">
        <v>1312</v>
      </c>
      <c r="P1084" t="s">
        <v>1737</v>
      </c>
      <c r="Q1084" t="s">
        <v>21</v>
      </c>
      <c r="R1084">
        <v>415321</v>
      </c>
      <c r="S1084" t="s">
        <v>84</v>
      </c>
      <c r="T1084" s="2">
        <v>247</v>
      </c>
      <c r="U1084">
        <v>0</v>
      </c>
      <c r="V1084" t="s">
        <v>260</v>
      </c>
      <c r="W1084">
        <v>0</v>
      </c>
      <c r="X1084">
        <v>0</v>
      </c>
      <c r="Y1084">
        <v>0</v>
      </c>
      <c r="Z1084" t="s">
        <v>88</v>
      </c>
      <c r="AA1084" t="s">
        <v>1732</v>
      </c>
      <c r="AB1084" t="s">
        <v>10</v>
      </c>
      <c r="AC1084">
        <v>0</v>
      </c>
      <c r="AD1084">
        <v>0</v>
      </c>
      <c r="AE1084">
        <v>726182083970</v>
      </c>
      <c r="AF1084">
        <v>595.30999999999995</v>
      </c>
      <c r="AG1084">
        <v>0</v>
      </c>
      <c r="AH1084">
        <v>18.34</v>
      </c>
      <c r="AI1084">
        <v>613.65</v>
      </c>
      <c r="AJ1084" t="s">
        <v>2</v>
      </c>
      <c r="AK1084" t="s">
        <v>11</v>
      </c>
    </row>
    <row r="1085" spans="1:37">
      <c r="A1085">
        <v>257847</v>
      </c>
      <c r="B1085" s="1">
        <v>45366</v>
      </c>
      <c r="C1085" t="s">
        <v>1305</v>
      </c>
      <c r="D1085" t="s">
        <v>1306</v>
      </c>
      <c r="E1085" t="s">
        <v>2</v>
      </c>
      <c r="F1085" t="s">
        <v>1307</v>
      </c>
      <c r="G1085" t="s">
        <v>28</v>
      </c>
      <c r="H1085">
        <v>34233</v>
      </c>
      <c r="I1085" t="s">
        <v>1305</v>
      </c>
      <c r="J1085" t="s">
        <v>1306</v>
      </c>
      <c r="K1085" t="s">
        <v>2</v>
      </c>
      <c r="L1085" t="s">
        <v>1307</v>
      </c>
      <c r="M1085" t="s">
        <v>28</v>
      </c>
      <c r="N1085">
        <v>34233</v>
      </c>
      <c r="O1085" t="s">
        <v>1312</v>
      </c>
      <c r="P1085" t="s">
        <v>1737</v>
      </c>
      <c r="Q1085" t="s">
        <v>21</v>
      </c>
      <c r="R1085">
        <v>415321</v>
      </c>
      <c r="S1085" t="s">
        <v>84</v>
      </c>
      <c r="T1085" s="2">
        <v>247</v>
      </c>
      <c r="U1085">
        <v>0</v>
      </c>
      <c r="V1085" t="s">
        <v>260</v>
      </c>
      <c r="W1085">
        <v>1</v>
      </c>
      <c r="X1085">
        <v>1</v>
      </c>
      <c r="Y1085">
        <v>0</v>
      </c>
      <c r="Z1085" t="s">
        <v>1928</v>
      </c>
      <c r="AA1085" t="s">
        <v>1929</v>
      </c>
      <c r="AB1085" t="s">
        <v>14</v>
      </c>
      <c r="AC1085">
        <v>1.6317999999999999</v>
      </c>
      <c r="AD1085">
        <v>1.63</v>
      </c>
      <c r="AE1085">
        <v>726182083970</v>
      </c>
      <c r="AF1085">
        <v>595.30999999999995</v>
      </c>
      <c r="AG1085">
        <v>0</v>
      </c>
      <c r="AH1085">
        <v>18.34</v>
      </c>
      <c r="AI1085">
        <v>613.65</v>
      </c>
      <c r="AJ1085" t="s">
        <v>2</v>
      </c>
      <c r="AK1085" t="s">
        <v>11</v>
      </c>
    </row>
    <row r="1086" spans="1:37">
      <c r="A1086">
        <v>257847</v>
      </c>
      <c r="B1086" s="1">
        <v>45366</v>
      </c>
      <c r="C1086" t="s">
        <v>1305</v>
      </c>
      <c r="D1086" t="s">
        <v>1306</v>
      </c>
      <c r="E1086" t="s">
        <v>2</v>
      </c>
      <c r="F1086" t="s">
        <v>1307</v>
      </c>
      <c r="G1086" t="s">
        <v>28</v>
      </c>
      <c r="H1086">
        <v>34233</v>
      </c>
      <c r="I1086" t="s">
        <v>1305</v>
      </c>
      <c r="J1086" t="s">
        <v>1306</v>
      </c>
      <c r="K1086" t="s">
        <v>2</v>
      </c>
      <c r="L1086" t="s">
        <v>1307</v>
      </c>
      <c r="M1086" t="s">
        <v>28</v>
      </c>
      <c r="N1086">
        <v>34233</v>
      </c>
      <c r="O1086" t="s">
        <v>1312</v>
      </c>
      <c r="P1086" t="s">
        <v>1737</v>
      </c>
      <c r="Q1086" t="s">
        <v>21</v>
      </c>
      <c r="R1086">
        <v>415321</v>
      </c>
      <c r="S1086" t="s">
        <v>84</v>
      </c>
      <c r="T1086" s="2">
        <v>247</v>
      </c>
      <c r="U1086">
        <v>0</v>
      </c>
      <c r="V1086" t="s">
        <v>260</v>
      </c>
      <c r="W1086">
        <v>0</v>
      </c>
      <c r="X1086">
        <v>0</v>
      </c>
      <c r="Y1086">
        <v>0</v>
      </c>
      <c r="Z1086" t="s">
        <v>88</v>
      </c>
      <c r="AA1086" t="s">
        <v>1732</v>
      </c>
      <c r="AB1086" t="s">
        <v>10</v>
      </c>
      <c r="AC1086">
        <v>0</v>
      </c>
      <c r="AD1086">
        <v>0</v>
      </c>
      <c r="AE1086">
        <v>726182083970</v>
      </c>
      <c r="AF1086">
        <v>595.30999999999995</v>
      </c>
      <c r="AG1086">
        <v>0</v>
      </c>
      <c r="AH1086">
        <v>18.34</v>
      </c>
      <c r="AI1086">
        <v>613.65</v>
      </c>
      <c r="AJ1086" t="s">
        <v>2</v>
      </c>
      <c r="AK1086" t="s">
        <v>11</v>
      </c>
    </row>
    <row r="1087" spans="1:37">
      <c r="A1087">
        <v>257847</v>
      </c>
      <c r="B1087" s="1">
        <v>45366</v>
      </c>
      <c r="C1087" t="s">
        <v>1305</v>
      </c>
      <c r="D1087" t="s">
        <v>1306</v>
      </c>
      <c r="E1087" t="s">
        <v>2</v>
      </c>
      <c r="F1087" t="s">
        <v>1307</v>
      </c>
      <c r="G1087" t="s">
        <v>28</v>
      </c>
      <c r="H1087">
        <v>34233</v>
      </c>
      <c r="I1087" t="s">
        <v>1305</v>
      </c>
      <c r="J1087" t="s">
        <v>1306</v>
      </c>
      <c r="K1087" t="s">
        <v>2</v>
      </c>
      <c r="L1087" t="s">
        <v>1307</v>
      </c>
      <c r="M1087" t="s">
        <v>28</v>
      </c>
      <c r="N1087">
        <v>34233</v>
      </c>
      <c r="O1087" t="s">
        <v>1312</v>
      </c>
      <c r="P1087" t="s">
        <v>1737</v>
      </c>
      <c r="Q1087" t="s">
        <v>21</v>
      </c>
      <c r="R1087">
        <v>415321</v>
      </c>
      <c r="S1087" t="s">
        <v>84</v>
      </c>
      <c r="T1087" s="2">
        <v>247</v>
      </c>
      <c r="U1087">
        <v>0</v>
      </c>
      <c r="V1087" t="s">
        <v>260</v>
      </c>
      <c r="W1087">
        <v>1</v>
      </c>
      <c r="X1087">
        <v>1</v>
      </c>
      <c r="Y1087">
        <v>0</v>
      </c>
      <c r="Z1087" t="s">
        <v>1930</v>
      </c>
      <c r="AA1087" t="s">
        <v>1931</v>
      </c>
      <c r="AB1087" t="s">
        <v>14</v>
      </c>
      <c r="AC1087">
        <v>1.6317999999999999</v>
      </c>
      <c r="AD1087">
        <v>1.63</v>
      </c>
      <c r="AE1087">
        <v>726182083970</v>
      </c>
      <c r="AF1087">
        <v>595.30999999999995</v>
      </c>
      <c r="AG1087">
        <v>0</v>
      </c>
      <c r="AH1087">
        <v>18.34</v>
      </c>
      <c r="AI1087">
        <v>613.65</v>
      </c>
      <c r="AJ1087" t="s">
        <v>2</v>
      </c>
      <c r="AK1087" t="s">
        <v>11</v>
      </c>
    </row>
    <row r="1088" spans="1:37">
      <c r="A1088">
        <v>257847</v>
      </c>
      <c r="B1088" s="1">
        <v>45366</v>
      </c>
      <c r="C1088" t="s">
        <v>1305</v>
      </c>
      <c r="D1088" t="s">
        <v>1306</v>
      </c>
      <c r="E1088" t="s">
        <v>2</v>
      </c>
      <c r="F1088" t="s">
        <v>1307</v>
      </c>
      <c r="G1088" t="s">
        <v>28</v>
      </c>
      <c r="H1088">
        <v>34233</v>
      </c>
      <c r="I1088" t="s">
        <v>1305</v>
      </c>
      <c r="J1088" t="s">
        <v>1306</v>
      </c>
      <c r="K1088" t="s">
        <v>2</v>
      </c>
      <c r="L1088" t="s">
        <v>1307</v>
      </c>
      <c r="M1088" t="s">
        <v>28</v>
      </c>
      <c r="N1088">
        <v>34233</v>
      </c>
      <c r="O1088" t="s">
        <v>1312</v>
      </c>
      <c r="P1088" t="s">
        <v>1737</v>
      </c>
      <c r="Q1088" t="s">
        <v>21</v>
      </c>
      <c r="R1088">
        <v>415321</v>
      </c>
      <c r="S1088" t="s">
        <v>84</v>
      </c>
      <c r="T1088" s="2">
        <v>247</v>
      </c>
      <c r="U1088">
        <v>0</v>
      </c>
      <c r="V1088" t="s">
        <v>260</v>
      </c>
      <c r="W1088">
        <v>0</v>
      </c>
      <c r="X1088">
        <v>0</v>
      </c>
      <c r="Y1088">
        <v>0</v>
      </c>
      <c r="Z1088" t="s">
        <v>88</v>
      </c>
      <c r="AA1088" t="s">
        <v>1732</v>
      </c>
      <c r="AB1088" t="s">
        <v>10</v>
      </c>
      <c r="AC1088">
        <v>0</v>
      </c>
      <c r="AD1088">
        <v>0</v>
      </c>
      <c r="AE1088">
        <v>726182083970</v>
      </c>
      <c r="AF1088">
        <v>595.30999999999995</v>
      </c>
      <c r="AG1088">
        <v>0</v>
      </c>
      <c r="AH1088">
        <v>18.34</v>
      </c>
      <c r="AI1088">
        <v>613.65</v>
      </c>
      <c r="AJ1088" t="s">
        <v>2</v>
      </c>
      <c r="AK1088" t="s">
        <v>11</v>
      </c>
    </row>
    <row r="1089" spans="1:37">
      <c r="A1089">
        <v>257847</v>
      </c>
      <c r="B1089" s="1">
        <v>45366</v>
      </c>
      <c r="C1089" t="s">
        <v>1305</v>
      </c>
      <c r="D1089" t="s">
        <v>1306</v>
      </c>
      <c r="E1089" t="s">
        <v>2</v>
      </c>
      <c r="F1089" t="s">
        <v>1307</v>
      </c>
      <c r="G1089" t="s">
        <v>28</v>
      </c>
      <c r="H1089">
        <v>34233</v>
      </c>
      <c r="I1089" t="s">
        <v>1305</v>
      </c>
      <c r="J1089" t="s">
        <v>1306</v>
      </c>
      <c r="K1089" t="s">
        <v>2</v>
      </c>
      <c r="L1089" t="s">
        <v>1307</v>
      </c>
      <c r="M1089" t="s">
        <v>28</v>
      </c>
      <c r="N1089">
        <v>34233</v>
      </c>
      <c r="O1089" t="s">
        <v>1312</v>
      </c>
      <c r="P1089" t="s">
        <v>1737</v>
      </c>
      <c r="Q1089" t="s">
        <v>21</v>
      </c>
      <c r="R1089">
        <v>415321</v>
      </c>
      <c r="S1089" t="s">
        <v>84</v>
      </c>
      <c r="T1089" s="2">
        <v>247</v>
      </c>
      <c r="U1089">
        <v>0</v>
      </c>
      <c r="V1089" t="s">
        <v>260</v>
      </c>
      <c r="W1089">
        <v>3</v>
      </c>
      <c r="X1089">
        <v>3</v>
      </c>
      <c r="Y1089">
        <v>0</v>
      </c>
      <c r="Z1089" t="s">
        <v>1932</v>
      </c>
      <c r="AA1089" t="s">
        <v>1933</v>
      </c>
      <c r="AB1089" t="s">
        <v>14</v>
      </c>
      <c r="AC1089">
        <v>1.6317999999999999</v>
      </c>
      <c r="AD1089">
        <v>4.9000000000000004</v>
      </c>
      <c r="AE1089">
        <v>726182083970</v>
      </c>
      <c r="AF1089">
        <v>595.30999999999995</v>
      </c>
      <c r="AG1089">
        <v>0</v>
      </c>
      <c r="AH1089">
        <v>18.34</v>
      </c>
      <c r="AI1089">
        <v>613.65</v>
      </c>
      <c r="AJ1089" t="s">
        <v>2</v>
      </c>
      <c r="AK1089" t="s">
        <v>11</v>
      </c>
    </row>
    <row r="1090" spans="1:37">
      <c r="A1090">
        <v>257847</v>
      </c>
      <c r="B1090" s="1">
        <v>45366</v>
      </c>
      <c r="C1090" t="s">
        <v>1305</v>
      </c>
      <c r="D1090" t="s">
        <v>1306</v>
      </c>
      <c r="E1090" t="s">
        <v>2</v>
      </c>
      <c r="F1090" t="s">
        <v>1307</v>
      </c>
      <c r="G1090" t="s">
        <v>28</v>
      </c>
      <c r="H1090">
        <v>34233</v>
      </c>
      <c r="I1090" t="s">
        <v>1305</v>
      </c>
      <c r="J1090" t="s">
        <v>1306</v>
      </c>
      <c r="K1090" t="s">
        <v>2</v>
      </c>
      <c r="L1090" t="s">
        <v>1307</v>
      </c>
      <c r="M1090" t="s">
        <v>28</v>
      </c>
      <c r="N1090">
        <v>34233</v>
      </c>
      <c r="O1090" t="s">
        <v>1312</v>
      </c>
      <c r="P1090" t="s">
        <v>1737</v>
      </c>
      <c r="Q1090" t="s">
        <v>21</v>
      </c>
      <c r="R1090">
        <v>415321</v>
      </c>
      <c r="S1090" t="s">
        <v>84</v>
      </c>
      <c r="T1090" s="2">
        <v>247</v>
      </c>
      <c r="U1090">
        <v>0</v>
      </c>
      <c r="V1090" t="s">
        <v>260</v>
      </c>
      <c r="W1090">
        <v>0</v>
      </c>
      <c r="X1090">
        <v>0</v>
      </c>
      <c r="Y1090">
        <v>0</v>
      </c>
      <c r="Z1090" t="s">
        <v>88</v>
      </c>
      <c r="AA1090" t="s">
        <v>1732</v>
      </c>
      <c r="AB1090" t="s">
        <v>10</v>
      </c>
      <c r="AC1090">
        <v>0</v>
      </c>
      <c r="AD1090">
        <v>0</v>
      </c>
      <c r="AE1090">
        <v>726182083970</v>
      </c>
      <c r="AF1090">
        <v>595.30999999999995</v>
      </c>
      <c r="AG1090">
        <v>0</v>
      </c>
      <c r="AH1090">
        <v>18.34</v>
      </c>
      <c r="AI1090">
        <v>613.65</v>
      </c>
      <c r="AJ1090" t="s">
        <v>2</v>
      </c>
      <c r="AK1090" t="s">
        <v>11</v>
      </c>
    </row>
    <row r="1091" spans="1:37">
      <c r="A1091">
        <v>257847</v>
      </c>
      <c r="B1091" s="1">
        <v>45366</v>
      </c>
      <c r="C1091" t="s">
        <v>1305</v>
      </c>
      <c r="D1091" t="s">
        <v>1306</v>
      </c>
      <c r="E1091" t="s">
        <v>2</v>
      </c>
      <c r="F1091" t="s">
        <v>1307</v>
      </c>
      <c r="G1091" t="s">
        <v>28</v>
      </c>
      <c r="H1091">
        <v>34233</v>
      </c>
      <c r="I1091" t="s">
        <v>1305</v>
      </c>
      <c r="J1091" t="s">
        <v>1306</v>
      </c>
      <c r="K1091" t="s">
        <v>2</v>
      </c>
      <c r="L1091" t="s">
        <v>1307</v>
      </c>
      <c r="M1091" t="s">
        <v>28</v>
      </c>
      <c r="N1091">
        <v>34233</v>
      </c>
      <c r="O1091" t="s">
        <v>1312</v>
      </c>
      <c r="P1091" t="s">
        <v>1737</v>
      </c>
      <c r="Q1091" t="s">
        <v>21</v>
      </c>
      <c r="R1091">
        <v>415321</v>
      </c>
      <c r="S1091" t="s">
        <v>84</v>
      </c>
      <c r="T1091" s="2">
        <v>247</v>
      </c>
      <c r="U1091">
        <v>0</v>
      </c>
      <c r="V1091" t="s">
        <v>260</v>
      </c>
      <c r="W1091">
        <v>2</v>
      </c>
      <c r="X1091">
        <v>2</v>
      </c>
      <c r="Y1091">
        <v>0</v>
      </c>
      <c r="Z1091" t="s">
        <v>1934</v>
      </c>
      <c r="AA1091" t="s">
        <v>1935</v>
      </c>
      <c r="AB1091" t="s">
        <v>14</v>
      </c>
      <c r="AC1091">
        <v>1.6317999999999999</v>
      </c>
      <c r="AD1091">
        <v>3.26</v>
      </c>
      <c r="AE1091">
        <v>726182083970</v>
      </c>
      <c r="AF1091">
        <v>595.30999999999995</v>
      </c>
      <c r="AG1091">
        <v>0</v>
      </c>
      <c r="AH1091">
        <v>18.34</v>
      </c>
      <c r="AI1091">
        <v>613.65</v>
      </c>
      <c r="AJ1091" t="s">
        <v>2</v>
      </c>
      <c r="AK1091" t="s">
        <v>11</v>
      </c>
    </row>
    <row r="1092" spans="1:37">
      <c r="A1092">
        <v>257847</v>
      </c>
      <c r="B1092" s="1">
        <v>45366</v>
      </c>
      <c r="C1092" t="s">
        <v>1305</v>
      </c>
      <c r="D1092" t="s">
        <v>1306</v>
      </c>
      <c r="E1092" t="s">
        <v>2</v>
      </c>
      <c r="F1092" t="s">
        <v>1307</v>
      </c>
      <c r="G1092" t="s">
        <v>28</v>
      </c>
      <c r="H1092">
        <v>34233</v>
      </c>
      <c r="I1092" t="s">
        <v>1305</v>
      </c>
      <c r="J1092" t="s">
        <v>1306</v>
      </c>
      <c r="K1092" t="s">
        <v>2</v>
      </c>
      <c r="L1092" t="s">
        <v>1307</v>
      </c>
      <c r="M1092" t="s">
        <v>28</v>
      </c>
      <c r="N1092">
        <v>34233</v>
      </c>
      <c r="O1092" t="s">
        <v>1312</v>
      </c>
      <c r="P1092" t="s">
        <v>1737</v>
      </c>
      <c r="Q1092" t="s">
        <v>21</v>
      </c>
      <c r="R1092">
        <v>415321</v>
      </c>
      <c r="S1092" t="s">
        <v>84</v>
      </c>
      <c r="T1092" s="2">
        <v>247</v>
      </c>
      <c r="U1092">
        <v>0</v>
      </c>
      <c r="V1092" t="s">
        <v>260</v>
      </c>
      <c r="W1092">
        <v>0</v>
      </c>
      <c r="X1092">
        <v>0</v>
      </c>
      <c r="Y1092">
        <v>0</v>
      </c>
      <c r="Z1092" t="s">
        <v>88</v>
      </c>
      <c r="AA1092" t="s">
        <v>1732</v>
      </c>
      <c r="AB1092" t="s">
        <v>10</v>
      </c>
      <c r="AC1092">
        <v>0</v>
      </c>
      <c r="AD1092">
        <v>0</v>
      </c>
      <c r="AE1092">
        <v>726182083970</v>
      </c>
      <c r="AF1092">
        <v>595.30999999999995</v>
      </c>
      <c r="AG1092">
        <v>0</v>
      </c>
      <c r="AH1092">
        <v>18.34</v>
      </c>
      <c r="AI1092">
        <v>613.65</v>
      </c>
      <c r="AJ1092" t="s">
        <v>2</v>
      </c>
      <c r="AK1092" t="s">
        <v>11</v>
      </c>
    </row>
    <row r="1093" spans="1:37">
      <c r="A1093">
        <v>257847</v>
      </c>
      <c r="B1093" s="1">
        <v>45366</v>
      </c>
      <c r="C1093" t="s">
        <v>1305</v>
      </c>
      <c r="D1093" t="s">
        <v>1306</v>
      </c>
      <c r="E1093" t="s">
        <v>2</v>
      </c>
      <c r="F1093" t="s">
        <v>1307</v>
      </c>
      <c r="G1093" t="s">
        <v>28</v>
      </c>
      <c r="H1093">
        <v>34233</v>
      </c>
      <c r="I1093" t="s">
        <v>1305</v>
      </c>
      <c r="J1093" t="s">
        <v>1306</v>
      </c>
      <c r="K1093" t="s">
        <v>2</v>
      </c>
      <c r="L1093" t="s">
        <v>1307</v>
      </c>
      <c r="M1093" t="s">
        <v>28</v>
      </c>
      <c r="N1093">
        <v>34233</v>
      </c>
      <c r="O1093" t="s">
        <v>1312</v>
      </c>
      <c r="P1093" t="s">
        <v>1737</v>
      </c>
      <c r="Q1093" t="s">
        <v>21</v>
      </c>
      <c r="R1093">
        <v>415321</v>
      </c>
      <c r="S1093" t="s">
        <v>84</v>
      </c>
      <c r="T1093" s="2">
        <v>247</v>
      </c>
      <c r="U1093">
        <v>0</v>
      </c>
      <c r="V1093" t="s">
        <v>260</v>
      </c>
      <c r="W1093">
        <v>2</v>
      </c>
      <c r="X1093">
        <v>2</v>
      </c>
      <c r="Y1093">
        <v>0</v>
      </c>
      <c r="Z1093" t="s">
        <v>1936</v>
      </c>
      <c r="AA1093" t="s">
        <v>1937</v>
      </c>
      <c r="AB1093" t="s">
        <v>14</v>
      </c>
      <c r="AC1093">
        <v>1.6317999999999999</v>
      </c>
      <c r="AD1093">
        <v>3.26</v>
      </c>
      <c r="AE1093">
        <v>726182083970</v>
      </c>
      <c r="AF1093">
        <v>595.30999999999995</v>
      </c>
      <c r="AG1093">
        <v>0</v>
      </c>
      <c r="AH1093">
        <v>18.34</v>
      </c>
      <c r="AI1093">
        <v>613.65</v>
      </c>
      <c r="AJ1093" t="s">
        <v>2</v>
      </c>
      <c r="AK1093" t="s">
        <v>11</v>
      </c>
    </row>
    <row r="1094" spans="1:37">
      <c r="A1094">
        <v>257847</v>
      </c>
      <c r="B1094" s="1">
        <v>45366</v>
      </c>
      <c r="C1094" t="s">
        <v>1305</v>
      </c>
      <c r="D1094" t="s">
        <v>1306</v>
      </c>
      <c r="E1094" t="s">
        <v>2</v>
      </c>
      <c r="F1094" t="s">
        <v>1307</v>
      </c>
      <c r="G1094" t="s">
        <v>28</v>
      </c>
      <c r="H1094">
        <v>34233</v>
      </c>
      <c r="I1094" t="s">
        <v>1305</v>
      </c>
      <c r="J1094" t="s">
        <v>1306</v>
      </c>
      <c r="K1094" t="s">
        <v>2</v>
      </c>
      <c r="L1094" t="s">
        <v>1307</v>
      </c>
      <c r="M1094" t="s">
        <v>28</v>
      </c>
      <c r="N1094">
        <v>34233</v>
      </c>
      <c r="O1094" t="s">
        <v>1312</v>
      </c>
      <c r="P1094" t="s">
        <v>1737</v>
      </c>
      <c r="Q1094" t="s">
        <v>21</v>
      </c>
      <c r="R1094">
        <v>415321</v>
      </c>
      <c r="S1094" t="s">
        <v>84</v>
      </c>
      <c r="T1094" s="2">
        <v>247</v>
      </c>
      <c r="U1094">
        <v>0</v>
      </c>
      <c r="V1094" t="s">
        <v>260</v>
      </c>
      <c r="W1094">
        <v>0</v>
      </c>
      <c r="X1094">
        <v>0</v>
      </c>
      <c r="Y1094">
        <v>0</v>
      </c>
      <c r="Z1094" t="s">
        <v>88</v>
      </c>
      <c r="AA1094" t="s">
        <v>1732</v>
      </c>
      <c r="AB1094" t="s">
        <v>10</v>
      </c>
      <c r="AC1094">
        <v>0</v>
      </c>
      <c r="AD1094">
        <v>0</v>
      </c>
      <c r="AE1094">
        <v>726182083970</v>
      </c>
      <c r="AF1094">
        <v>595.30999999999995</v>
      </c>
      <c r="AG1094">
        <v>0</v>
      </c>
      <c r="AH1094">
        <v>18.34</v>
      </c>
      <c r="AI1094">
        <v>613.65</v>
      </c>
      <c r="AJ1094" t="s">
        <v>2</v>
      </c>
      <c r="AK1094" t="s">
        <v>11</v>
      </c>
    </row>
    <row r="1095" spans="1:37">
      <c r="A1095">
        <v>257847</v>
      </c>
      <c r="B1095" s="1">
        <v>45366</v>
      </c>
      <c r="C1095" t="s">
        <v>1305</v>
      </c>
      <c r="D1095" t="s">
        <v>1306</v>
      </c>
      <c r="E1095" t="s">
        <v>2</v>
      </c>
      <c r="F1095" t="s">
        <v>1307</v>
      </c>
      <c r="G1095" t="s">
        <v>28</v>
      </c>
      <c r="H1095">
        <v>34233</v>
      </c>
      <c r="I1095" t="s">
        <v>1305</v>
      </c>
      <c r="J1095" t="s">
        <v>1306</v>
      </c>
      <c r="K1095" t="s">
        <v>2</v>
      </c>
      <c r="L1095" t="s">
        <v>1307</v>
      </c>
      <c r="M1095" t="s">
        <v>28</v>
      </c>
      <c r="N1095">
        <v>34233</v>
      </c>
      <c r="O1095" t="s">
        <v>1312</v>
      </c>
      <c r="P1095" t="s">
        <v>1737</v>
      </c>
      <c r="Q1095" t="s">
        <v>21</v>
      </c>
      <c r="R1095">
        <v>415321</v>
      </c>
      <c r="S1095" t="s">
        <v>84</v>
      </c>
      <c r="T1095" s="2">
        <v>247</v>
      </c>
      <c r="U1095">
        <v>0</v>
      </c>
      <c r="V1095" t="s">
        <v>260</v>
      </c>
      <c r="W1095">
        <v>1</v>
      </c>
      <c r="X1095">
        <v>1</v>
      </c>
      <c r="Y1095">
        <v>0</v>
      </c>
      <c r="Z1095" t="s">
        <v>1938</v>
      </c>
      <c r="AA1095" t="s">
        <v>1939</v>
      </c>
      <c r="AB1095" t="s">
        <v>14</v>
      </c>
      <c r="AC1095">
        <v>1.6317999999999999</v>
      </c>
      <c r="AD1095">
        <v>1.63</v>
      </c>
      <c r="AE1095">
        <v>726182083970</v>
      </c>
      <c r="AF1095">
        <v>595.30999999999995</v>
      </c>
      <c r="AG1095">
        <v>0</v>
      </c>
      <c r="AH1095">
        <v>18.34</v>
      </c>
      <c r="AI1095">
        <v>613.65</v>
      </c>
      <c r="AJ1095" t="s">
        <v>2</v>
      </c>
      <c r="AK1095" t="s">
        <v>11</v>
      </c>
    </row>
    <row r="1096" spans="1:37">
      <c r="A1096">
        <v>257847</v>
      </c>
      <c r="B1096" s="1">
        <v>45366</v>
      </c>
      <c r="C1096" t="s">
        <v>1305</v>
      </c>
      <c r="D1096" t="s">
        <v>1306</v>
      </c>
      <c r="E1096" t="s">
        <v>2</v>
      </c>
      <c r="F1096" t="s">
        <v>1307</v>
      </c>
      <c r="G1096" t="s">
        <v>28</v>
      </c>
      <c r="H1096">
        <v>34233</v>
      </c>
      <c r="I1096" t="s">
        <v>1305</v>
      </c>
      <c r="J1096" t="s">
        <v>1306</v>
      </c>
      <c r="K1096" t="s">
        <v>2</v>
      </c>
      <c r="L1096" t="s">
        <v>1307</v>
      </c>
      <c r="M1096" t="s">
        <v>28</v>
      </c>
      <c r="N1096">
        <v>34233</v>
      </c>
      <c r="O1096" t="s">
        <v>1312</v>
      </c>
      <c r="P1096" t="s">
        <v>1737</v>
      </c>
      <c r="Q1096" t="s">
        <v>21</v>
      </c>
      <c r="R1096">
        <v>415321</v>
      </c>
      <c r="S1096" t="s">
        <v>84</v>
      </c>
      <c r="T1096" s="2">
        <v>247</v>
      </c>
      <c r="U1096">
        <v>0</v>
      </c>
      <c r="V1096" t="s">
        <v>260</v>
      </c>
      <c r="W1096">
        <v>0</v>
      </c>
      <c r="X1096">
        <v>0</v>
      </c>
      <c r="Y1096">
        <v>0</v>
      </c>
      <c r="Z1096" t="s">
        <v>88</v>
      </c>
      <c r="AA1096" t="s">
        <v>1732</v>
      </c>
      <c r="AB1096" t="s">
        <v>10</v>
      </c>
      <c r="AC1096">
        <v>0</v>
      </c>
      <c r="AD1096">
        <v>0</v>
      </c>
      <c r="AE1096">
        <v>726182083970</v>
      </c>
      <c r="AF1096">
        <v>595.30999999999995</v>
      </c>
      <c r="AG1096">
        <v>0</v>
      </c>
      <c r="AH1096">
        <v>18.34</v>
      </c>
      <c r="AI1096">
        <v>613.65</v>
      </c>
      <c r="AJ1096" t="s">
        <v>2</v>
      </c>
      <c r="AK1096" t="s">
        <v>11</v>
      </c>
    </row>
    <row r="1097" spans="1:37">
      <c r="A1097">
        <v>257847</v>
      </c>
      <c r="B1097" s="1">
        <v>45366</v>
      </c>
      <c r="C1097" t="s">
        <v>1305</v>
      </c>
      <c r="D1097" t="s">
        <v>1306</v>
      </c>
      <c r="E1097" t="s">
        <v>2</v>
      </c>
      <c r="F1097" t="s">
        <v>1307</v>
      </c>
      <c r="G1097" t="s">
        <v>28</v>
      </c>
      <c r="H1097">
        <v>34233</v>
      </c>
      <c r="I1097" t="s">
        <v>1305</v>
      </c>
      <c r="J1097" t="s">
        <v>1306</v>
      </c>
      <c r="K1097" t="s">
        <v>2</v>
      </c>
      <c r="L1097" t="s">
        <v>1307</v>
      </c>
      <c r="M1097" t="s">
        <v>28</v>
      </c>
      <c r="N1097">
        <v>34233</v>
      </c>
      <c r="O1097" t="s">
        <v>1312</v>
      </c>
      <c r="P1097" t="s">
        <v>1737</v>
      </c>
      <c r="Q1097" t="s">
        <v>21</v>
      </c>
      <c r="R1097">
        <v>415321</v>
      </c>
      <c r="S1097" t="s">
        <v>84</v>
      </c>
      <c r="T1097" s="2">
        <v>247</v>
      </c>
      <c r="U1097">
        <v>0</v>
      </c>
      <c r="V1097" t="s">
        <v>260</v>
      </c>
      <c r="W1097">
        <v>1</v>
      </c>
      <c r="X1097">
        <v>1</v>
      </c>
      <c r="Y1097">
        <v>0</v>
      </c>
      <c r="Z1097" t="s">
        <v>1940</v>
      </c>
      <c r="AA1097" t="s">
        <v>1941</v>
      </c>
      <c r="AB1097" t="s">
        <v>14</v>
      </c>
      <c r="AC1097">
        <v>1.6317999999999999</v>
      </c>
      <c r="AD1097">
        <v>1.63</v>
      </c>
      <c r="AE1097">
        <v>726182083970</v>
      </c>
      <c r="AF1097">
        <v>595.30999999999995</v>
      </c>
      <c r="AG1097">
        <v>0</v>
      </c>
      <c r="AH1097">
        <v>18.34</v>
      </c>
      <c r="AI1097">
        <v>613.65</v>
      </c>
      <c r="AJ1097" t="s">
        <v>2</v>
      </c>
      <c r="AK1097" t="s">
        <v>11</v>
      </c>
    </row>
    <row r="1098" spans="1:37">
      <c r="A1098">
        <v>257847</v>
      </c>
      <c r="B1098" s="1">
        <v>45366</v>
      </c>
      <c r="C1098" t="s">
        <v>1305</v>
      </c>
      <c r="D1098" t="s">
        <v>1306</v>
      </c>
      <c r="E1098" t="s">
        <v>2</v>
      </c>
      <c r="F1098" t="s">
        <v>1307</v>
      </c>
      <c r="G1098" t="s">
        <v>28</v>
      </c>
      <c r="H1098">
        <v>34233</v>
      </c>
      <c r="I1098" t="s">
        <v>1305</v>
      </c>
      <c r="J1098" t="s">
        <v>1306</v>
      </c>
      <c r="K1098" t="s">
        <v>2</v>
      </c>
      <c r="L1098" t="s">
        <v>1307</v>
      </c>
      <c r="M1098" t="s">
        <v>28</v>
      </c>
      <c r="N1098">
        <v>34233</v>
      </c>
      <c r="O1098" t="s">
        <v>1312</v>
      </c>
      <c r="P1098" t="s">
        <v>1737</v>
      </c>
      <c r="Q1098" t="s">
        <v>21</v>
      </c>
      <c r="R1098">
        <v>415321</v>
      </c>
      <c r="S1098" t="s">
        <v>84</v>
      </c>
      <c r="T1098" s="2">
        <v>247</v>
      </c>
      <c r="U1098">
        <v>0</v>
      </c>
      <c r="V1098" t="s">
        <v>260</v>
      </c>
      <c r="W1098">
        <v>0</v>
      </c>
      <c r="X1098">
        <v>0</v>
      </c>
      <c r="Y1098">
        <v>0</v>
      </c>
      <c r="Z1098" t="s">
        <v>88</v>
      </c>
      <c r="AA1098" t="s">
        <v>1732</v>
      </c>
      <c r="AB1098" t="s">
        <v>10</v>
      </c>
      <c r="AC1098">
        <v>0</v>
      </c>
      <c r="AD1098">
        <v>0</v>
      </c>
      <c r="AE1098">
        <v>726182083970</v>
      </c>
      <c r="AF1098">
        <v>595.30999999999995</v>
      </c>
      <c r="AG1098">
        <v>0</v>
      </c>
      <c r="AH1098">
        <v>18.34</v>
      </c>
      <c r="AI1098">
        <v>613.65</v>
      </c>
      <c r="AJ1098" t="s">
        <v>2</v>
      </c>
      <c r="AK1098" t="s">
        <v>11</v>
      </c>
    </row>
    <row r="1099" spans="1:37">
      <c r="A1099">
        <v>257847</v>
      </c>
      <c r="B1099" s="1">
        <v>45366</v>
      </c>
      <c r="C1099" t="s">
        <v>1305</v>
      </c>
      <c r="D1099" t="s">
        <v>1306</v>
      </c>
      <c r="E1099" t="s">
        <v>2</v>
      </c>
      <c r="F1099" t="s">
        <v>1307</v>
      </c>
      <c r="G1099" t="s">
        <v>28</v>
      </c>
      <c r="H1099">
        <v>34233</v>
      </c>
      <c r="I1099" t="s">
        <v>1305</v>
      </c>
      <c r="J1099" t="s">
        <v>1306</v>
      </c>
      <c r="K1099" t="s">
        <v>2</v>
      </c>
      <c r="L1099" t="s">
        <v>1307</v>
      </c>
      <c r="M1099" t="s">
        <v>28</v>
      </c>
      <c r="N1099">
        <v>34233</v>
      </c>
      <c r="O1099" t="s">
        <v>1312</v>
      </c>
      <c r="P1099" t="s">
        <v>1737</v>
      </c>
      <c r="Q1099" t="s">
        <v>21</v>
      </c>
      <c r="R1099">
        <v>415321</v>
      </c>
      <c r="S1099" t="s">
        <v>84</v>
      </c>
      <c r="T1099" s="2">
        <v>247</v>
      </c>
      <c r="U1099">
        <v>0</v>
      </c>
      <c r="V1099" t="s">
        <v>260</v>
      </c>
      <c r="W1099">
        <v>3</v>
      </c>
      <c r="X1099">
        <v>3</v>
      </c>
      <c r="Y1099">
        <v>0</v>
      </c>
      <c r="Z1099" t="s">
        <v>1942</v>
      </c>
      <c r="AA1099" t="s">
        <v>1943</v>
      </c>
      <c r="AB1099" t="s">
        <v>14</v>
      </c>
      <c r="AC1099">
        <v>1.6317999999999999</v>
      </c>
      <c r="AD1099">
        <v>4.9000000000000004</v>
      </c>
      <c r="AE1099">
        <v>726182083970</v>
      </c>
      <c r="AF1099">
        <v>595.30999999999995</v>
      </c>
      <c r="AG1099">
        <v>0</v>
      </c>
      <c r="AH1099">
        <v>18.34</v>
      </c>
      <c r="AI1099">
        <v>613.65</v>
      </c>
      <c r="AJ1099" t="s">
        <v>2</v>
      </c>
      <c r="AK1099" t="s">
        <v>11</v>
      </c>
    </row>
    <row r="1100" spans="1:37">
      <c r="A1100">
        <v>257847</v>
      </c>
      <c r="B1100" s="1">
        <v>45366</v>
      </c>
      <c r="C1100" t="s">
        <v>1305</v>
      </c>
      <c r="D1100" t="s">
        <v>1306</v>
      </c>
      <c r="E1100" t="s">
        <v>2</v>
      </c>
      <c r="F1100" t="s">
        <v>1307</v>
      </c>
      <c r="G1100" t="s">
        <v>28</v>
      </c>
      <c r="H1100">
        <v>34233</v>
      </c>
      <c r="I1100" t="s">
        <v>1305</v>
      </c>
      <c r="J1100" t="s">
        <v>1306</v>
      </c>
      <c r="K1100" t="s">
        <v>2</v>
      </c>
      <c r="L1100" t="s">
        <v>1307</v>
      </c>
      <c r="M1100" t="s">
        <v>28</v>
      </c>
      <c r="N1100">
        <v>34233</v>
      </c>
      <c r="O1100" t="s">
        <v>1312</v>
      </c>
      <c r="P1100" t="s">
        <v>1737</v>
      </c>
      <c r="Q1100" t="s">
        <v>21</v>
      </c>
      <c r="R1100">
        <v>415321</v>
      </c>
      <c r="S1100" t="s">
        <v>84</v>
      </c>
      <c r="T1100" s="2">
        <v>247</v>
      </c>
      <c r="U1100">
        <v>0</v>
      </c>
      <c r="V1100" t="s">
        <v>260</v>
      </c>
      <c r="W1100">
        <v>0</v>
      </c>
      <c r="X1100">
        <v>0</v>
      </c>
      <c r="Y1100">
        <v>0</v>
      </c>
      <c r="Z1100" t="s">
        <v>88</v>
      </c>
      <c r="AA1100" t="s">
        <v>1732</v>
      </c>
      <c r="AB1100" t="s">
        <v>10</v>
      </c>
      <c r="AC1100">
        <v>0</v>
      </c>
      <c r="AD1100">
        <v>0</v>
      </c>
      <c r="AE1100">
        <v>726182083970</v>
      </c>
      <c r="AF1100">
        <v>595.30999999999995</v>
      </c>
      <c r="AG1100">
        <v>0</v>
      </c>
      <c r="AH1100">
        <v>18.34</v>
      </c>
      <c r="AI1100">
        <v>613.65</v>
      </c>
      <c r="AJ1100" t="s">
        <v>2</v>
      </c>
      <c r="AK1100" t="s">
        <v>11</v>
      </c>
    </row>
    <row r="1101" spans="1:37">
      <c r="A1101">
        <v>257847</v>
      </c>
      <c r="B1101" s="1">
        <v>45366</v>
      </c>
      <c r="C1101" t="s">
        <v>1305</v>
      </c>
      <c r="D1101" t="s">
        <v>1306</v>
      </c>
      <c r="E1101" t="s">
        <v>2</v>
      </c>
      <c r="F1101" t="s">
        <v>1307</v>
      </c>
      <c r="G1101" t="s">
        <v>28</v>
      </c>
      <c r="H1101">
        <v>34233</v>
      </c>
      <c r="I1101" t="s">
        <v>1305</v>
      </c>
      <c r="J1101" t="s">
        <v>1306</v>
      </c>
      <c r="K1101" t="s">
        <v>2</v>
      </c>
      <c r="L1101" t="s">
        <v>1307</v>
      </c>
      <c r="M1101" t="s">
        <v>28</v>
      </c>
      <c r="N1101">
        <v>34233</v>
      </c>
      <c r="O1101" t="s">
        <v>1312</v>
      </c>
      <c r="P1101" t="s">
        <v>1737</v>
      </c>
      <c r="Q1101" t="s">
        <v>21</v>
      </c>
      <c r="R1101">
        <v>415321</v>
      </c>
      <c r="S1101" t="s">
        <v>84</v>
      </c>
      <c r="T1101" s="2">
        <v>247</v>
      </c>
      <c r="U1101">
        <v>0</v>
      </c>
      <c r="V1101" t="s">
        <v>260</v>
      </c>
      <c r="W1101">
        <v>1</v>
      </c>
      <c r="X1101">
        <v>1</v>
      </c>
      <c r="Y1101">
        <v>0</v>
      </c>
      <c r="Z1101" t="s">
        <v>1944</v>
      </c>
      <c r="AA1101" t="s">
        <v>1945</v>
      </c>
      <c r="AB1101" t="s">
        <v>14</v>
      </c>
      <c r="AC1101">
        <v>1.6317999999999999</v>
      </c>
      <c r="AD1101">
        <v>1.63</v>
      </c>
      <c r="AE1101">
        <v>726182083970</v>
      </c>
      <c r="AF1101">
        <v>595.30999999999995</v>
      </c>
      <c r="AG1101">
        <v>0</v>
      </c>
      <c r="AH1101">
        <v>18.34</v>
      </c>
      <c r="AI1101">
        <v>613.65</v>
      </c>
      <c r="AJ1101" t="s">
        <v>2</v>
      </c>
      <c r="AK1101" t="s">
        <v>11</v>
      </c>
    </row>
    <row r="1102" spans="1:37">
      <c r="A1102">
        <v>257847</v>
      </c>
      <c r="B1102" s="1">
        <v>45366</v>
      </c>
      <c r="C1102" t="s">
        <v>1305</v>
      </c>
      <c r="D1102" t="s">
        <v>1306</v>
      </c>
      <c r="E1102" t="s">
        <v>2</v>
      </c>
      <c r="F1102" t="s">
        <v>1307</v>
      </c>
      <c r="G1102" t="s">
        <v>28</v>
      </c>
      <c r="H1102">
        <v>34233</v>
      </c>
      <c r="I1102" t="s">
        <v>1305</v>
      </c>
      <c r="J1102" t="s">
        <v>1306</v>
      </c>
      <c r="K1102" t="s">
        <v>2</v>
      </c>
      <c r="L1102" t="s">
        <v>1307</v>
      </c>
      <c r="M1102" t="s">
        <v>28</v>
      </c>
      <c r="N1102">
        <v>34233</v>
      </c>
      <c r="O1102" t="s">
        <v>1312</v>
      </c>
      <c r="P1102" t="s">
        <v>1737</v>
      </c>
      <c r="Q1102" t="s">
        <v>21</v>
      </c>
      <c r="R1102">
        <v>415321</v>
      </c>
      <c r="S1102" t="s">
        <v>84</v>
      </c>
      <c r="T1102" s="2">
        <v>247</v>
      </c>
      <c r="U1102">
        <v>0</v>
      </c>
      <c r="V1102" t="s">
        <v>260</v>
      </c>
      <c r="W1102">
        <v>0</v>
      </c>
      <c r="X1102">
        <v>0</v>
      </c>
      <c r="Y1102">
        <v>0</v>
      </c>
      <c r="Z1102" t="s">
        <v>88</v>
      </c>
      <c r="AA1102" t="s">
        <v>1732</v>
      </c>
      <c r="AB1102" t="s">
        <v>10</v>
      </c>
      <c r="AC1102">
        <v>0</v>
      </c>
      <c r="AD1102">
        <v>0</v>
      </c>
      <c r="AE1102">
        <v>726182083970</v>
      </c>
      <c r="AF1102">
        <v>595.30999999999995</v>
      </c>
      <c r="AG1102">
        <v>0</v>
      </c>
      <c r="AH1102">
        <v>18.34</v>
      </c>
      <c r="AI1102">
        <v>613.65</v>
      </c>
      <c r="AJ1102" t="s">
        <v>2</v>
      </c>
      <c r="AK1102" t="s">
        <v>11</v>
      </c>
    </row>
    <row r="1103" spans="1:37">
      <c r="A1103">
        <v>257848</v>
      </c>
      <c r="B1103" s="1">
        <v>45366</v>
      </c>
      <c r="C1103" t="s">
        <v>1305</v>
      </c>
      <c r="D1103" t="s">
        <v>1306</v>
      </c>
      <c r="E1103" t="s">
        <v>2</v>
      </c>
      <c r="F1103" t="s">
        <v>1307</v>
      </c>
      <c r="G1103" t="s">
        <v>28</v>
      </c>
      <c r="H1103">
        <v>34233</v>
      </c>
      <c r="I1103" t="s">
        <v>1305</v>
      </c>
      <c r="J1103" t="s">
        <v>1306</v>
      </c>
      <c r="K1103" t="s">
        <v>2</v>
      </c>
      <c r="L1103" t="s">
        <v>1307</v>
      </c>
      <c r="M1103" t="s">
        <v>28</v>
      </c>
      <c r="N1103">
        <v>34233</v>
      </c>
      <c r="O1103" t="s">
        <v>1312</v>
      </c>
      <c r="P1103" t="s">
        <v>1946</v>
      </c>
      <c r="Q1103" t="s">
        <v>21</v>
      </c>
      <c r="R1103">
        <v>415253</v>
      </c>
      <c r="S1103" t="s">
        <v>84</v>
      </c>
      <c r="T1103" s="2">
        <v>191</v>
      </c>
      <c r="U1103">
        <v>0</v>
      </c>
      <c r="V1103" t="s">
        <v>260</v>
      </c>
      <c r="W1103">
        <v>0</v>
      </c>
      <c r="X1103">
        <v>0</v>
      </c>
      <c r="Y1103">
        <v>0</v>
      </c>
      <c r="Z1103" t="s">
        <v>9</v>
      </c>
      <c r="AA1103" t="s">
        <v>2</v>
      </c>
      <c r="AB1103" t="s">
        <v>10</v>
      </c>
      <c r="AC1103">
        <v>0</v>
      </c>
      <c r="AD1103">
        <v>0</v>
      </c>
      <c r="AE1103">
        <v>726182084082</v>
      </c>
      <c r="AF1103">
        <v>431.1</v>
      </c>
      <c r="AG1103">
        <v>0</v>
      </c>
      <c r="AH1103">
        <v>18.66</v>
      </c>
      <c r="AI1103">
        <v>449.76</v>
      </c>
      <c r="AJ1103" t="s">
        <v>2</v>
      </c>
      <c r="AK1103" t="s">
        <v>11</v>
      </c>
    </row>
    <row r="1104" spans="1:37">
      <c r="A1104">
        <v>257848</v>
      </c>
      <c r="B1104" s="1">
        <v>45366</v>
      </c>
      <c r="C1104" t="s">
        <v>1305</v>
      </c>
      <c r="D1104" t="s">
        <v>1306</v>
      </c>
      <c r="E1104" t="s">
        <v>2</v>
      </c>
      <c r="F1104" t="s">
        <v>1307</v>
      </c>
      <c r="G1104" t="s">
        <v>28</v>
      </c>
      <c r="H1104">
        <v>34233</v>
      </c>
      <c r="I1104" t="s">
        <v>1305</v>
      </c>
      <c r="J1104" t="s">
        <v>1306</v>
      </c>
      <c r="K1104" t="s">
        <v>2</v>
      </c>
      <c r="L1104" t="s">
        <v>1307</v>
      </c>
      <c r="M1104" t="s">
        <v>28</v>
      </c>
      <c r="N1104">
        <v>34233</v>
      </c>
      <c r="O1104" t="s">
        <v>1312</v>
      </c>
      <c r="P1104" t="s">
        <v>1946</v>
      </c>
      <c r="Q1104" t="s">
        <v>21</v>
      </c>
      <c r="R1104">
        <v>415253</v>
      </c>
      <c r="S1104" t="s">
        <v>84</v>
      </c>
      <c r="T1104" s="2">
        <v>191</v>
      </c>
      <c r="U1104">
        <v>0</v>
      </c>
      <c r="V1104" t="s">
        <v>260</v>
      </c>
      <c r="W1104">
        <v>5</v>
      </c>
      <c r="X1104">
        <v>5</v>
      </c>
      <c r="Y1104">
        <v>0</v>
      </c>
      <c r="Z1104" t="s">
        <v>1947</v>
      </c>
      <c r="AA1104" t="s">
        <v>1948</v>
      </c>
      <c r="AB1104" t="s">
        <v>14</v>
      </c>
      <c r="AC1104">
        <v>2.4281999999999999</v>
      </c>
      <c r="AD1104">
        <v>12.14</v>
      </c>
      <c r="AE1104">
        <v>726182084082</v>
      </c>
      <c r="AF1104">
        <v>431.1</v>
      </c>
      <c r="AG1104">
        <v>0</v>
      </c>
      <c r="AH1104">
        <v>18.66</v>
      </c>
      <c r="AI1104">
        <v>449.76</v>
      </c>
      <c r="AJ1104" t="s">
        <v>2</v>
      </c>
      <c r="AK1104" t="s">
        <v>11</v>
      </c>
    </row>
    <row r="1105" spans="1:37">
      <c r="A1105">
        <v>257848</v>
      </c>
      <c r="B1105" s="1">
        <v>45366</v>
      </c>
      <c r="C1105" t="s">
        <v>1305</v>
      </c>
      <c r="D1105" t="s">
        <v>1306</v>
      </c>
      <c r="E1105" t="s">
        <v>2</v>
      </c>
      <c r="F1105" t="s">
        <v>1307</v>
      </c>
      <c r="G1105" t="s">
        <v>28</v>
      </c>
      <c r="H1105">
        <v>34233</v>
      </c>
      <c r="I1105" t="s">
        <v>1305</v>
      </c>
      <c r="J1105" t="s">
        <v>1306</v>
      </c>
      <c r="K1105" t="s">
        <v>2</v>
      </c>
      <c r="L1105" t="s">
        <v>1307</v>
      </c>
      <c r="M1105" t="s">
        <v>28</v>
      </c>
      <c r="N1105">
        <v>34233</v>
      </c>
      <c r="O1105" t="s">
        <v>1312</v>
      </c>
      <c r="P1105" t="s">
        <v>1946</v>
      </c>
      <c r="Q1105" t="s">
        <v>21</v>
      </c>
      <c r="R1105">
        <v>415253</v>
      </c>
      <c r="S1105" t="s">
        <v>84</v>
      </c>
      <c r="T1105" s="2">
        <v>191</v>
      </c>
      <c r="U1105">
        <v>0</v>
      </c>
      <c r="V1105" t="s">
        <v>260</v>
      </c>
      <c r="W1105">
        <v>0</v>
      </c>
      <c r="X1105">
        <v>0</v>
      </c>
      <c r="Y1105">
        <v>0</v>
      </c>
      <c r="Z1105" t="s">
        <v>88</v>
      </c>
      <c r="AA1105">
        <v>3</v>
      </c>
      <c r="AB1105" t="s">
        <v>10</v>
      </c>
      <c r="AC1105">
        <v>0</v>
      </c>
      <c r="AD1105">
        <v>0</v>
      </c>
      <c r="AE1105">
        <v>726182084082</v>
      </c>
      <c r="AF1105">
        <v>431.1</v>
      </c>
      <c r="AG1105">
        <v>0</v>
      </c>
      <c r="AH1105">
        <v>18.66</v>
      </c>
      <c r="AI1105">
        <v>449.76</v>
      </c>
      <c r="AJ1105" t="s">
        <v>2</v>
      </c>
      <c r="AK1105" t="s">
        <v>11</v>
      </c>
    </row>
    <row r="1106" spans="1:37">
      <c r="A1106">
        <v>257848</v>
      </c>
      <c r="B1106" s="1">
        <v>45366</v>
      </c>
      <c r="C1106" t="s">
        <v>1305</v>
      </c>
      <c r="D1106" t="s">
        <v>1306</v>
      </c>
      <c r="E1106" t="s">
        <v>2</v>
      </c>
      <c r="F1106" t="s">
        <v>1307</v>
      </c>
      <c r="G1106" t="s">
        <v>28</v>
      </c>
      <c r="H1106">
        <v>34233</v>
      </c>
      <c r="I1106" t="s">
        <v>1305</v>
      </c>
      <c r="J1106" t="s">
        <v>1306</v>
      </c>
      <c r="K1106" t="s">
        <v>2</v>
      </c>
      <c r="L1106" t="s">
        <v>1307</v>
      </c>
      <c r="M1106" t="s">
        <v>28</v>
      </c>
      <c r="N1106">
        <v>34233</v>
      </c>
      <c r="O1106" t="s">
        <v>1312</v>
      </c>
      <c r="P1106" t="s">
        <v>1946</v>
      </c>
      <c r="Q1106" t="s">
        <v>21</v>
      </c>
      <c r="R1106">
        <v>415253</v>
      </c>
      <c r="S1106" t="s">
        <v>84</v>
      </c>
      <c r="T1106" s="2">
        <v>191</v>
      </c>
      <c r="U1106">
        <v>0</v>
      </c>
      <c r="V1106" t="s">
        <v>260</v>
      </c>
      <c r="W1106">
        <v>3</v>
      </c>
      <c r="X1106">
        <v>3</v>
      </c>
      <c r="Y1106">
        <v>0</v>
      </c>
      <c r="Z1106" t="s">
        <v>1949</v>
      </c>
      <c r="AA1106" t="s">
        <v>1950</v>
      </c>
      <c r="AB1106" t="s">
        <v>14</v>
      </c>
      <c r="AC1106">
        <v>2.4281999999999999</v>
      </c>
      <c r="AD1106">
        <v>7.28</v>
      </c>
      <c r="AE1106">
        <v>726182084082</v>
      </c>
      <c r="AF1106">
        <v>431.1</v>
      </c>
      <c r="AG1106">
        <v>0</v>
      </c>
      <c r="AH1106">
        <v>18.66</v>
      </c>
      <c r="AI1106">
        <v>449.76</v>
      </c>
      <c r="AJ1106" t="s">
        <v>2</v>
      </c>
      <c r="AK1106" t="s">
        <v>11</v>
      </c>
    </row>
    <row r="1107" spans="1:37">
      <c r="A1107">
        <v>257848</v>
      </c>
      <c r="B1107" s="1">
        <v>45366</v>
      </c>
      <c r="C1107" t="s">
        <v>1305</v>
      </c>
      <c r="D1107" t="s">
        <v>1306</v>
      </c>
      <c r="E1107" t="s">
        <v>2</v>
      </c>
      <c r="F1107" t="s">
        <v>1307</v>
      </c>
      <c r="G1107" t="s">
        <v>28</v>
      </c>
      <c r="H1107">
        <v>34233</v>
      </c>
      <c r="I1107" t="s">
        <v>1305</v>
      </c>
      <c r="J1107" t="s">
        <v>1306</v>
      </c>
      <c r="K1107" t="s">
        <v>2</v>
      </c>
      <c r="L1107" t="s">
        <v>1307</v>
      </c>
      <c r="M1107" t="s">
        <v>28</v>
      </c>
      <c r="N1107">
        <v>34233</v>
      </c>
      <c r="O1107" t="s">
        <v>1312</v>
      </c>
      <c r="P1107" t="s">
        <v>1946</v>
      </c>
      <c r="Q1107" t="s">
        <v>21</v>
      </c>
      <c r="R1107">
        <v>415253</v>
      </c>
      <c r="S1107" t="s">
        <v>84</v>
      </c>
      <c r="T1107" s="2">
        <v>191</v>
      </c>
      <c r="U1107">
        <v>0</v>
      </c>
      <c r="V1107" t="s">
        <v>260</v>
      </c>
      <c r="W1107">
        <v>0</v>
      </c>
      <c r="X1107">
        <v>0</v>
      </c>
      <c r="Y1107">
        <v>0</v>
      </c>
      <c r="Z1107" t="s">
        <v>88</v>
      </c>
      <c r="AA1107" t="s">
        <v>434</v>
      </c>
      <c r="AB1107" t="s">
        <v>10</v>
      </c>
      <c r="AC1107">
        <v>0</v>
      </c>
      <c r="AD1107">
        <v>0</v>
      </c>
      <c r="AE1107">
        <v>726182084082</v>
      </c>
      <c r="AF1107">
        <v>431.1</v>
      </c>
      <c r="AG1107">
        <v>0</v>
      </c>
      <c r="AH1107">
        <v>18.66</v>
      </c>
      <c r="AI1107">
        <v>449.76</v>
      </c>
      <c r="AJ1107" t="s">
        <v>2</v>
      </c>
      <c r="AK1107" t="s">
        <v>11</v>
      </c>
    </row>
    <row r="1108" spans="1:37">
      <c r="A1108">
        <v>257848</v>
      </c>
      <c r="B1108" s="1">
        <v>45366</v>
      </c>
      <c r="C1108" t="s">
        <v>1305</v>
      </c>
      <c r="D1108" t="s">
        <v>1306</v>
      </c>
      <c r="E1108" t="s">
        <v>2</v>
      </c>
      <c r="F1108" t="s">
        <v>1307</v>
      </c>
      <c r="G1108" t="s">
        <v>28</v>
      </c>
      <c r="H1108">
        <v>34233</v>
      </c>
      <c r="I1108" t="s">
        <v>1305</v>
      </c>
      <c r="J1108" t="s">
        <v>1306</v>
      </c>
      <c r="K1108" t="s">
        <v>2</v>
      </c>
      <c r="L1108" t="s">
        <v>1307</v>
      </c>
      <c r="M1108" t="s">
        <v>28</v>
      </c>
      <c r="N1108">
        <v>34233</v>
      </c>
      <c r="O1108" t="s">
        <v>1312</v>
      </c>
      <c r="P1108" t="s">
        <v>1946</v>
      </c>
      <c r="Q1108" t="s">
        <v>21</v>
      </c>
      <c r="R1108">
        <v>415253</v>
      </c>
      <c r="S1108" t="s">
        <v>84</v>
      </c>
      <c r="T1108" s="2">
        <v>191</v>
      </c>
      <c r="U1108">
        <v>0</v>
      </c>
      <c r="V1108" t="s">
        <v>260</v>
      </c>
      <c r="W1108">
        <v>3</v>
      </c>
      <c r="X1108">
        <v>3</v>
      </c>
      <c r="Y1108">
        <v>0</v>
      </c>
      <c r="Z1108" t="s">
        <v>1951</v>
      </c>
      <c r="AA1108" t="s">
        <v>1952</v>
      </c>
      <c r="AB1108" t="s">
        <v>14</v>
      </c>
      <c r="AC1108">
        <v>2.4281999999999999</v>
      </c>
      <c r="AD1108">
        <v>7.28</v>
      </c>
      <c r="AE1108">
        <v>726182084082</v>
      </c>
      <c r="AF1108">
        <v>431.1</v>
      </c>
      <c r="AG1108">
        <v>0</v>
      </c>
      <c r="AH1108">
        <v>18.66</v>
      </c>
      <c r="AI1108">
        <v>449.76</v>
      </c>
      <c r="AJ1108" t="s">
        <v>2</v>
      </c>
      <c r="AK1108" t="s">
        <v>11</v>
      </c>
    </row>
    <row r="1109" spans="1:37">
      <c r="A1109">
        <v>257848</v>
      </c>
      <c r="B1109" s="1">
        <v>45366</v>
      </c>
      <c r="C1109" t="s">
        <v>1305</v>
      </c>
      <c r="D1109" t="s">
        <v>1306</v>
      </c>
      <c r="E1109" t="s">
        <v>2</v>
      </c>
      <c r="F1109" t="s">
        <v>1307</v>
      </c>
      <c r="G1109" t="s">
        <v>28</v>
      </c>
      <c r="H1109">
        <v>34233</v>
      </c>
      <c r="I1109" t="s">
        <v>1305</v>
      </c>
      <c r="J1109" t="s">
        <v>1306</v>
      </c>
      <c r="K1109" t="s">
        <v>2</v>
      </c>
      <c r="L1109" t="s">
        <v>1307</v>
      </c>
      <c r="M1109" t="s">
        <v>28</v>
      </c>
      <c r="N1109">
        <v>34233</v>
      </c>
      <c r="O1109" t="s">
        <v>1312</v>
      </c>
      <c r="P1109" t="s">
        <v>1946</v>
      </c>
      <c r="Q1109" t="s">
        <v>21</v>
      </c>
      <c r="R1109">
        <v>415253</v>
      </c>
      <c r="S1109" t="s">
        <v>84</v>
      </c>
      <c r="T1109" s="2">
        <v>191</v>
      </c>
      <c r="U1109">
        <v>0</v>
      </c>
      <c r="V1109" t="s">
        <v>260</v>
      </c>
      <c r="W1109">
        <v>0</v>
      </c>
      <c r="X1109">
        <v>0</v>
      </c>
      <c r="Y1109">
        <v>0</v>
      </c>
      <c r="Z1109" t="s">
        <v>88</v>
      </c>
      <c r="AA1109" t="s">
        <v>434</v>
      </c>
      <c r="AB1109" t="s">
        <v>10</v>
      </c>
      <c r="AC1109">
        <v>0</v>
      </c>
      <c r="AD1109">
        <v>0</v>
      </c>
      <c r="AE1109">
        <v>726182084082</v>
      </c>
      <c r="AF1109">
        <v>431.1</v>
      </c>
      <c r="AG1109">
        <v>0</v>
      </c>
      <c r="AH1109">
        <v>18.66</v>
      </c>
      <c r="AI1109">
        <v>449.76</v>
      </c>
      <c r="AJ1109" t="s">
        <v>2</v>
      </c>
      <c r="AK1109" t="s">
        <v>11</v>
      </c>
    </row>
    <row r="1110" spans="1:37">
      <c r="A1110">
        <v>257848</v>
      </c>
      <c r="B1110" s="1">
        <v>45366</v>
      </c>
      <c r="C1110" t="s">
        <v>1305</v>
      </c>
      <c r="D1110" t="s">
        <v>1306</v>
      </c>
      <c r="E1110" t="s">
        <v>2</v>
      </c>
      <c r="F1110" t="s">
        <v>1307</v>
      </c>
      <c r="G1110" t="s">
        <v>28</v>
      </c>
      <c r="H1110">
        <v>34233</v>
      </c>
      <c r="I1110" t="s">
        <v>1305</v>
      </c>
      <c r="J1110" t="s">
        <v>1306</v>
      </c>
      <c r="K1110" t="s">
        <v>2</v>
      </c>
      <c r="L1110" t="s">
        <v>1307</v>
      </c>
      <c r="M1110" t="s">
        <v>28</v>
      </c>
      <c r="N1110">
        <v>34233</v>
      </c>
      <c r="O1110" t="s">
        <v>1312</v>
      </c>
      <c r="P1110" t="s">
        <v>1946</v>
      </c>
      <c r="Q1110" t="s">
        <v>21</v>
      </c>
      <c r="R1110">
        <v>415253</v>
      </c>
      <c r="S1110" t="s">
        <v>84</v>
      </c>
      <c r="T1110" s="2">
        <v>191</v>
      </c>
      <c r="U1110">
        <v>0</v>
      </c>
      <c r="V1110" t="s">
        <v>260</v>
      </c>
      <c r="W1110">
        <v>3</v>
      </c>
      <c r="X1110">
        <v>3</v>
      </c>
      <c r="Y1110">
        <v>0</v>
      </c>
      <c r="Z1110" t="s">
        <v>1953</v>
      </c>
      <c r="AA1110" t="s">
        <v>1954</v>
      </c>
      <c r="AB1110" t="s">
        <v>14</v>
      </c>
      <c r="AC1110">
        <v>2.4281999999999999</v>
      </c>
      <c r="AD1110">
        <v>7.28</v>
      </c>
      <c r="AE1110">
        <v>726182084082</v>
      </c>
      <c r="AF1110">
        <v>431.1</v>
      </c>
      <c r="AG1110">
        <v>0</v>
      </c>
      <c r="AH1110">
        <v>18.66</v>
      </c>
      <c r="AI1110">
        <v>449.76</v>
      </c>
      <c r="AJ1110" t="s">
        <v>2</v>
      </c>
      <c r="AK1110" t="s">
        <v>11</v>
      </c>
    </row>
    <row r="1111" spans="1:37">
      <c r="A1111">
        <v>257848</v>
      </c>
      <c r="B1111" s="1">
        <v>45366</v>
      </c>
      <c r="C1111" t="s">
        <v>1305</v>
      </c>
      <c r="D1111" t="s">
        <v>1306</v>
      </c>
      <c r="E1111" t="s">
        <v>2</v>
      </c>
      <c r="F1111" t="s">
        <v>1307</v>
      </c>
      <c r="G1111" t="s">
        <v>28</v>
      </c>
      <c r="H1111">
        <v>34233</v>
      </c>
      <c r="I1111" t="s">
        <v>1305</v>
      </c>
      <c r="J1111" t="s">
        <v>1306</v>
      </c>
      <c r="K1111" t="s">
        <v>2</v>
      </c>
      <c r="L1111" t="s">
        <v>1307</v>
      </c>
      <c r="M1111" t="s">
        <v>28</v>
      </c>
      <c r="N1111">
        <v>34233</v>
      </c>
      <c r="O1111" t="s">
        <v>1312</v>
      </c>
      <c r="P1111" t="s">
        <v>1946</v>
      </c>
      <c r="Q1111" t="s">
        <v>21</v>
      </c>
      <c r="R1111">
        <v>415253</v>
      </c>
      <c r="S1111" t="s">
        <v>84</v>
      </c>
      <c r="T1111" s="2">
        <v>191</v>
      </c>
      <c r="U1111">
        <v>0</v>
      </c>
      <c r="V1111" t="s">
        <v>260</v>
      </c>
      <c r="W1111">
        <v>0</v>
      </c>
      <c r="X1111">
        <v>0</v>
      </c>
      <c r="Y1111">
        <v>0</v>
      </c>
      <c r="Z1111" t="s">
        <v>88</v>
      </c>
      <c r="AA1111" t="s">
        <v>434</v>
      </c>
      <c r="AB1111" t="s">
        <v>10</v>
      </c>
      <c r="AC1111">
        <v>0</v>
      </c>
      <c r="AD1111">
        <v>0</v>
      </c>
      <c r="AE1111">
        <v>726182084082</v>
      </c>
      <c r="AF1111">
        <v>431.1</v>
      </c>
      <c r="AG1111">
        <v>0</v>
      </c>
      <c r="AH1111">
        <v>18.66</v>
      </c>
      <c r="AI1111">
        <v>449.76</v>
      </c>
      <c r="AJ1111" t="s">
        <v>2</v>
      </c>
      <c r="AK1111" t="s">
        <v>11</v>
      </c>
    </row>
    <row r="1112" spans="1:37">
      <c r="A1112">
        <v>257848</v>
      </c>
      <c r="B1112" s="1">
        <v>45366</v>
      </c>
      <c r="C1112" t="s">
        <v>1305</v>
      </c>
      <c r="D1112" t="s">
        <v>1306</v>
      </c>
      <c r="E1112" t="s">
        <v>2</v>
      </c>
      <c r="F1112" t="s">
        <v>1307</v>
      </c>
      <c r="G1112" t="s">
        <v>28</v>
      </c>
      <c r="H1112">
        <v>34233</v>
      </c>
      <c r="I1112" t="s">
        <v>1305</v>
      </c>
      <c r="J1112" t="s">
        <v>1306</v>
      </c>
      <c r="K1112" t="s">
        <v>2</v>
      </c>
      <c r="L1112" t="s">
        <v>1307</v>
      </c>
      <c r="M1112" t="s">
        <v>28</v>
      </c>
      <c r="N1112">
        <v>34233</v>
      </c>
      <c r="O1112" t="s">
        <v>1312</v>
      </c>
      <c r="P1112" t="s">
        <v>1946</v>
      </c>
      <c r="Q1112" t="s">
        <v>21</v>
      </c>
      <c r="R1112">
        <v>415253</v>
      </c>
      <c r="S1112" t="s">
        <v>84</v>
      </c>
      <c r="T1112" s="2">
        <v>191</v>
      </c>
      <c r="U1112">
        <v>0</v>
      </c>
      <c r="V1112" t="s">
        <v>260</v>
      </c>
      <c r="W1112">
        <v>3</v>
      </c>
      <c r="X1112">
        <v>3</v>
      </c>
      <c r="Y1112">
        <v>0</v>
      </c>
      <c r="Z1112" t="s">
        <v>1955</v>
      </c>
      <c r="AA1112" t="s">
        <v>1956</v>
      </c>
      <c r="AB1112" t="s">
        <v>14</v>
      </c>
      <c r="AC1112">
        <v>2.4281999999999999</v>
      </c>
      <c r="AD1112">
        <v>7.28</v>
      </c>
      <c r="AE1112">
        <v>726182084082</v>
      </c>
      <c r="AF1112">
        <v>431.1</v>
      </c>
      <c r="AG1112">
        <v>0</v>
      </c>
      <c r="AH1112">
        <v>18.66</v>
      </c>
      <c r="AI1112">
        <v>449.76</v>
      </c>
      <c r="AJ1112" t="s">
        <v>2</v>
      </c>
      <c r="AK1112" t="s">
        <v>11</v>
      </c>
    </row>
    <row r="1113" spans="1:37">
      <c r="A1113">
        <v>257848</v>
      </c>
      <c r="B1113" s="1">
        <v>45366</v>
      </c>
      <c r="C1113" t="s">
        <v>1305</v>
      </c>
      <c r="D1113" t="s">
        <v>1306</v>
      </c>
      <c r="E1113" t="s">
        <v>2</v>
      </c>
      <c r="F1113" t="s">
        <v>1307</v>
      </c>
      <c r="G1113" t="s">
        <v>28</v>
      </c>
      <c r="H1113">
        <v>34233</v>
      </c>
      <c r="I1113" t="s">
        <v>1305</v>
      </c>
      <c r="J1113" t="s">
        <v>1306</v>
      </c>
      <c r="K1113" t="s">
        <v>2</v>
      </c>
      <c r="L1113" t="s">
        <v>1307</v>
      </c>
      <c r="M1113" t="s">
        <v>28</v>
      </c>
      <c r="N1113">
        <v>34233</v>
      </c>
      <c r="O1113" t="s">
        <v>1312</v>
      </c>
      <c r="P1113" t="s">
        <v>1946</v>
      </c>
      <c r="Q1113" t="s">
        <v>21</v>
      </c>
      <c r="R1113">
        <v>415253</v>
      </c>
      <c r="S1113" t="s">
        <v>84</v>
      </c>
      <c r="T1113" s="2">
        <v>191</v>
      </c>
      <c r="U1113">
        <v>0</v>
      </c>
      <c r="V1113" t="s">
        <v>260</v>
      </c>
      <c r="W1113">
        <v>0</v>
      </c>
      <c r="X1113">
        <v>0</v>
      </c>
      <c r="Y1113">
        <v>0</v>
      </c>
      <c r="Z1113" t="s">
        <v>88</v>
      </c>
      <c r="AA1113" t="s">
        <v>434</v>
      </c>
      <c r="AB1113" t="s">
        <v>10</v>
      </c>
      <c r="AC1113">
        <v>0</v>
      </c>
      <c r="AD1113">
        <v>0</v>
      </c>
      <c r="AE1113">
        <v>726182084082</v>
      </c>
      <c r="AF1113">
        <v>431.1</v>
      </c>
      <c r="AG1113">
        <v>0</v>
      </c>
      <c r="AH1113">
        <v>18.66</v>
      </c>
      <c r="AI1113">
        <v>449.76</v>
      </c>
      <c r="AJ1113" t="s">
        <v>2</v>
      </c>
      <c r="AK1113" t="s">
        <v>11</v>
      </c>
    </row>
    <row r="1114" spans="1:37">
      <c r="A1114">
        <v>257848</v>
      </c>
      <c r="B1114" s="1">
        <v>45366</v>
      </c>
      <c r="C1114" t="s">
        <v>1305</v>
      </c>
      <c r="D1114" t="s">
        <v>1306</v>
      </c>
      <c r="E1114" t="s">
        <v>2</v>
      </c>
      <c r="F1114" t="s">
        <v>1307</v>
      </c>
      <c r="G1114" t="s">
        <v>28</v>
      </c>
      <c r="H1114">
        <v>34233</v>
      </c>
      <c r="I1114" t="s">
        <v>1305</v>
      </c>
      <c r="J1114" t="s">
        <v>1306</v>
      </c>
      <c r="K1114" t="s">
        <v>2</v>
      </c>
      <c r="L1114" t="s">
        <v>1307</v>
      </c>
      <c r="M1114" t="s">
        <v>28</v>
      </c>
      <c r="N1114">
        <v>34233</v>
      </c>
      <c r="O1114" t="s">
        <v>1312</v>
      </c>
      <c r="P1114" t="s">
        <v>1946</v>
      </c>
      <c r="Q1114" t="s">
        <v>21</v>
      </c>
      <c r="R1114">
        <v>415253</v>
      </c>
      <c r="S1114" t="s">
        <v>84</v>
      </c>
      <c r="T1114" s="2">
        <v>191</v>
      </c>
      <c r="U1114">
        <v>0</v>
      </c>
      <c r="V1114" t="s">
        <v>260</v>
      </c>
      <c r="W1114">
        <v>3</v>
      </c>
      <c r="X1114">
        <v>3</v>
      </c>
      <c r="Y1114">
        <v>0</v>
      </c>
      <c r="Z1114" t="s">
        <v>1957</v>
      </c>
      <c r="AA1114" t="s">
        <v>1958</v>
      </c>
      <c r="AB1114" t="s">
        <v>14</v>
      </c>
      <c r="AC1114">
        <v>2.4281999999999999</v>
      </c>
      <c r="AD1114">
        <v>7.28</v>
      </c>
      <c r="AE1114">
        <v>726182084082</v>
      </c>
      <c r="AF1114">
        <v>431.1</v>
      </c>
      <c r="AG1114">
        <v>0</v>
      </c>
      <c r="AH1114">
        <v>18.66</v>
      </c>
      <c r="AI1114">
        <v>449.76</v>
      </c>
      <c r="AJ1114" t="s">
        <v>2</v>
      </c>
      <c r="AK1114" t="s">
        <v>11</v>
      </c>
    </row>
    <row r="1115" spans="1:37">
      <c r="A1115">
        <v>257848</v>
      </c>
      <c r="B1115" s="1">
        <v>45366</v>
      </c>
      <c r="C1115" t="s">
        <v>1305</v>
      </c>
      <c r="D1115" t="s">
        <v>1306</v>
      </c>
      <c r="E1115" t="s">
        <v>2</v>
      </c>
      <c r="F1115" t="s">
        <v>1307</v>
      </c>
      <c r="G1115" t="s">
        <v>28</v>
      </c>
      <c r="H1115">
        <v>34233</v>
      </c>
      <c r="I1115" t="s">
        <v>1305</v>
      </c>
      <c r="J1115" t="s">
        <v>1306</v>
      </c>
      <c r="K1115" t="s">
        <v>2</v>
      </c>
      <c r="L1115" t="s">
        <v>1307</v>
      </c>
      <c r="M1115" t="s">
        <v>28</v>
      </c>
      <c r="N1115">
        <v>34233</v>
      </c>
      <c r="O1115" t="s">
        <v>1312</v>
      </c>
      <c r="P1115" t="s">
        <v>1946</v>
      </c>
      <c r="Q1115" t="s">
        <v>21</v>
      </c>
      <c r="R1115">
        <v>415253</v>
      </c>
      <c r="S1115" t="s">
        <v>84</v>
      </c>
      <c r="T1115" s="2">
        <v>191</v>
      </c>
      <c r="U1115">
        <v>0</v>
      </c>
      <c r="V1115" t="s">
        <v>260</v>
      </c>
      <c r="W1115">
        <v>0</v>
      </c>
      <c r="X1115">
        <v>0</v>
      </c>
      <c r="Y1115">
        <v>0</v>
      </c>
      <c r="Z1115" t="s">
        <v>88</v>
      </c>
      <c r="AA1115" t="s">
        <v>434</v>
      </c>
      <c r="AB1115" t="s">
        <v>10</v>
      </c>
      <c r="AC1115">
        <v>0</v>
      </c>
      <c r="AD1115">
        <v>0</v>
      </c>
      <c r="AE1115">
        <v>726182084082</v>
      </c>
      <c r="AF1115">
        <v>431.1</v>
      </c>
      <c r="AG1115">
        <v>0</v>
      </c>
      <c r="AH1115">
        <v>18.66</v>
      </c>
      <c r="AI1115">
        <v>449.76</v>
      </c>
      <c r="AJ1115" t="s">
        <v>2</v>
      </c>
      <c r="AK1115" t="s">
        <v>11</v>
      </c>
    </row>
    <row r="1116" spans="1:37">
      <c r="A1116">
        <v>257848</v>
      </c>
      <c r="B1116" s="1">
        <v>45366</v>
      </c>
      <c r="C1116" t="s">
        <v>1305</v>
      </c>
      <c r="D1116" t="s">
        <v>1306</v>
      </c>
      <c r="E1116" t="s">
        <v>2</v>
      </c>
      <c r="F1116" t="s">
        <v>1307</v>
      </c>
      <c r="G1116" t="s">
        <v>28</v>
      </c>
      <c r="H1116">
        <v>34233</v>
      </c>
      <c r="I1116" t="s">
        <v>1305</v>
      </c>
      <c r="J1116" t="s">
        <v>1306</v>
      </c>
      <c r="K1116" t="s">
        <v>2</v>
      </c>
      <c r="L1116" t="s">
        <v>1307</v>
      </c>
      <c r="M1116" t="s">
        <v>28</v>
      </c>
      <c r="N1116">
        <v>34233</v>
      </c>
      <c r="O1116" t="s">
        <v>1312</v>
      </c>
      <c r="P1116" t="s">
        <v>1946</v>
      </c>
      <c r="Q1116" t="s">
        <v>21</v>
      </c>
      <c r="R1116">
        <v>415253</v>
      </c>
      <c r="S1116" t="s">
        <v>84</v>
      </c>
      <c r="T1116" s="2">
        <v>191</v>
      </c>
      <c r="U1116">
        <v>0</v>
      </c>
      <c r="V1116" t="s">
        <v>260</v>
      </c>
      <c r="W1116">
        <v>3</v>
      </c>
      <c r="X1116">
        <v>3</v>
      </c>
      <c r="Y1116">
        <v>0</v>
      </c>
      <c r="Z1116" t="s">
        <v>1959</v>
      </c>
      <c r="AA1116" t="s">
        <v>1960</v>
      </c>
      <c r="AB1116" t="s">
        <v>14</v>
      </c>
      <c r="AC1116">
        <v>2.4281999999999999</v>
      </c>
      <c r="AD1116">
        <v>7.28</v>
      </c>
      <c r="AE1116">
        <v>726182084082</v>
      </c>
      <c r="AF1116">
        <v>431.1</v>
      </c>
      <c r="AG1116">
        <v>0</v>
      </c>
      <c r="AH1116">
        <v>18.66</v>
      </c>
      <c r="AI1116">
        <v>449.76</v>
      </c>
      <c r="AJ1116" t="s">
        <v>2</v>
      </c>
      <c r="AK1116" t="s">
        <v>11</v>
      </c>
    </row>
    <row r="1117" spans="1:37">
      <c r="A1117">
        <v>257848</v>
      </c>
      <c r="B1117" s="1">
        <v>45366</v>
      </c>
      <c r="C1117" t="s">
        <v>1305</v>
      </c>
      <c r="D1117" t="s">
        <v>1306</v>
      </c>
      <c r="E1117" t="s">
        <v>2</v>
      </c>
      <c r="F1117" t="s">
        <v>1307</v>
      </c>
      <c r="G1117" t="s">
        <v>28</v>
      </c>
      <c r="H1117">
        <v>34233</v>
      </c>
      <c r="I1117" t="s">
        <v>1305</v>
      </c>
      <c r="J1117" t="s">
        <v>1306</v>
      </c>
      <c r="K1117" t="s">
        <v>2</v>
      </c>
      <c r="L1117" t="s">
        <v>1307</v>
      </c>
      <c r="M1117" t="s">
        <v>28</v>
      </c>
      <c r="N1117">
        <v>34233</v>
      </c>
      <c r="O1117" t="s">
        <v>1312</v>
      </c>
      <c r="P1117" t="s">
        <v>1946</v>
      </c>
      <c r="Q1117" t="s">
        <v>21</v>
      </c>
      <c r="R1117">
        <v>415253</v>
      </c>
      <c r="S1117" t="s">
        <v>84</v>
      </c>
      <c r="T1117" s="2">
        <v>191</v>
      </c>
      <c r="U1117">
        <v>0</v>
      </c>
      <c r="V1117" t="s">
        <v>260</v>
      </c>
      <c r="W1117">
        <v>0</v>
      </c>
      <c r="X1117">
        <v>0</v>
      </c>
      <c r="Y1117">
        <v>0</v>
      </c>
      <c r="Z1117" t="s">
        <v>88</v>
      </c>
      <c r="AA1117" t="s">
        <v>434</v>
      </c>
      <c r="AB1117" t="s">
        <v>10</v>
      </c>
      <c r="AC1117">
        <v>0</v>
      </c>
      <c r="AD1117">
        <v>0</v>
      </c>
      <c r="AE1117">
        <v>726182084082</v>
      </c>
      <c r="AF1117">
        <v>431.1</v>
      </c>
      <c r="AG1117">
        <v>0</v>
      </c>
      <c r="AH1117">
        <v>18.66</v>
      </c>
      <c r="AI1117">
        <v>449.76</v>
      </c>
      <c r="AJ1117" t="s">
        <v>2</v>
      </c>
      <c r="AK1117" t="s">
        <v>11</v>
      </c>
    </row>
    <row r="1118" spans="1:37">
      <c r="A1118">
        <v>257848</v>
      </c>
      <c r="B1118" s="1">
        <v>45366</v>
      </c>
      <c r="C1118" t="s">
        <v>1305</v>
      </c>
      <c r="D1118" t="s">
        <v>1306</v>
      </c>
      <c r="E1118" t="s">
        <v>2</v>
      </c>
      <c r="F1118" t="s">
        <v>1307</v>
      </c>
      <c r="G1118" t="s">
        <v>28</v>
      </c>
      <c r="H1118">
        <v>34233</v>
      </c>
      <c r="I1118" t="s">
        <v>1305</v>
      </c>
      <c r="J1118" t="s">
        <v>1306</v>
      </c>
      <c r="K1118" t="s">
        <v>2</v>
      </c>
      <c r="L1118" t="s">
        <v>1307</v>
      </c>
      <c r="M1118" t="s">
        <v>28</v>
      </c>
      <c r="N1118">
        <v>34233</v>
      </c>
      <c r="O1118" t="s">
        <v>1312</v>
      </c>
      <c r="P1118" t="s">
        <v>1946</v>
      </c>
      <c r="Q1118" t="s">
        <v>21</v>
      </c>
      <c r="R1118">
        <v>415253</v>
      </c>
      <c r="S1118" t="s">
        <v>84</v>
      </c>
      <c r="T1118" s="2">
        <v>191</v>
      </c>
      <c r="U1118">
        <v>0</v>
      </c>
      <c r="V1118" t="s">
        <v>260</v>
      </c>
      <c r="W1118">
        <v>3</v>
      </c>
      <c r="X1118">
        <v>3</v>
      </c>
      <c r="Y1118">
        <v>0</v>
      </c>
      <c r="Z1118" t="s">
        <v>1961</v>
      </c>
      <c r="AA1118" t="s">
        <v>1962</v>
      </c>
      <c r="AB1118" t="s">
        <v>14</v>
      </c>
      <c r="AC1118">
        <v>2.4281999999999999</v>
      </c>
      <c r="AD1118">
        <v>7.28</v>
      </c>
      <c r="AE1118">
        <v>726182084082</v>
      </c>
      <c r="AF1118">
        <v>431.1</v>
      </c>
      <c r="AG1118">
        <v>0</v>
      </c>
      <c r="AH1118">
        <v>18.66</v>
      </c>
      <c r="AI1118">
        <v>449.76</v>
      </c>
      <c r="AJ1118" t="s">
        <v>2</v>
      </c>
      <c r="AK1118" t="s">
        <v>11</v>
      </c>
    </row>
    <row r="1119" spans="1:37">
      <c r="A1119">
        <v>257848</v>
      </c>
      <c r="B1119" s="1">
        <v>45366</v>
      </c>
      <c r="C1119" t="s">
        <v>1305</v>
      </c>
      <c r="D1119" t="s">
        <v>1306</v>
      </c>
      <c r="E1119" t="s">
        <v>2</v>
      </c>
      <c r="F1119" t="s">
        <v>1307</v>
      </c>
      <c r="G1119" t="s">
        <v>28</v>
      </c>
      <c r="H1119">
        <v>34233</v>
      </c>
      <c r="I1119" t="s">
        <v>1305</v>
      </c>
      <c r="J1119" t="s">
        <v>1306</v>
      </c>
      <c r="K1119" t="s">
        <v>2</v>
      </c>
      <c r="L1119" t="s">
        <v>1307</v>
      </c>
      <c r="M1119" t="s">
        <v>28</v>
      </c>
      <c r="N1119">
        <v>34233</v>
      </c>
      <c r="O1119" t="s">
        <v>1312</v>
      </c>
      <c r="P1119" t="s">
        <v>1946</v>
      </c>
      <c r="Q1119" t="s">
        <v>21</v>
      </c>
      <c r="R1119">
        <v>415253</v>
      </c>
      <c r="S1119" t="s">
        <v>84</v>
      </c>
      <c r="T1119" s="2">
        <v>191</v>
      </c>
      <c r="U1119">
        <v>0</v>
      </c>
      <c r="V1119" t="s">
        <v>260</v>
      </c>
      <c r="W1119">
        <v>0</v>
      </c>
      <c r="X1119">
        <v>0</v>
      </c>
      <c r="Y1119">
        <v>0</v>
      </c>
      <c r="Z1119" t="s">
        <v>88</v>
      </c>
      <c r="AA1119" t="s">
        <v>434</v>
      </c>
      <c r="AB1119" t="s">
        <v>10</v>
      </c>
      <c r="AC1119">
        <v>0</v>
      </c>
      <c r="AD1119">
        <v>0</v>
      </c>
      <c r="AE1119">
        <v>726182084082</v>
      </c>
      <c r="AF1119">
        <v>431.1</v>
      </c>
      <c r="AG1119">
        <v>0</v>
      </c>
      <c r="AH1119">
        <v>18.66</v>
      </c>
      <c r="AI1119">
        <v>449.76</v>
      </c>
      <c r="AJ1119" t="s">
        <v>2</v>
      </c>
      <c r="AK1119" t="s">
        <v>11</v>
      </c>
    </row>
    <row r="1120" spans="1:37">
      <c r="A1120">
        <v>257848</v>
      </c>
      <c r="B1120" s="1">
        <v>45366</v>
      </c>
      <c r="C1120" t="s">
        <v>1305</v>
      </c>
      <c r="D1120" t="s">
        <v>1306</v>
      </c>
      <c r="E1120" t="s">
        <v>2</v>
      </c>
      <c r="F1120" t="s">
        <v>1307</v>
      </c>
      <c r="G1120" t="s">
        <v>28</v>
      </c>
      <c r="H1120">
        <v>34233</v>
      </c>
      <c r="I1120" t="s">
        <v>1305</v>
      </c>
      <c r="J1120" t="s">
        <v>1306</v>
      </c>
      <c r="K1120" t="s">
        <v>2</v>
      </c>
      <c r="L1120" t="s">
        <v>1307</v>
      </c>
      <c r="M1120" t="s">
        <v>28</v>
      </c>
      <c r="N1120">
        <v>34233</v>
      </c>
      <c r="O1120" t="s">
        <v>1312</v>
      </c>
      <c r="P1120" t="s">
        <v>1946</v>
      </c>
      <c r="Q1120" t="s">
        <v>21</v>
      </c>
      <c r="R1120">
        <v>415253</v>
      </c>
      <c r="S1120" t="s">
        <v>84</v>
      </c>
      <c r="T1120" s="2">
        <v>191</v>
      </c>
      <c r="U1120">
        <v>0</v>
      </c>
      <c r="V1120" t="s">
        <v>260</v>
      </c>
      <c r="W1120">
        <v>3</v>
      </c>
      <c r="X1120">
        <v>3</v>
      </c>
      <c r="Y1120">
        <v>0</v>
      </c>
      <c r="Z1120" t="s">
        <v>1963</v>
      </c>
      <c r="AA1120" t="s">
        <v>1964</v>
      </c>
      <c r="AB1120" t="s">
        <v>14</v>
      </c>
      <c r="AC1120">
        <v>2.4281999999999999</v>
      </c>
      <c r="AD1120">
        <v>7.28</v>
      </c>
      <c r="AE1120">
        <v>726182084082</v>
      </c>
      <c r="AF1120">
        <v>431.1</v>
      </c>
      <c r="AG1120">
        <v>0</v>
      </c>
      <c r="AH1120">
        <v>18.66</v>
      </c>
      <c r="AI1120">
        <v>449.76</v>
      </c>
      <c r="AJ1120" t="s">
        <v>2</v>
      </c>
      <c r="AK1120" t="s">
        <v>11</v>
      </c>
    </row>
    <row r="1121" spans="1:37">
      <c r="A1121">
        <v>257848</v>
      </c>
      <c r="B1121" s="1">
        <v>45366</v>
      </c>
      <c r="C1121" t="s">
        <v>1305</v>
      </c>
      <c r="D1121" t="s">
        <v>1306</v>
      </c>
      <c r="E1121" t="s">
        <v>2</v>
      </c>
      <c r="F1121" t="s">
        <v>1307</v>
      </c>
      <c r="G1121" t="s">
        <v>28</v>
      </c>
      <c r="H1121">
        <v>34233</v>
      </c>
      <c r="I1121" t="s">
        <v>1305</v>
      </c>
      <c r="J1121" t="s">
        <v>1306</v>
      </c>
      <c r="K1121" t="s">
        <v>2</v>
      </c>
      <c r="L1121" t="s">
        <v>1307</v>
      </c>
      <c r="M1121" t="s">
        <v>28</v>
      </c>
      <c r="N1121">
        <v>34233</v>
      </c>
      <c r="O1121" t="s">
        <v>1312</v>
      </c>
      <c r="P1121" t="s">
        <v>1946</v>
      </c>
      <c r="Q1121" t="s">
        <v>21</v>
      </c>
      <c r="R1121">
        <v>415253</v>
      </c>
      <c r="S1121" t="s">
        <v>84</v>
      </c>
      <c r="T1121" s="2">
        <v>191</v>
      </c>
      <c r="U1121">
        <v>0</v>
      </c>
      <c r="V1121" t="s">
        <v>260</v>
      </c>
      <c r="W1121">
        <v>0</v>
      </c>
      <c r="X1121">
        <v>0</v>
      </c>
      <c r="Y1121">
        <v>0</v>
      </c>
      <c r="Z1121" t="s">
        <v>88</v>
      </c>
      <c r="AA1121" t="s">
        <v>434</v>
      </c>
      <c r="AB1121" t="s">
        <v>10</v>
      </c>
      <c r="AC1121">
        <v>0</v>
      </c>
      <c r="AD1121">
        <v>0</v>
      </c>
      <c r="AE1121">
        <v>726182084082</v>
      </c>
      <c r="AF1121">
        <v>431.1</v>
      </c>
      <c r="AG1121">
        <v>0</v>
      </c>
      <c r="AH1121">
        <v>18.66</v>
      </c>
      <c r="AI1121">
        <v>449.76</v>
      </c>
      <c r="AJ1121" t="s">
        <v>2</v>
      </c>
      <c r="AK1121" t="s">
        <v>11</v>
      </c>
    </row>
    <row r="1122" spans="1:37">
      <c r="A1122">
        <v>257848</v>
      </c>
      <c r="B1122" s="1">
        <v>45366</v>
      </c>
      <c r="C1122" t="s">
        <v>1305</v>
      </c>
      <c r="D1122" t="s">
        <v>1306</v>
      </c>
      <c r="E1122" t="s">
        <v>2</v>
      </c>
      <c r="F1122" t="s">
        <v>1307</v>
      </c>
      <c r="G1122" t="s">
        <v>28</v>
      </c>
      <c r="H1122">
        <v>34233</v>
      </c>
      <c r="I1122" t="s">
        <v>1305</v>
      </c>
      <c r="J1122" t="s">
        <v>1306</v>
      </c>
      <c r="K1122" t="s">
        <v>2</v>
      </c>
      <c r="L1122" t="s">
        <v>1307</v>
      </c>
      <c r="M1122" t="s">
        <v>28</v>
      </c>
      <c r="N1122">
        <v>34233</v>
      </c>
      <c r="O1122" t="s">
        <v>1312</v>
      </c>
      <c r="P1122" t="s">
        <v>1946</v>
      </c>
      <c r="Q1122" t="s">
        <v>21</v>
      </c>
      <c r="R1122">
        <v>415253</v>
      </c>
      <c r="S1122" t="s">
        <v>84</v>
      </c>
      <c r="T1122" s="2">
        <v>191</v>
      </c>
      <c r="U1122">
        <v>0</v>
      </c>
      <c r="V1122" t="s">
        <v>260</v>
      </c>
      <c r="W1122">
        <v>3</v>
      </c>
      <c r="X1122">
        <v>3</v>
      </c>
      <c r="Y1122">
        <v>0</v>
      </c>
      <c r="Z1122" t="s">
        <v>1965</v>
      </c>
      <c r="AA1122" t="s">
        <v>1966</v>
      </c>
      <c r="AB1122" t="s">
        <v>14</v>
      </c>
      <c r="AC1122">
        <v>2.4281999999999999</v>
      </c>
      <c r="AD1122">
        <v>7.28</v>
      </c>
      <c r="AE1122">
        <v>726182084082</v>
      </c>
      <c r="AF1122">
        <v>431.1</v>
      </c>
      <c r="AG1122">
        <v>0</v>
      </c>
      <c r="AH1122">
        <v>18.66</v>
      </c>
      <c r="AI1122">
        <v>449.76</v>
      </c>
      <c r="AJ1122" t="s">
        <v>2</v>
      </c>
      <c r="AK1122" t="s">
        <v>11</v>
      </c>
    </row>
    <row r="1123" spans="1:37">
      <c r="A1123">
        <v>257848</v>
      </c>
      <c r="B1123" s="1">
        <v>45366</v>
      </c>
      <c r="C1123" t="s">
        <v>1305</v>
      </c>
      <c r="D1123" t="s">
        <v>1306</v>
      </c>
      <c r="E1123" t="s">
        <v>2</v>
      </c>
      <c r="F1123" t="s">
        <v>1307</v>
      </c>
      <c r="G1123" t="s">
        <v>28</v>
      </c>
      <c r="H1123">
        <v>34233</v>
      </c>
      <c r="I1123" t="s">
        <v>1305</v>
      </c>
      <c r="J1123" t="s">
        <v>1306</v>
      </c>
      <c r="K1123" t="s">
        <v>2</v>
      </c>
      <c r="L1123" t="s">
        <v>1307</v>
      </c>
      <c r="M1123" t="s">
        <v>28</v>
      </c>
      <c r="N1123">
        <v>34233</v>
      </c>
      <c r="O1123" t="s">
        <v>1312</v>
      </c>
      <c r="P1123" t="s">
        <v>1946</v>
      </c>
      <c r="Q1123" t="s">
        <v>21</v>
      </c>
      <c r="R1123">
        <v>415253</v>
      </c>
      <c r="S1123" t="s">
        <v>84</v>
      </c>
      <c r="T1123" s="2">
        <v>191</v>
      </c>
      <c r="U1123">
        <v>0</v>
      </c>
      <c r="V1123" t="s">
        <v>260</v>
      </c>
      <c r="W1123">
        <v>0</v>
      </c>
      <c r="X1123">
        <v>0</v>
      </c>
      <c r="Y1123">
        <v>0</v>
      </c>
      <c r="Z1123" t="s">
        <v>88</v>
      </c>
      <c r="AA1123" t="s">
        <v>434</v>
      </c>
      <c r="AB1123" t="s">
        <v>10</v>
      </c>
      <c r="AC1123">
        <v>0</v>
      </c>
      <c r="AD1123">
        <v>0</v>
      </c>
      <c r="AE1123">
        <v>726182084082</v>
      </c>
      <c r="AF1123">
        <v>431.1</v>
      </c>
      <c r="AG1123">
        <v>0</v>
      </c>
      <c r="AH1123">
        <v>18.66</v>
      </c>
      <c r="AI1123">
        <v>449.76</v>
      </c>
      <c r="AJ1123" t="s">
        <v>2</v>
      </c>
      <c r="AK1123" t="s">
        <v>11</v>
      </c>
    </row>
    <row r="1124" spans="1:37">
      <c r="A1124">
        <v>257848</v>
      </c>
      <c r="B1124" s="1">
        <v>45366</v>
      </c>
      <c r="C1124" t="s">
        <v>1305</v>
      </c>
      <c r="D1124" t="s">
        <v>1306</v>
      </c>
      <c r="E1124" t="s">
        <v>2</v>
      </c>
      <c r="F1124" t="s">
        <v>1307</v>
      </c>
      <c r="G1124" t="s">
        <v>28</v>
      </c>
      <c r="H1124">
        <v>34233</v>
      </c>
      <c r="I1124" t="s">
        <v>1305</v>
      </c>
      <c r="J1124" t="s">
        <v>1306</v>
      </c>
      <c r="K1124" t="s">
        <v>2</v>
      </c>
      <c r="L1124" t="s">
        <v>1307</v>
      </c>
      <c r="M1124" t="s">
        <v>28</v>
      </c>
      <c r="N1124">
        <v>34233</v>
      </c>
      <c r="O1124" t="s">
        <v>1312</v>
      </c>
      <c r="P1124" t="s">
        <v>1946</v>
      </c>
      <c r="Q1124" t="s">
        <v>21</v>
      </c>
      <c r="R1124">
        <v>415253</v>
      </c>
      <c r="S1124" t="s">
        <v>84</v>
      </c>
      <c r="T1124" s="2">
        <v>191</v>
      </c>
      <c r="U1124">
        <v>0</v>
      </c>
      <c r="V1124" t="s">
        <v>260</v>
      </c>
      <c r="W1124">
        <v>3</v>
      </c>
      <c r="X1124">
        <v>3</v>
      </c>
      <c r="Y1124">
        <v>0</v>
      </c>
      <c r="Z1124" t="s">
        <v>1967</v>
      </c>
      <c r="AA1124" t="s">
        <v>1968</v>
      </c>
      <c r="AB1124" t="s">
        <v>14</v>
      </c>
      <c r="AC1124">
        <v>2.4281999999999999</v>
      </c>
      <c r="AD1124">
        <v>7.28</v>
      </c>
      <c r="AE1124">
        <v>726182084082</v>
      </c>
      <c r="AF1124">
        <v>431.1</v>
      </c>
      <c r="AG1124">
        <v>0</v>
      </c>
      <c r="AH1124">
        <v>18.66</v>
      </c>
      <c r="AI1124">
        <v>449.76</v>
      </c>
      <c r="AJ1124" t="s">
        <v>2</v>
      </c>
      <c r="AK1124" t="s">
        <v>11</v>
      </c>
    </row>
    <row r="1125" spans="1:37">
      <c r="A1125">
        <v>257848</v>
      </c>
      <c r="B1125" s="1">
        <v>45366</v>
      </c>
      <c r="C1125" t="s">
        <v>1305</v>
      </c>
      <c r="D1125" t="s">
        <v>1306</v>
      </c>
      <c r="E1125" t="s">
        <v>2</v>
      </c>
      <c r="F1125" t="s">
        <v>1307</v>
      </c>
      <c r="G1125" t="s">
        <v>28</v>
      </c>
      <c r="H1125">
        <v>34233</v>
      </c>
      <c r="I1125" t="s">
        <v>1305</v>
      </c>
      <c r="J1125" t="s">
        <v>1306</v>
      </c>
      <c r="K1125" t="s">
        <v>2</v>
      </c>
      <c r="L1125" t="s">
        <v>1307</v>
      </c>
      <c r="M1125" t="s">
        <v>28</v>
      </c>
      <c r="N1125">
        <v>34233</v>
      </c>
      <c r="O1125" t="s">
        <v>1312</v>
      </c>
      <c r="P1125" t="s">
        <v>1946</v>
      </c>
      <c r="Q1125" t="s">
        <v>21</v>
      </c>
      <c r="R1125">
        <v>415253</v>
      </c>
      <c r="S1125" t="s">
        <v>84</v>
      </c>
      <c r="T1125" s="2">
        <v>191</v>
      </c>
      <c r="U1125">
        <v>0</v>
      </c>
      <c r="V1125" t="s">
        <v>260</v>
      </c>
      <c r="W1125">
        <v>0</v>
      </c>
      <c r="X1125">
        <v>0</v>
      </c>
      <c r="Y1125">
        <v>0</v>
      </c>
      <c r="Z1125" t="s">
        <v>88</v>
      </c>
      <c r="AA1125" t="s">
        <v>434</v>
      </c>
      <c r="AB1125" t="s">
        <v>10</v>
      </c>
      <c r="AC1125">
        <v>0</v>
      </c>
      <c r="AD1125">
        <v>0</v>
      </c>
      <c r="AE1125">
        <v>726182084082</v>
      </c>
      <c r="AF1125">
        <v>431.1</v>
      </c>
      <c r="AG1125">
        <v>0</v>
      </c>
      <c r="AH1125">
        <v>18.66</v>
      </c>
      <c r="AI1125">
        <v>449.76</v>
      </c>
      <c r="AJ1125" t="s">
        <v>2</v>
      </c>
      <c r="AK1125" t="s">
        <v>11</v>
      </c>
    </row>
    <row r="1126" spans="1:37">
      <c r="A1126">
        <v>257848</v>
      </c>
      <c r="B1126" s="1">
        <v>45366</v>
      </c>
      <c r="C1126" t="s">
        <v>1305</v>
      </c>
      <c r="D1126" t="s">
        <v>1306</v>
      </c>
      <c r="E1126" t="s">
        <v>2</v>
      </c>
      <c r="F1126" t="s">
        <v>1307</v>
      </c>
      <c r="G1126" t="s">
        <v>28</v>
      </c>
      <c r="H1126">
        <v>34233</v>
      </c>
      <c r="I1126" t="s">
        <v>1305</v>
      </c>
      <c r="J1126" t="s">
        <v>1306</v>
      </c>
      <c r="K1126" t="s">
        <v>2</v>
      </c>
      <c r="L1126" t="s">
        <v>1307</v>
      </c>
      <c r="M1126" t="s">
        <v>28</v>
      </c>
      <c r="N1126">
        <v>34233</v>
      </c>
      <c r="O1126" t="s">
        <v>1312</v>
      </c>
      <c r="P1126" t="s">
        <v>1946</v>
      </c>
      <c r="Q1126" t="s">
        <v>21</v>
      </c>
      <c r="R1126">
        <v>415253</v>
      </c>
      <c r="S1126" t="s">
        <v>84</v>
      </c>
      <c r="T1126" s="2">
        <v>191</v>
      </c>
      <c r="U1126">
        <v>0</v>
      </c>
      <c r="V1126" t="s">
        <v>260</v>
      </c>
      <c r="W1126">
        <v>2</v>
      </c>
      <c r="X1126">
        <v>2</v>
      </c>
      <c r="Y1126">
        <v>0</v>
      </c>
      <c r="Z1126" t="s">
        <v>1969</v>
      </c>
      <c r="AA1126" t="s">
        <v>1970</v>
      </c>
      <c r="AB1126" t="s">
        <v>14</v>
      </c>
      <c r="AC1126">
        <v>3.8778000000000001</v>
      </c>
      <c r="AD1126">
        <v>7.76</v>
      </c>
      <c r="AE1126">
        <v>726182084082</v>
      </c>
      <c r="AF1126">
        <v>431.1</v>
      </c>
      <c r="AG1126">
        <v>0</v>
      </c>
      <c r="AH1126">
        <v>18.66</v>
      </c>
      <c r="AI1126">
        <v>449.76</v>
      </c>
      <c r="AJ1126" t="s">
        <v>2</v>
      </c>
      <c r="AK1126" t="s">
        <v>11</v>
      </c>
    </row>
    <row r="1127" spans="1:37">
      <c r="A1127">
        <v>257848</v>
      </c>
      <c r="B1127" s="1">
        <v>45366</v>
      </c>
      <c r="C1127" t="s">
        <v>1305</v>
      </c>
      <c r="D1127" t="s">
        <v>1306</v>
      </c>
      <c r="E1127" t="s">
        <v>2</v>
      </c>
      <c r="F1127" t="s">
        <v>1307</v>
      </c>
      <c r="G1127" t="s">
        <v>28</v>
      </c>
      <c r="H1127">
        <v>34233</v>
      </c>
      <c r="I1127" t="s">
        <v>1305</v>
      </c>
      <c r="J1127" t="s">
        <v>1306</v>
      </c>
      <c r="K1127" t="s">
        <v>2</v>
      </c>
      <c r="L1127" t="s">
        <v>1307</v>
      </c>
      <c r="M1127" t="s">
        <v>28</v>
      </c>
      <c r="N1127">
        <v>34233</v>
      </c>
      <c r="O1127" t="s">
        <v>1312</v>
      </c>
      <c r="P1127" t="s">
        <v>1946</v>
      </c>
      <c r="Q1127" t="s">
        <v>21</v>
      </c>
      <c r="R1127">
        <v>415253</v>
      </c>
      <c r="S1127" t="s">
        <v>84</v>
      </c>
      <c r="T1127" s="2">
        <v>191</v>
      </c>
      <c r="U1127">
        <v>0</v>
      </c>
      <c r="V1127" t="s">
        <v>260</v>
      </c>
      <c r="W1127">
        <v>0</v>
      </c>
      <c r="X1127">
        <v>0</v>
      </c>
      <c r="Y1127">
        <v>0</v>
      </c>
      <c r="Z1127" t="s">
        <v>88</v>
      </c>
      <c r="AA1127" t="s">
        <v>1971</v>
      </c>
      <c r="AB1127" t="s">
        <v>10</v>
      </c>
      <c r="AC1127">
        <v>0</v>
      </c>
      <c r="AD1127">
        <v>0</v>
      </c>
      <c r="AE1127">
        <v>726182084082</v>
      </c>
      <c r="AF1127">
        <v>431.1</v>
      </c>
      <c r="AG1127">
        <v>0</v>
      </c>
      <c r="AH1127">
        <v>18.66</v>
      </c>
      <c r="AI1127">
        <v>449.76</v>
      </c>
      <c r="AJ1127" t="s">
        <v>2</v>
      </c>
      <c r="AK1127" t="s">
        <v>11</v>
      </c>
    </row>
    <row r="1128" spans="1:37">
      <c r="A1128">
        <v>257848</v>
      </c>
      <c r="B1128" s="1">
        <v>45366</v>
      </c>
      <c r="C1128" t="s">
        <v>1305</v>
      </c>
      <c r="D1128" t="s">
        <v>1306</v>
      </c>
      <c r="E1128" t="s">
        <v>2</v>
      </c>
      <c r="F1128" t="s">
        <v>1307</v>
      </c>
      <c r="G1128" t="s">
        <v>28</v>
      </c>
      <c r="H1128">
        <v>34233</v>
      </c>
      <c r="I1128" t="s">
        <v>1305</v>
      </c>
      <c r="J1128" t="s">
        <v>1306</v>
      </c>
      <c r="K1128" t="s">
        <v>2</v>
      </c>
      <c r="L1128" t="s">
        <v>1307</v>
      </c>
      <c r="M1128" t="s">
        <v>28</v>
      </c>
      <c r="N1128">
        <v>34233</v>
      </c>
      <c r="O1128" t="s">
        <v>1312</v>
      </c>
      <c r="P1128" t="s">
        <v>1946</v>
      </c>
      <c r="Q1128" t="s">
        <v>21</v>
      </c>
      <c r="R1128">
        <v>415253</v>
      </c>
      <c r="S1128" t="s">
        <v>84</v>
      </c>
      <c r="T1128" s="2">
        <v>191</v>
      </c>
      <c r="U1128">
        <v>0</v>
      </c>
      <c r="V1128" t="s">
        <v>260</v>
      </c>
      <c r="W1128">
        <v>1</v>
      </c>
      <c r="X1128">
        <v>1</v>
      </c>
      <c r="Y1128">
        <v>0</v>
      </c>
      <c r="Z1128" t="s">
        <v>1972</v>
      </c>
      <c r="AA1128" t="s">
        <v>1973</v>
      </c>
      <c r="AB1128" t="s">
        <v>14</v>
      </c>
      <c r="AC1128">
        <v>3.8778000000000001</v>
      </c>
      <c r="AD1128">
        <v>3.88</v>
      </c>
      <c r="AE1128">
        <v>726182084082</v>
      </c>
      <c r="AF1128">
        <v>431.1</v>
      </c>
      <c r="AG1128">
        <v>0</v>
      </c>
      <c r="AH1128">
        <v>18.66</v>
      </c>
      <c r="AI1128">
        <v>449.76</v>
      </c>
      <c r="AJ1128" t="s">
        <v>2</v>
      </c>
      <c r="AK1128" t="s">
        <v>11</v>
      </c>
    </row>
    <row r="1129" spans="1:37">
      <c r="A1129">
        <v>257848</v>
      </c>
      <c r="B1129" s="1">
        <v>45366</v>
      </c>
      <c r="C1129" t="s">
        <v>1305</v>
      </c>
      <c r="D1129" t="s">
        <v>1306</v>
      </c>
      <c r="E1129" t="s">
        <v>2</v>
      </c>
      <c r="F1129" t="s">
        <v>1307</v>
      </c>
      <c r="G1129" t="s">
        <v>28</v>
      </c>
      <c r="H1129">
        <v>34233</v>
      </c>
      <c r="I1129" t="s">
        <v>1305</v>
      </c>
      <c r="J1129" t="s">
        <v>1306</v>
      </c>
      <c r="K1129" t="s">
        <v>2</v>
      </c>
      <c r="L1129" t="s">
        <v>1307</v>
      </c>
      <c r="M1129" t="s">
        <v>28</v>
      </c>
      <c r="N1129">
        <v>34233</v>
      </c>
      <c r="O1129" t="s">
        <v>1312</v>
      </c>
      <c r="P1129" t="s">
        <v>1946</v>
      </c>
      <c r="Q1129" t="s">
        <v>21</v>
      </c>
      <c r="R1129">
        <v>415253</v>
      </c>
      <c r="S1129" t="s">
        <v>84</v>
      </c>
      <c r="T1129" s="2">
        <v>191</v>
      </c>
      <c r="U1129">
        <v>0</v>
      </c>
      <c r="V1129" t="s">
        <v>260</v>
      </c>
      <c r="W1129">
        <v>0</v>
      </c>
      <c r="X1129">
        <v>0</v>
      </c>
      <c r="Y1129">
        <v>0</v>
      </c>
      <c r="Z1129" t="s">
        <v>88</v>
      </c>
      <c r="AA1129" t="s">
        <v>1971</v>
      </c>
      <c r="AB1129" t="s">
        <v>10</v>
      </c>
      <c r="AC1129">
        <v>0</v>
      </c>
      <c r="AD1129">
        <v>0</v>
      </c>
      <c r="AE1129">
        <v>726182084082</v>
      </c>
      <c r="AF1129">
        <v>431.1</v>
      </c>
      <c r="AG1129">
        <v>0</v>
      </c>
      <c r="AH1129">
        <v>18.66</v>
      </c>
      <c r="AI1129">
        <v>449.76</v>
      </c>
      <c r="AJ1129" t="s">
        <v>2</v>
      </c>
      <c r="AK1129" t="s">
        <v>11</v>
      </c>
    </row>
    <row r="1130" spans="1:37">
      <c r="A1130">
        <v>257848</v>
      </c>
      <c r="B1130" s="1">
        <v>45366</v>
      </c>
      <c r="C1130" t="s">
        <v>1305</v>
      </c>
      <c r="D1130" t="s">
        <v>1306</v>
      </c>
      <c r="E1130" t="s">
        <v>2</v>
      </c>
      <c r="F1130" t="s">
        <v>1307</v>
      </c>
      <c r="G1130" t="s">
        <v>28</v>
      </c>
      <c r="H1130">
        <v>34233</v>
      </c>
      <c r="I1130" t="s">
        <v>1305</v>
      </c>
      <c r="J1130" t="s">
        <v>1306</v>
      </c>
      <c r="K1130" t="s">
        <v>2</v>
      </c>
      <c r="L1130" t="s">
        <v>1307</v>
      </c>
      <c r="M1130" t="s">
        <v>28</v>
      </c>
      <c r="N1130">
        <v>34233</v>
      </c>
      <c r="O1130" t="s">
        <v>1312</v>
      </c>
      <c r="P1130" t="s">
        <v>1946</v>
      </c>
      <c r="Q1130" t="s">
        <v>21</v>
      </c>
      <c r="R1130">
        <v>415253</v>
      </c>
      <c r="S1130" t="s">
        <v>84</v>
      </c>
      <c r="T1130" s="2">
        <v>191</v>
      </c>
      <c r="U1130">
        <v>0</v>
      </c>
      <c r="V1130" t="s">
        <v>260</v>
      </c>
      <c r="W1130">
        <v>1</v>
      </c>
      <c r="X1130">
        <v>1</v>
      </c>
      <c r="Y1130">
        <v>0</v>
      </c>
      <c r="Z1130" t="s">
        <v>1974</v>
      </c>
      <c r="AA1130" t="s">
        <v>1975</v>
      </c>
      <c r="AB1130" t="s">
        <v>14</v>
      </c>
      <c r="AC1130">
        <v>1.7</v>
      </c>
      <c r="AD1130">
        <v>1.7</v>
      </c>
      <c r="AE1130">
        <v>726182084082</v>
      </c>
      <c r="AF1130">
        <v>431.1</v>
      </c>
      <c r="AG1130">
        <v>0</v>
      </c>
      <c r="AH1130">
        <v>18.66</v>
      </c>
      <c r="AI1130">
        <v>449.76</v>
      </c>
      <c r="AJ1130" t="s">
        <v>2</v>
      </c>
      <c r="AK1130" t="s">
        <v>11</v>
      </c>
    </row>
    <row r="1131" spans="1:37">
      <c r="A1131">
        <v>257848</v>
      </c>
      <c r="B1131" s="1">
        <v>45366</v>
      </c>
      <c r="C1131" t="s">
        <v>1305</v>
      </c>
      <c r="D1131" t="s">
        <v>1306</v>
      </c>
      <c r="E1131" t="s">
        <v>2</v>
      </c>
      <c r="F1131" t="s">
        <v>1307</v>
      </c>
      <c r="G1131" t="s">
        <v>28</v>
      </c>
      <c r="H1131">
        <v>34233</v>
      </c>
      <c r="I1131" t="s">
        <v>1305</v>
      </c>
      <c r="J1131" t="s">
        <v>1306</v>
      </c>
      <c r="K1131" t="s">
        <v>2</v>
      </c>
      <c r="L1131" t="s">
        <v>1307</v>
      </c>
      <c r="M1131" t="s">
        <v>28</v>
      </c>
      <c r="N1131">
        <v>34233</v>
      </c>
      <c r="O1131" t="s">
        <v>1312</v>
      </c>
      <c r="P1131" t="s">
        <v>1946</v>
      </c>
      <c r="Q1131" t="s">
        <v>21</v>
      </c>
      <c r="R1131">
        <v>415253</v>
      </c>
      <c r="S1131" t="s">
        <v>84</v>
      </c>
      <c r="T1131" s="2">
        <v>191</v>
      </c>
      <c r="U1131">
        <v>0</v>
      </c>
      <c r="V1131" t="s">
        <v>260</v>
      </c>
      <c r="W1131">
        <v>0</v>
      </c>
      <c r="X1131">
        <v>0</v>
      </c>
      <c r="Y1131">
        <v>0</v>
      </c>
      <c r="Z1131" t="s">
        <v>88</v>
      </c>
      <c r="AA1131" t="s">
        <v>1976</v>
      </c>
      <c r="AB1131" t="s">
        <v>10</v>
      </c>
      <c r="AC1131">
        <v>0</v>
      </c>
      <c r="AD1131">
        <v>0</v>
      </c>
      <c r="AE1131">
        <v>726182084082</v>
      </c>
      <c r="AF1131">
        <v>431.1</v>
      </c>
      <c r="AG1131">
        <v>0</v>
      </c>
      <c r="AH1131">
        <v>18.66</v>
      </c>
      <c r="AI1131">
        <v>449.76</v>
      </c>
      <c r="AJ1131" t="s">
        <v>2</v>
      </c>
      <c r="AK1131" t="s">
        <v>11</v>
      </c>
    </row>
    <row r="1132" spans="1:37">
      <c r="A1132">
        <v>257848</v>
      </c>
      <c r="B1132" s="1">
        <v>45366</v>
      </c>
      <c r="C1132" t="s">
        <v>1305</v>
      </c>
      <c r="D1132" t="s">
        <v>1306</v>
      </c>
      <c r="E1132" t="s">
        <v>2</v>
      </c>
      <c r="F1132" t="s">
        <v>1307</v>
      </c>
      <c r="G1132" t="s">
        <v>28</v>
      </c>
      <c r="H1132">
        <v>34233</v>
      </c>
      <c r="I1132" t="s">
        <v>1305</v>
      </c>
      <c r="J1132" t="s">
        <v>1306</v>
      </c>
      <c r="K1132" t="s">
        <v>2</v>
      </c>
      <c r="L1132" t="s">
        <v>1307</v>
      </c>
      <c r="M1132" t="s">
        <v>28</v>
      </c>
      <c r="N1132">
        <v>34233</v>
      </c>
      <c r="O1132" t="s">
        <v>1312</v>
      </c>
      <c r="P1132" t="s">
        <v>1946</v>
      </c>
      <c r="Q1132" t="s">
        <v>21</v>
      </c>
      <c r="R1132">
        <v>415253</v>
      </c>
      <c r="S1132" t="s">
        <v>84</v>
      </c>
      <c r="T1132" s="2">
        <v>191</v>
      </c>
      <c r="U1132">
        <v>0</v>
      </c>
      <c r="V1132" t="s">
        <v>260</v>
      </c>
      <c r="W1132">
        <v>1</v>
      </c>
      <c r="X1132">
        <v>1</v>
      </c>
      <c r="Y1132">
        <v>0</v>
      </c>
      <c r="Z1132" t="s">
        <v>1977</v>
      </c>
      <c r="AA1132" t="s">
        <v>1978</v>
      </c>
      <c r="AB1132" t="s">
        <v>14</v>
      </c>
      <c r="AC1132">
        <v>1.7</v>
      </c>
      <c r="AD1132">
        <v>1.7</v>
      </c>
      <c r="AE1132">
        <v>726182084082</v>
      </c>
      <c r="AF1132">
        <v>431.1</v>
      </c>
      <c r="AG1132">
        <v>0</v>
      </c>
      <c r="AH1132">
        <v>18.66</v>
      </c>
      <c r="AI1132">
        <v>449.76</v>
      </c>
      <c r="AJ1132" t="s">
        <v>2</v>
      </c>
      <c r="AK1132" t="s">
        <v>11</v>
      </c>
    </row>
    <row r="1133" spans="1:37">
      <c r="A1133">
        <v>257848</v>
      </c>
      <c r="B1133" s="1">
        <v>45366</v>
      </c>
      <c r="C1133" t="s">
        <v>1305</v>
      </c>
      <c r="D1133" t="s">
        <v>1306</v>
      </c>
      <c r="E1133" t="s">
        <v>2</v>
      </c>
      <c r="F1133" t="s">
        <v>1307</v>
      </c>
      <c r="G1133" t="s">
        <v>28</v>
      </c>
      <c r="H1133">
        <v>34233</v>
      </c>
      <c r="I1133" t="s">
        <v>1305</v>
      </c>
      <c r="J1133" t="s">
        <v>1306</v>
      </c>
      <c r="K1133" t="s">
        <v>2</v>
      </c>
      <c r="L1133" t="s">
        <v>1307</v>
      </c>
      <c r="M1133" t="s">
        <v>28</v>
      </c>
      <c r="N1133">
        <v>34233</v>
      </c>
      <c r="O1133" t="s">
        <v>1312</v>
      </c>
      <c r="P1133" t="s">
        <v>1946</v>
      </c>
      <c r="Q1133" t="s">
        <v>21</v>
      </c>
      <c r="R1133">
        <v>415253</v>
      </c>
      <c r="S1133" t="s">
        <v>84</v>
      </c>
      <c r="T1133" s="2">
        <v>191</v>
      </c>
      <c r="U1133">
        <v>0</v>
      </c>
      <c r="V1133" t="s">
        <v>260</v>
      </c>
      <c r="W1133">
        <v>0</v>
      </c>
      <c r="X1133">
        <v>0</v>
      </c>
      <c r="Y1133">
        <v>0</v>
      </c>
      <c r="Z1133" t="s">
        <v>88</v>
      </c>
      <c r="AA1133" t="s">
        <v>1976</v>
      </c>
      <c r="AB1133" t="s">
        <v>10</v>
      </c>
      <c r="AC1133">
        <v>0</v>
      </c>
      <c r="AD1133">
        <v>0</v>
      </c>
      <c r="AE1133">
        <v>726182084082</v>
      </c>
      <c r="AF1133">
        <v>431.1</v>
      </c>
      <c r="AG1133">
        <v>0</v>
      </c>
      <c r="AH1133">
        <v>18.66</v>
      </c>
      <c r="AI1133">
        <v>449.76</v>
      </c>
      <c r="AJ1133" t="s">
        <v>2</v>
      </c>
      <c r="AK1133" t="s">
        <v>11</v>
      </c>
    </row>
    <row r="1134" spans="1:37">
      <c r="A1134">
        <v>257848</v>
      </c>
      <c r="B1134" s="1">
        <v>45366</v>
      </c>
      <c r="C1134" t="s">
        <v>1305</v>
      </c>
      <c r="D1134" t="s">
        <v>1306</v>
      </c>
      <c r="E1134" t="s">
        <v>2</v>
      </c>
      <c r="F1134" t="s">
        <v>1307</v>
      </c>
      <c r="G1134" t="s">
        <v>28</v>
      </c>
      <c r="H1134">
        <v>34233</v>
      </c>
      <c r="I1134" t="s">
        <v>1305</v>
      </c>
      <c r="J1134" t="s">
        <v>1306</v>
      </c>
      <c r="K1134" t="s">
        <v>2</v>
      </c>
      <c r="L1134" t="s">
        <v>1307</v>
      </c>
      <c r="M1134" t="s">
        <v>28</v>
      </c>
      <c r="N1134">
        <v>34233</v>
      </c>
      <c r="O1134" t="s">
        <v>1312</v>
      </c>
      <c r="P1134" t="s">
        <v>1946</v>
      </c>
      <c r="Q1134" t="s">
        <v>21</v>
      </c>
      <c r="R1134">
        <v>415253</v>
      </c>
      <c r="S1134" t="s">
        <v>84</v>
      </c>
      <c r="T1134" s="2">
        <v>191</v>
      </c>
      <c r="U1134">
        <v>0</v>
      </c>
      <c r="V1134" t="s">
        <v>260</v>
      </c>
      <c r="W1134">
        <v>2</v>
      </c>
      <c r="X1134">
        <v>2</v>
      </c>
      <c r="Y1134">
        <v>0</v>
      </c>
      <c r="Z1134" t="s">
        <v>1979</v>
      </c>
      <c r="AA1134" t="s">
        <v>1980</v>
      </c>
      <c r="AB1134" t="s">
        <v>14</v>
      </c>
      <c r="AC1134">
        <v>1.7</v>
      </c>
      <c r="AD1134">
        <v>3.4</v>
      </c>
      <c r="AE1134">
        <v>726182084082</v>
      </c>
      <c r="AF1134">
        <v>431.1</v>
      </c>
      <c r="AG1134">
        <v>0</v>
      </c>
      <c r="AH1134">
        <v>18.66</v>
      </c>
      <c r="AI1134">
        <v>449.76</v>
      </c>
      <c r="AJ1134" t="s">
        <v>2</v>
      </c>
      <c r="AK1134" t="s">
        <v>11</v>
      </c>
    </row>
    <row r="1135" spans="1:37">
      <c r="A1135">
        <v>257848</v>
      </c>
      <c r="B1135" s="1">
        <v>45366</v>
      </c>
      <c r="C1135" t="s">
        <v>1305</v>
      </c>
      <c r="D1135" t="s">
        <v>1306</v>
      </c>
      <c r="E1135" t="s">
        <v>2</v>
      </c>
      <c r="F1135" t="s">
        <v>1307</v>
      </c>
      <c r="G1135" t="s">
        <v>28</v>
      </c>
      <c r="H1135">
        <v>34233</v>
      </c>
      <c r="I1135" t="s">
        <v>1305</v>
      </c>
      <c r="J1135" t="s">
        <v>1306</v>
      </c>
      <c r="K1135" t="s">
        <v>2</v>
      </c>
      <c r="L1135" t="s">
        <v>1307</v>
      </c>
      <c r="M1135" t="s">
        <v>28</v>
      </c>
      <c r="N1135">
        <v>34233</v>
      </c>
      <c r="O1135" t="s">
        <v>1312</v>
      </c>
      <c r="P1135" t="s">
        <v>1946</v>
      </c>
      <c r="Q1135" t="s">
        <v>21</v>
      </c>
      <c r="R1135">
        <v>415253</v>
      </c>
      <c r="S1135" t="s">
        <v>84</v>
      </c>
      <c r="T1135" s="2">
        <v>191</v>
      </c>
      <c r="U1135">
        <v>0</v>
      </c>
      <c r="V1135" t="s">
        <v>260</v>
      </c>
      <c r="W1135">
        <v>0</v>
      </c>
      <c r="X1135">
        <v>0</v>
      </c>
      <c r="Y1135">
        <v>0</v>
      </c>
      <c r="Z1135" t="s">
        <v>88</v>
      </c>
      <c r="AA1135" t="s">
        <v>1976</v>
      </c>
      <c r="AB1135" t="s">
        <v>10</v>
      </c>
      <c r="AC1135">
        <v>0</v>
      </c>
      <c r="AD1135">
        <v>0</v>
      </c>
      <c r="AE1135">
        <v>726182084082</v>
      </c>
      <c r="AF1135">
        <v>431.1</v>
      </c>
      <c r="AG1135">
        <v>0</v>
      </c>
      <c r="AH1135">
        <v>18.66</v>
      </c>
      <c r="AI1135">
        <v>449.76</v>
      </c>
      <c r="AJ1135" t="s">
        <v>2</v>
      </c>
      <c r="AK1135" t="s">
        <v>11</v>
      </c>
    </row>
    <row r="1136" spans="1:37">
      <c r="A1136">
        <v>257848</v>
      </c>
      <c r="B1136" s="1">
        <v>45366</v>
      </c>
      <c r="C1136" t="s">
        <v>1305</v>
      </c>
      <c r="D1136" t="s">
        <v>1306</v>
      </c>
      <c r="E1136" t="s">
        <v>2</v>
      </c>
      <c r="F1136" t="s">
        <v>1307</v>
      </c>
      <c r="G1136" t="s">
        <v>28</v>
      </c>
      <c r="H1136">
        <v>34233</v>
      </c>
      <c r="I1136" t="s">
        <v>1305</v>
      </c>
      <c r="J1136" t="s">
        <v>1306</v>
      </c>
      <c r="K1136" t="s">
        <v>2</v>
      </c>
      <c r="L1136" t="s">
        <v>1307</v>
      </c>
      <c r="M1136" t="s">
        <v>28</v>
      </c>
      <c r="N1136">
        <v>34233</v>
      </c>
      <c r="O1136" t="s">
        <v>1312</v>
      </c>
      <c r="P1136" t="s">
        <v>1946</v>
      </c>
      <c r="Q1136" t="s">
        <v>21</v>
      </c>
      <c r="R1136">
        <v>415253</v>
      </c>
      <c r="S1136" t="s">
        <v>84</v>
      </c>
      <c r="T1136" s="2">
        <v>191</v>
      </c>
      <c r="U1136">
        <v>0</v>
      </c>
      <c r="V1136" t="s">
        <v>260</v>
      </c>
      <c r="W1136">
        <v>1</v>
      </c>
      <c r="X1136">
        <v>1</v>
      </c>
      <c r="Y1136">
        <v>0</v>
      </c>
      <c r="Z1136" t="s">
        <v>1981</v>
      </c>
      <c r="AA1136" t="s">
        <v>1982</v>
      </c>
      <c r="AB1136" t="s">
        <v>14</v>
      </c>
      <c r="AC1136">
        <v>1.7</v>
      </c>
      <c r="AD1136">
        <v>1.7</v>
      </c>
      <c r="AE1136">
        <v>726182084082</v>
      </c>
      <c r="AF1136">
        <v>431.1</v>
      </c>
      <c r="AG1136">
        <v>0</v>
      </c>
      <c r="AH1136">
        <v>18.66</v>
      </c>
      <c r="AI1136">
        <v>449.76</v>
      </c>
      <c r="AJ1136" t="s">
        <v>2</v>
      </c>
      <c r="AK1136" t="s">
        <v>11</v>
      </c>
    </row>
    <row r="1137" spans="1:37">
      <c r="A1137">
        <v>257848</v>
      </c>
      <c r="B1137" s="1">
        <v>45366</v>
      </c>
      <c r="C1137" t="s">
        <v>1305</v>
      </c>
      <c r="D1137" t="s">
        <v>1306</v>
      </c>
      <c r="E1137" t="s">
        <v>2</v>
      </c>
      <c r="F1137" t="s">
        <v>1307</v>
      </c>
      <c r="G1137" t="s">
        <v>28</v>
      </c>
      <c r="H1137">
        <v>34233</v>
      </c>
      <c r="I1137" t="s">
        <v>1305</v>
      </c>
      <c r="J1137" t="s">
        <v>1306</v>
      </c>
      <c r="K1137" t="s">
        <v>2</v>
      </c>
      <c r="L1137" t="s">
        <v>1307</v>
      </c>
      <c r="M1137" t="s">
        <v>28</v>
      </c>
      <c r="N1137">
        <v>34233</v>
      </c>
      <c r="O1137" t="s">
        <v>1312</v>
      </c>
      <c r="P1137" t="s">
        <v>1946</v>
      </c>
      <c r="Q1137" t="s">
        <v>21</v>
      </c>
      <c r="R1137">
        <v>415253</v>
      </c>
      <c r="S1137" t="s">
        <v>84</v>
      </c>
      <c r="T1137" s="2">
        <v>191</v>
      </c>
      <c r="U1137">
        <v>0</v>
      </c>
      <c r="V1137" t="s">
        <v>260</v>
      </c>
      <c r="W1137">
        <v>0</v>
      </c>
      <c r="X1137">
        <v>0</v>
      </c>
      <c r="Y1137">
        <v>0</v>
      </c>
      <c r="Z1137" t="s">
        <v>88</v>
      </c>
      <c r="AA1137" t="s">
        <v>1976</v>
      </c>
      <c r="AB1137" t="s">
        <v>10</v>
      </c>
      <c r="AC1137">
        <v>0</v>
      </c>
      <c r="AD1137">
        <v>0</v>
      </c>
      <c r="AE1137">
        <v>726182084082</v>
      </c>
      <c r="AF1137">
        <v>431.1</v>
      </c>
      <c r="AG1137">
        <v>0</v>
      </c>
      <c r="AH1137">
        <v>18.66</v>
      </c>
      <c r="AI1137">
        <v>449.76</v>
      </c>
      <c r="AJ1137" t="s">
        <v>2</v>
      </c>
      <c r="AK1137" t="s">
        <v>11</v>
      </c>
    </row>
    <row r="1138" spans="1:37">
      <c r="A1138">
        <v>257848</v>
      </c>
      <c r="B1138" s="1">
        <v>45366</v>
      </c>
      <c r="C1138" t="s">
        <v>1305</v>
      </c>
      <c r="D1138" t="s">
        <v>1306</v>
      </c>
      <c r="E1138" t="s">
        <v>2</v>
      </c>
      <c r="F1138" t="s">
        <v>1307</v>
      </c>
      <c r="G1138" t="s">
        <v>28</v>
      </c>
      <c r="H1138">
        <v>34233</v>
      </c>
      <c r="I1138" t="s">
        <v>1305</v>
      </c>
      <c r="J1138" t="s">
        <v>1306</v>
      </c>
      <c r="K1138" t="s">
        <v>2</v>
      </c>
      <c r="L1138" t="s">
        <v>1307</v>
      </c>
      <c r="M1138" t="s">
        <v>28</v>
      </c>
      <c r="N1138">
        <v>34233</v>
      </c>
      <c r="O1138" t="s">
        <v>1312</v>
      </c>
      <c r="P1138" t="s">
        <v>1946</v>
      </c>
      <c r="Q1138" t="s">
        <v>21</v>
      </c>
      <c r="R1138">
        <v>415253</v>
      </c>
      <c r="S1138" t="s">
        <v>84</v>
      </c>
      <c r="T1138" s="2">
        <v>191</v>
      </c>
      <c r="U1138">
        <v>0</v>
      </c>
      <c r="V1138" t="s">
        <v>260</v>
      </c>
      <c r="W1138">
        <v>1</v>
      </c>
      <c r="X1138">
        <v>1</v>
      </c>
      <c r="Y1138">
        <v>0</v>
      </c>
      <c r="Z1138" t="s">
        <v>1983</v>
      </c>
      <c r="AA1138" t="s">
        <v>1984</v>
      </c>
      <c r="AB1138" t="s">
        <v>14</v>
      </c>
      <c r="AC1138">
        <v>1.7</v>
      </c>
      <c r="AD1138">
        <v>1.7</v>
      </c>
      <c r="AE1138">
        <v>726182084082</v>
      </c>
      <c r="AF1138">
        <v>431.1</v>
      </c>
      <c r="AG1138">
        <v>0</v>
      </c>
      <c r="AH1138">
        <v>18.66</v>
      </c>
      <c r="AI1138">
        <v>449.76</v>
      </c>
      <c r="AJ1138" t="s">
        <v>2</v>
      </c>
      <c r="AK1138" t="s">
        <v>11</v>
      </c>
    </row>
    <row r="1139" spans="1:37">
      <c r="A1139">
        <v>257848</v>
      </c>
      <c r="B1139" s="1">
        <v>45366</v>
      </c>
      <c r="C1139" t="s">
        <v>1305</v>
      </c>
      <c r="D1139" t="s">
        <v>1306</v>
      </c>
      <c r="E1139" t="s">
        <v>2</v>
      </c>
      <c r="F1139" t="s">
        <v>1307</v>
      </c>
      <c r="G1139" t="s">
        <v>28</v>
      </c>
      <c r="H1139">
        <v>34233</v>
      </c>
      <c r="I1139" t="s">
        <v>1305</v>
      </c>
      <c r="J1139" t="s">
        <v>1306</v>
      </c>
      <c r="K1139" t="s">
        <v>2</v>
      </c>
      <c r="L1139" t="s">
        <v>1307</v>
      </c>
      <c r="M1139" t="s">
        <v>28</v>
      </c>
      <c r="N1139">
        <v>34233</v>
      </c>
      <c r="O1139" t="s">
        <v>1312</v>
      </c>
      <c r="P1139" t="s">
        <v>1946</v>
      </c>
      <c r="Q1139" t="s">
        <v>21</v>
      </c>
      <c r="R1139">
        <v>415253</v>
      </c>
      <c r="S1139" t="s">
        <v>84</v>
      </c>
      <c r="T1139" s="2">
        <v>191</v>
      </c>
      <c r="U1139">
        <v>0</v>
      </c>
      <c r="V1139" t="s">
        <v>260</v>
      </c>
      <c r="W1139">
        <v>0</v>
      </c>
      <c r="X1139">
        <v>0</v>
      </c>
      <c r="Y1139">
        <v>0</v>
      </c>
      <c r="Z1139" t="s">
        <v>88</v>
      </c>
      <c r="AA1139" t="s">
        <v>1976</v>
      </c>
      <c r="AB1139" t="s">
        <v>10</v>
      </c>
      <c r="AC1139">
        <v>0</v>
      </c>
      <c r="AD1139">
        <v>0</v>
      </c>
      <c r="AE1139">
        <v>726182084082</v>
      </c>
      <c r="AF1139">
        <v>431.1</v>
      </c>
      <c r="AG1139">
        <v>0</v>
      </c>
      <c r="AH1139">
        <v>18.66</v>
      </c>
      <c r="AI1139">
        <v>449.76</v>
      </c>
      <c r="AJ1139" t="s">
        <v>2</v>
      </c>
      <c r="AK1139" t="s">
        <v>11</v>
      </c>
    </row>
    <row r="1140" spans="1:37">
      <c r="A1140">
        <v>257848</v>
      </c>
      <c r="B1140" s="1">
        <v>45366</v>
      </c>
      <c r="C1140" t="s">
        <v>1305</v>
      </c>
      <c r="D1140" t="s">
        <v>1306</v>
      </c>
      <c r="E1140" t="s">
        <v>2</v>
      </c>
      <c r="F1140" t="s">
        <v>1307</v>
      </c>
      <c r="G1140" t="s">
        <v>28</v>
      </c>
      <c r="H1140">
        <v>34233</v>
      </c>
      <c r="I1140" t="s">
        <v>1305</v>
      </c>
      <c r="J1140" t="s">
        <v>1306</v>
      </c>
      <c r="K1140" t="s">
        <v>2</v>
      </c>
      <c r="L1140" t="s">
        <v>1307</v>
      </c>
      <c r="M1140" t="s">
        <v>28</v>
      </c>
      <c r="N1140">
        <v>34233</v>
      </c>
      <c r="O1140" t="s">
        <v>1312</v>
      </c>
      <c r="P1140" t="s">
        <v>1946</v>
      </c>
      <c r="Q1140" t="s">
        <v>21</v>
      </c>
      <c r="R1140">
        <v>415253</v>
      </c>
      <c r="S1140" t="s">
        <v>84</v>
      </c>
      <c r="T1140" s="2">
        <v>191</v>
      </c>
      <c r="U1140">
        <v>0</v>
      </c>
      <c r="V1140" t="s">
        <v>260</v>
      </c>
      <c r="W1140">
        <v>2</v>
      </c>
      <c r="X1140">
        <v>2</v>
      </c>
      <c r="Y1140">
        <v>0</v>
      </c>
      <c r="Z1140" t="s">
        <v>1985</v>
      </c>
      <c r="AA1140" t="s">
        <v>1986</v>
      </c>
      <c r="AB1140" t="s">
        <v>14</v>
      </c>
      <c r="AC1140">
        <v>1.7</v>
      </c>
      <c r="AD1140">
        <v>3.4</v>
      </c>
      <c r="AE1140">
        <v>726182084082</v>
      </c>
      <c r="AF1140">
        <v>431.1</v>
      </c>
      <c r="AG1140">
        <v>0</v>
      </c>
      <c r="AH1140">
        <v>18.66</v>
      </c>
      <c r="AI1140">
        <v>449.76</v>
      </c>
      <c r="AJ1140" t="s">
        <v>2</v>
      </c>
      <c r="AK1140" t="s">
        <v>11</v>
      </c>
    </row>
    <row r="1141" spans="1:37">
      <c r="A1141">
        <v>257848</v>
      </c>
      <c r="B1141" s="1">
        <v>45366</v>
      </c>
      <c r="C1141" t="s">
        <v>1305</v>
      </c>
      <c r="D1141" t="s">
        <v>1306</v>
      </c>
      <c r="E1141" t="s">
        <v>2</v>
      </c>
      <c r="F1141" t="s">
        <v>1307</v>
      </c>
      <c r="G1141" t="s">
        <v>28</v>
      </c>
      <c r="H1141">
        <v>34233</v>
      </c>
      <c r="I1141" t="s">
        <v>1305</v>
      </c>
      <c r="J1141" t="s">
        <v>1306</v>
      </c>
      <c r="K1141" t="s">
        <v>2</v>
      </c>
      <c r="L1141" t="s">
        <v>1307</v>
      </c>
      <c r="M1141" t="s">
        <v>28</v>
      </c>
      <c r="N1141">
        <v>34233</v>
      </c>
      <c r="O1141" t="s">
        <v>1312</v>
      </c>
      <c r="P1141" t="s">
        <v>1946</v>
      </c>
      <c r="Q1141" t="s">
        <v>21</v>
      </c>
      <c r="R1141">
        <v>415253</v>
      </c>
      <c r="S1141" t="s">
        <v>84</v>
      </c>
      <c r="T1141" s="2">
        <v>191</v>
      </c>
      <c r="U1141">
        <v>0</v>
      </c>
      <c r="V1141" t="s">
        <v>260</v>
      </c>
      <c r="W1141">
        <v>0</v>
      </c>
      <c r="X1141">
        <v>0</v>
      </c>
      <c r="Y1141">
        <v>0</v>
      </c>
      <c r="Z1141" t="s">
        <v>88</v>
      </c>
      <c r="AA1141" t="s">
        <v>1976</v>
      </c>
      <c r="AB1141" t="s">
        <v>10</v>
      </c>
      <c r="AC1141">
        <v>0</v>
      </c>
      <c r="AD1141">
        <v>0</v>
      </c>
      <c r="AE1141">
        <v>726182084082</v>
      </c>
      <c r="AF1141">
        <v>431.1</v>
      </c>
      <c r="AG1141">
        <v>0</v>
      </c>
      <c r="AH1141">
        <v>18.66</v>
      </c>
      <c r="AI1141">
        <v>449.76</v>
      </c>
      <c r="AJ1141" t="s">
        <v>2</v>
      </c>
      <c r="AK1141" t="s">
        <v>11</v>
      </c>
    </row>
    <row r="1142" spans="1:37">
      <c r="A1142">
        <v>257848</v>
      </c>
      <c r="B1142" s="1">
        <v>45366</v>
      </c>
      <c r="C1142" t="s">
        <v>1305</v>
      </c>
      <c r="D1142" t="s">
        <v>1306</v>
      </c>
      <c r="E1142" t="s">
        <v>2</v>
      </c>
      <c r="F1142" t="s">
        <v>1307</v>
      </c>
      <c r="G1142" t="s">
        <v>28</v>
      </c>
      <c r="H1142">
        <v>34233</v>
      </c>
      <c r="I1142" t="s">
        <v>1305</v>
      </c>
      <c r="J1142" t="s">
        <v>1306</v>
      </c>
      <c r="K1142" t="s">
        <v>2</v>
      </c>
      <c r="L1142" t="s">
        <v>1307</v>
      </c>
      <c r="M1142" t="s">
        <v>28</v>
      </c>
      <c r="N1142">
        <v>34233</v>
      </c>
      <c r="O1142" t="s">
        <v>1312</v>
      </c>
      <c r="P1142" t="s">
        <v>1946</v>
      </c>
      <c r="Q1142" t="s">
        <v>21</v>
      </c>
      <c r="R1142">
        <v>415253</v>
      </c>
      <c r="S1142" t="s">
        <v>84</v>
      </c>
      <c r="T1142" s="2">
        <v>191</v>
      </c>
      <c r="U1142">
        <v>0</v>
      </c>
      <c r="V1142" t="s">
        <v>260</v>
      </c>
      <c r="W1142">
        <v>1</v>
      </c>
      <c r="X1142">
        <v>0</v>
      </c>
      <c r="Y1142">
        <v>1</v>
      </c>
      <c r="Z1142" t="s">
        <v>1987</v>
      </c>
      <c r="AA1142" t="s">
        <v>1988</v>
      </c>
      <c r="AB1142" t="s">
        <v>14</v>
      </c>
      <c r="AC1142">
        <v>1.7</v>
      </c>
      <c r="AD1142">
        <v>0</v>
      </c>
      <c r="AE1142">
        <v>726182084082</v>
      </c>
      <c r="AF1142">
        <v>431.1</v>
      </c>
      <c r="AG1142">
        <v>0</v>
      </c>
      <c r="AH1142">
        <v>18.66</v>
      </c>
      <c r="AI1142">
        <v>449.76</v>
      </c>
      <c r="AJ1142" t="s">
        <v>2</v>
      </c>
      <c r="AK1142" t="s">
        <v>11</v>
      </c>
    </row>
    <row r="1143" spans="1:37">
      <c r="A1143">
        <v>257848</v>
      </c>
      <c r="B1143" s="1">
        <v>45366</v>
      </c>
      <c r="C1143" t="s">
        <v>1305</v>
      </c>
      <c r="D1143" t="s">
        <v>1306</v>
      </c>
      <c r="E1143" t="s">
        <v>2</v>
      </c>
      <c r="F1143" t="s">
        <v>1307</v>
      </c>
      <c r="G1143" t="s">
        <v>28</v>
      </c>
      <c r="H1143">
        <v>34233</v>
      </c>
      <c r="I1143" t="s">
        <v>1305</v>
      </c>
      <c r="J1143" t="s">
        <v>1306</v>
      </c>
      <c r="K1143" t="s">
        <v>2</v>
      </c>
      <c r="L1143" t="s">
        <v>1307</v>
      </c>
      <c r="M1143" t="s">
        <v>28</v>
      </c>
      <c r="N1143">
        <v>34233</v>
      </c>
      <c r="O1143" t="s">
        <v>1312</v>
      </c>
      <c r="P1143" t="s">
        <v>1946</v>
      </c>
      <c r="Q1143" t="s">
        <v>21</v>
      </c>
      <c r="R1143">
        <v>415253</v>
      </c>
      <c r="S1143" t="s">
        <v>84</v>
      </c>
      <c r="T1143" s="2">
        <v>191</v>
      </c>
      <c r="U1143">
        <v>0</v>
      </c>
      <c r="V1143" t="s">
        <v>260</v>
      </c>
      <c r="W1143">
        <v>0</v>
      </c>
      <c r="X1143">
        <v>0</v>
      </c>
      <c r="Y1143">
        <v>0</v>
      </c>
      <c r="Z1143" t="s">
        <v>88</v>
      </c>
      <c r="AA1143" t="s">
        <v>1976</v>
      </c>
      <c r="AB1143" t="s">
        <v>10</v>
      </c>
      <c r="AC1143">
        <v>0</v>
      </c>
      <c r="AD1143">
        <v>0</v>
      </c>
      <c r="AE1143">
        <v>726182084082</v>
      </c>
      <c r="AF1143">
        <v>431.1</v>
      </c>
      <c r="AG1143">
        <v>0</v>
      </c>
      <c r="AH1143">
        <v>18.66</v>
      </c>
      <c r="AI1143">
        <v>449.76</v>
      </c>
      <c r="AJ1143" t="s">
        <v>2</v>
      </c>
      <c r="AK1143" t="s">
        <v>11</v>
      </c>
    </row>
    <row r="1144" spans="1:37">
      <c r="A1144">
        <v>257848</v>
      </c>
      <c r="B1144" s="1">
        <v>45366</v>
      </c>
      <c r="C1144" t="s">
        <v>1305</v>
      </c>
      <c r="D1144" t="s">
        <v>1306</v>
      </c>
      <c r="E1144" t="s">
        <v>2</v>
      </c>
      <c r="F1144" t="s">
        <v>1307</v>
      </c>
      <c r="G1144" t="s">
        <v>28</v>
      </c>
      <c r="H1144">
        <v>34233</v>
      </c>
      <c r="I1144" t="s">
        <v>1305</v>
      </c>
      <c r="J1144" t="s">
        <v>1306</v>
      </c>
      <c r="K1144" t="s">
        <v>2</v>
      </c>
      <c r="L1144" t="s">
        <v>1307</v>
      </c>
      <c r="M1144" t="s">
        <v>28</v>
      </c>
      <c r="N1144">
        <v>34233</v>
      </c>
      <c r="O1144" t="s">
        <v>1312</v>
      </c>
      <c r="P1144" t="s">
        <v>1946</v>
      </c>
      <c r="Q1144" t="s">
        <v>21</v>
      </c>
      <c r="R1144">
        <v>415253</v>
      </c>
      <c r="S1144" t="s">
        <v>84</v>
      </c>
      <c r="T1144" s="2">
        <v>191</v>
      </c>
      <c r="U1144">
        <v>0</v>
      </c>
      <c r="V1144" t="s">
        <v>260</v>
      </c>
      <c r="W1144">
        <v>3</v>
      </c>
      <c r="X1144">
        <v>0</v>
      </c>
      <c r="Y1144">
        <v>3</v>
      </c>
      <c r="Z1144" t="s">
        <v>1989</v>
      </c>
      <c r="AA1144" t="s">
        <v>1990</v>
      </c>
      <c r="AB1144" t="s">
        <v>14</v>
      </c>
      <c r="AC1144">
        <v>1.8294999999999999</v>
      </c>
      <c r="AD1144">
        <v>0</v>
      </c>
      <c r="AE1144">
        <v>726182084082</v>
      </c>
      <c r="AF1144">
        <v>431.1</v>
      </c>
      <c r="AG1144">
        <v>0</v>
      </c>
      <c r="AH1144">
        <v>18.66</v>
      </c>
      <c r="AI1144">
        <v>449.76</v>
      </c>
      <c r="AJ1144" t="s">
        <v>2</v>
      </c>
      <c r="AK1144" t="s">
        <v>11</v>
      </c>
    </row>
    <row r="1145" spans="1:37">
      <c r="A1145">
        <v>257848</v>
      </c>
      <c r="B1145" s="1">
        <v>45366</v>
      </c>
      <c r="C1145" t="s">
        <v>1305</v>
      </c>
      <c r="D1145" t="s">
        <v>1306</v>
      </c>
      <c r="E1145" t="s">
        <v>2</v>
      </c>
      <c r="F1145" t="s">
        <v>1307</v>
      </c>
      <c r="G1145" t="s">
        <v>28</v>
      </c>
      <c r="H1145">
        <v>34233</v>
      </c>
      <c r="I1145" t="s">
        <v>1305</v>
      </c>
      <c r="J1145" t="s">
        <v>1306</v>
      </c>
      <c r="K1145" t="s">
        <v>2</v>
      </c>
      <c r="L1145" t="s">
        <v>1307</v>
      </c>
      <c r="M1145" t="s">
        <v>28</v>
      </c>
      <c r="N1145">
        <v>34233</v>
      </c>
      <c r="O1145" t="s">
        <v>1312</v>
      </c>
      <c r="P1145" t="s">
        <v>1946</v>
      </c>
      <c r="Q1145" t="s">
        <v>21</v>
      </c>
      <c r="R1145">
        <v>415253</v>
      </c>
      <c r="S1145" t="s">
        <v>84</v>
      </c>
      <c r="T1145" s="2">
        <v>191</v>
      </c>
      <c r="U1145">
        <v>0</v>
      </c>
      <c r="V1145" t="s">
        <v>260</v>
      </c>
      <c r="W1145">
        <v>0</v>
      </c>
      <c r="X1145">
        <v>0</v>
      </c>
      <c r="Y1145">
        <v>0</v>
      </c>
      <c r="Z1145" t="s">
        <v>88</v>
      </c>
      <c r="AA1145" t="s">
        <v>1991</v>
      </c>
      <c r="AB1145" t="s">
        <v>10</v>
      </c>
      <c r="AC1145">
        <v>0</v>
      </c>
      <c r="AD1145">
        <v>0</v>
      </c>
      <c r="AE1145">
        <v>726182084082</v>
      </c>
      <c r="AF1145">
        <v>431.1</v>
      </c>
      <c r="AG1145">
        <v>0</v>
      </c>
      <c r="AH1145">
        <v>18.66</v>
      </c>
      <c r="AI1145">
        <v>449.76</v>
      </c>
      <c r="AJ1145" t="s">
        <v>2</v>
      </c>
      <c r="AK1145" t="s">
        <v>11</v>
      </c>
    </row>
    <row r="1146" spans="1:37">
      <c r="A1146">
        <v>257848</v>
      </c>
      <c r="B1146" s="1">
        <v>45366</v>
      </c>
      <c r="C1146" t="s">
        <v>1305</v>
      </c>
      <c r="D1146" t="s">
        <v>1306</v>
      </c>
      <c r="E1146" t="s">
        <v>2</v>
      </c>
      <c r="F1146" t="s">
        <v>1307</v>
      </c>
      <c r="G1146" t="s">
        <v>28</v>
      </c>
      <c r="H1146">
        <v>34233</v>
      </c>
      <c r="I1146" t="s">
        <v>1305</v>
      </c>
      <c r="J1146" t="s">
        <v>1306</v>
      </c>
      <c r="K1146" t="s">
        <v>2</v>
      </c>
      <c r="L1146" t="s">
        <v>1307</v>
      </c>
      <c r="M1146" t="s">
        <v>28</v>
      </c>
      <c r="N1146">
        <v>34233</v>
      </c>
      <c r="O1146" t="s">
        <v>1312</v>
      </c>
      <c r="P1146" t="s">
        <v>1946</v>
      </c>
      <c r="Q1146" t="s">
        <v>21</v>
      </c>
      <c r="R1146">
        <v>415253</v>
      </c>
      <c r="S1146" t="s">
        <v>84</v>
      </c>
      <c r="T1146" s="2">
        <v>191</v>
      </c>
      <c r="U1146">
        <v>0</v>
      </c>
      <c r="V1146" t="s">
        <v>260</v>
      </c>
      <c r="W1146">
        <v>2</v>
      </c>
      <c r="X1146">
        <v>2</v>
      </c>
      <c r="Y1146">
        <v>0</v>
      </c>
      <c r="Z1146" t="s">
        <v>1992</v>
      </c>
      <c r="AA1146" t="s">
        <v>1993</v>
      </c>
      <c r="AB1146" t="s">
        <v>14</v>
      </c>
      <c r="AC1146">
        <v>1.9616</v>
      </c>
      <c r="AD1146">
        <v>3.92</v>
      </c>
      <c r="AE1146">
        <v>726182084082</v>
      </c>
      <c r="AF1146">
        <v>431.1</v>
      </c>
      <c r="AG1146">
        <v>0</v>
      </c>
      <c r="AH1146">
        <v>18.66</v>
      </c>
      <c r="AI1146">
        <v>449.76</v>
      </c>
      <c r="AJ1146" t="s">
        <v>2</v>
      </c>
      <c r="AK1146" t="s">
        <v>11</v>
      </c>
    </row>
    <row r="1147" spans="1:37">
      <c r="A1147">
        <v>257848</v>
      </c>
      <c r="B1147" s="1">
        <v>45366</v>
      </c>
      <c r="C1147" t="s">
        <v>1305</v>
      </c>
      <c r="D1147" t="s">
        <v>1306</v>
      </c>
      <c r="E1147" t="s">
        <v>2</v>
      </c>
      <c r="F1147" t="s">
        <v>1307</v>
      </c>
      <c r="G1147" t="s">
        <v>28</v>
      </c>
      <c r="H1147">
        <v>34233</v>
      </c>
      <c r="I1147" t="s">
        <v>1305</v>
      </c>
      <c r="J1147" t="s">
        <v>1306</v>
      </c>
      <c r="K1147" t="s">
        <v>2</v>
      </c>
      <c r="L1147" t="s">
        <v>1307</v>
      </c>
      <c r="M1147" t="s">
        <v>28</v>
      </c>
      <c r="N1147">
        <v>34233</v>
      </c>
      <c r="O1147" t="s">
        <v>1312</v>
      </c>
      <c r="P1147" t="s">
        <v>1946</v>
      </c>
      <c r="Q1147" t="s">
        <v>21</v>
      </c>
      <c r="R1147">
        <v>415253</v>
      </c>
      <c r="S1147" t="s">
        <v>84</v>
      </c>
      <c r="T1147" s="2">
        <v>191</v>
      </c>
      <c r="U1147">
        <v>0</v>
      </c>
      <c r="V1147" t="s">
        <v>260</v>
      </c>
      <c r="W1147">
        <v>0</v>
      </c>
      <c r="X1147">
        <v>0</v>
      </c>
      <c r="Y1147">
        <v>0</v>
      </c>
      <c r="Z1147" t="s">
        <v>88</v>
      </c>
      <c r="AA1147" t="s">
        <v>1723</v>
      </c>
      <c r="AB1147" t="s">
        <v>10</v>
      </c>
      <c r="AC1147">
        <v>0</v>
      </c>
      <c r="AD1147">
        <v>0</v>
      </c>
      <c r="AE1147">
        <v>726182084082</v>
      </c>
      <c r="AF1147">
        <v>431.1</v>
      </c>
      <c r="AG1147">
        <v>0</v>
      </c>
      <c r="AH1147">
        <v>18.66</v>
      </c>
      <c r="AI1147">
        <v>449.76</v>
      </c>
      <c r="AJ1147" t="s">
        <v>2</v>
      </c>
      <c r="AK1147" t="s">
        <v>11</v>
      </c>
    </row>
    <row r="1148" spans="1:37">
      <c r="A1148">
        <v>257848</v>
      </c>
      <c r="B1148" s="1">
        <v>45366</v>
      </c>
      <c r="C1148" t="s">
        <v>1305</v>
      </c>
      <c r="D1148" t="s">
        <v>1306</v>
      </c>
      <c r="E1148" t="s">
        <v>2</v>
      </c>
      <c r="F1148" t="s">
        <v>1307</v>
      </c>
      <c r="G1148" t="s">
        <v>28</v>
      </c>
      <c r="H1148">
        <v>34233</v>
      </c>
      <c r="I1148" t="s">
        <v>1305</v>
      </c>
      <c r="J1148" t="s">
        <v>1306</v>
      </c>
      <c r="K1148" t="s">
        <v>2</v>
      </c>
      <c r="L1148" t="s">
        <v>1307</v>
      </c>
      <c r="M1148" t="s">
        <v>28</v>
      </c>
      <c r="N1148">
        <v>34233</v>
      </c>
      <c r="O1148" t="s">
        <v>1312</v>
      </c>
      <c r="P1148" t="s">
        <v>1946</v>
      </c>
      <c r="Q1148" t="s">
        <v>21</v>
      </c>
      <c r="R1148">
        <v>415253</v>
      </c>
      <c r="S1148" t="s">
        <v>84</v>
      </c>
      <c r="T1148" s="2">
        <v>191</v>
      </c>
      <c r="U1148">
        <v>0</v>
      </c>
      <c r="V1148" t="s">
        <v>260</v>
      </c>
      <c r="W1148">
        <v>1</v>
      </c>
      <c r="X1148">
        <v>1</v>
      </c>
      <c r="Y1148">
        <v>0</v>
      </c>
      <c r="Z1148" t="s">
        <v>1994</v>
      </c>
      <c r="AA1148" t="s">
        <v>1995</v>
      </c>
      <c r="AB1148" t="s">
        <v>14</v>
      </c>
      <c r="AC1148">
        <v>1.9616</v>
      </c>
      <c r="AD1148">
        <v>1.96</v>
      </c>
      <c r="AE1148">
        <v>726182084082</v>
      </c>
      <c r="AF1148">
        <v>431.1</v>
      </c>
      <c r="AG1148">
        <v>0</v>
      </c>
      <c r="AH1148">
        <v>18.66</v>
      </c>
      <c r="AI1148">
        <v>449.76</v>
      </c>
      <c r="AJ1148" t="s">
        <v>2</v>
      </c>
      <c r="AK1148" t="s">
        <v>11</v>
      </c>
    </row>
    <row r="1149" spans="1:37">
      <c r="A1149">
        <v>257848</v>
      </c>
      <c r="B1149" s="1">
        <v>45366</v>
      </c>
      <c r="C1149" t="s">
        <v>1305</v>
      </c>
      <c r="D1149" t="s">
        <v>1306</v>
      </c>
      <c r="E1149" t="s">
        <v>2</v>
      </c>
      <c r="F1149" t="s">
        <v>1307</v>
      </c>
      <c r="G1149" t="s">
        <v>28</v>
      </c>
      <c r="H1149">
        <v>34233</v>
      </c>
      <c r="I1149" t="s">
        <v>1305</v>
      </c>
      <c r="J1149" t="s">
        <v>1306</v>
      </c>
      <c r="K1149" t="s">
        <v>2</v>
      </c>
      <c r="L1149" t="s">
        <v>1307</v>
      </c>
      <c r="M1149" t="s">
        <v>28</v>
      </c>
      <c r="N1149">
        <v>34233</v>
      </c>
      <c r="O1149" t="s">
        <v>1312</v>
      </c>
      <c r="P1149" t="s">
        <v>1946</v>
      </c>
      <c r="Q1149" t="s">
        <v>21</v>
      </c>
      <c r="R1149">
        <v>415253</v>
      </c>
      <c r="S1149" t="s">
        <v>84</v>
      </c>
      <c r="T1149" s="2">
        <v>191</v>
      </c>
      <c r="U1149">
        <v>0</v>
      </c>
      <c r="V1149" t="s">
        <v>260</v>
      </c>
      <c r="W1149">
        <v>0</v>
      </c>
      <c r="X1149">
        <v>0</v>
      </c>
      <c r="Y1149">
        <v>0</v>
      </c>
      <c r="Z1149" t="s">
        <v>88</v>
      </c>
      <c r="AA1149" t="s">
        <v>1723</v>
      </c>
      <c r="AB1149" t="s">
        <v>10</v>
      </c>
      <c r="AC1149">
        <v>0</v>
      </c>
      <c r="AD1149">
        <v>0</v>
      </c>
      <c r="AE1149">
        <v>726182084082</v>
      </c>
      <c r="AF1149">
        <v>431.1</v>
      </c>
      <c r="AG1149">
        <v>0</v>
      </c>
      <c r="AH1149">
        <v>18.66</v>
      </c>
      <c r="AI1149">
        <v>449.76</v>
      </c>
      <c r="AJ1149" t="s">
        <v>2</v>
      </c>
      <c r="AK1149" t="s">
        <v>11</v>
      </c>
    </row>
    <row r="1150" spans="1:37">
      <c r="A1150">
        <v>257848</v>
      </c>
      <c r="B1150" s="1">
        <v>45366</v>
      </c>
      <c r="C1150" t="s">
        <v>1305</v>
      </c>
      <c r="D1150" t="s">
        <v>1306</v>
      </c>
      <c r="E1150" t="s">
        <v>2</v>
      </c>
      <c r="F1150" t="s">
        <v>1307</v>
      </c>
      <c r="G1150" t="s">
        <v>28</v>
      </c>
      <c r="H1150">
        <v>34233</v>
      </c>
      <c r="I1150" t="s">
        <v>1305</v>
      </c>
      <c r="J1150" t="s">
        <v>1306</v>
      </c>
      <c r="K1150" t="s">
        <v>2</v>
      </c>
      <c r="L1150" t="s">
        <v>1307</v>
      </c>
      <c r="M1150" t="s">
        <v>28</v>
      </c>
      <c r="N1150">
        <v>34233</v>
      </c>
      <c r="O1150" t="s">
        <v>1312</v>
      </c>
      <c r="P1150" t="s">
        <v>1946</v>
      </c>
      <c r="Q1150" t="s">
        <v>21</v>
      </c>
      <c r="R1150">
        <v>415253</v>
      </c>
      <c r="S1150" t="s">
        <v>84</v>
      </c>
      <c r="T1150" s="2">
        <v>191</v>
      </c>
      <c r="U1150">
        <v>0</v>
      </c>
      <c r="V1150" t="s">
        <v>260</v>
      </c>
      <c r="W1150">
        <v>2</v>
      </c>
      <c r="X1150">
        <v>2</v>
      </c>
      <c r="Y1150">
        <v>0</v>
      </c>
      <c r="Z1150" t="s">
        <v>1996</v>
      </c>
      <c r="AA1150" t="s">
        <v>1997</v>
      </c>
      <c r="AB1150" t="s">
        <v>14</v>
      </c>
      <c r="AC1150">
        <v>1.9616</v>
      </c>
      <c r="AD1150">
        <v>3.92</v>
      </c>
      <c r="AE1150">
        <v>726182084082</v>
      </c>
      <c r="AF1150">
        <v>431.1</v>
      </c>
      <c r="AG1150">
        <v>0</v>
      </c>
      <c r="AH1150">
        <v>18.66</v>
      </c>
      <c r="AI1150">
        <v>449.76</v>
      </c>
      <c r="AJ1150" t="s">
        <v>2</v>
      </c>
      <c r="AK1150" t="s">
        <v>11</v>
      </c>
    </row>
    <row r="1151" spans="1:37">
      <c r="A1151">
        <v>257848</v>
      </c>
      <c r="B1151" s="1">
        <v>45366</v>
      </c>
      <c r="C1151" t="s">
        <v>1305</v>
      </c>
      <c r="D1151" t="s">
        <v>1306</v>
      </c>
      <c r="E1151" t="s">
        <v>2</v>
      </c>
      <c r="F1151" t="s">
        <v>1307</v>
      </c>
      <c r="G1151" t="s">
        <v>28</v>
      </c>
      <c r="H1151">
        <v>34233</v>
      </c>
      <c r="I1151" t="s">
        <v>1305</v>
      </c>
      <c r="J1151" t="s">
        <v>1306</v>
      </c>
      <c r="K1151" t="s">
        <v>2</v>
      </c>
      <c r="L1151" t="s">
        <v>1307</v>
      </c>
      <c r="M1151" t="s">
        <v>28</v>
      </c>
      <c r="N1151">
        <v>34233</v>
      </c>
      <c r="O1151" t="s">
        <v>1312</v>
      </c>
      <c r="P1151" t="s">
        <v>1946</v>
      </c>
      <c r="Q1151" t="s">
        <v>21</v>
      </c>
      <c r="R1151">
        <v>415253</v>
      </c>
      <c r="S1151" t="s">
        <v>84</v>
      </c>
      <c r="T1151" s="2">
        <v>191</v>
      </c>
      <c r="U1151">
        <v>0</v>
      </c>
      <c r="V1151" t="s">
        <v>260</v>
      </c>
      <c r="W1151">
        <v>0</v>
      </c>
      <c r="X1151">
        <v>0</v>
      </c>
      <c r="Y1151">
        <v>0</v>
      </c>
      <c r="Z1151" t="s">
        <v>88</v>
      </c>
      <c r="AA1151" t="s">
        <v>1723</v>
      </c>
      <c r="AB1151" t="s">
        <v>10</v>
      </c>
      <c r="AC1151">
        <v>0</v>
      </c>
      <c r="AD1151">
        <v>0</v>
      </c>
      <c r="AE1151">
        <v>726182084082</v>
      </c>
      <c r="AF1151">
        <v>431.1</v>
      </c>
      <c r="AG1151">
        <v>0</v>
      </c>
      <c r="AH1151">
        <v>18.66</v>
      </c>
      <c r="AI1151">
        <v>449.76</v>
      </c>
      <c r="AJ1151" t="s">
        <v>2</v>
      </c>
      <c r="AK1151" t="s">
        <v>11</v>
      </c>
    </row>
    <row r="1152" spans="1:37">
      <c r="A1152">
        <v>257848</v>
      </c>
      <c r="B1152" s="1">
        <v>45366</v>
      </c>
      <c r="C1152" t="s">
        <v>1305</v>
      </c>
      <c r="D1152" t="s">
        <v>1306</v>
      </c>
      <c r="E1152" t="s">
        <v>2</v>
      </c>
      <c r="F1152" t="s">
        <v>1307</v>
      </c>
      <c r="G1152" t="s">
        <v>28</v>
      </c>
      <c r="H1152">
        <v>34233</v>
      </c>
      <c r="I1152" t="s">
        <v>1305</v>
      </c>
      <c r="J1152" t="s">
        <v>1306</v>
      </c>
      <c r="K1152" t="s">
        <v>2</v>
      </c>
      <c r="L1152" t="s">
        <v>1307</v>
      </c>
      <c r="M1152" t="s">
        <v>28</v>
      </c>
      <c r="N1152">
        <v>34233</v>
      </c>
      <c r="O1152" t="s">
        <v>1312</v>
      </c>
      <c r="P1152" t="s">
        <v>1946</v>
      </c>
      <c r="Q1152" t="s">
        <v>21</v>
      </c>
      <c r="R1152">
        <v>415253</v>
      </c>
      <c r="S1152" t="s">
        <v>84</v>
      </c>
      <c r="T1152" s="2">
        <v>191</v>
      </c>
      <c r="U1152">
        <v>0</v>
      </c>
      <c r="V1152" t="s">
        <v>260</v>
      </c>
      <c r="W1152">
        <v>1</v>
      </c>
      <c r="X1152">
        <v>1</v>
      </c>
      <c r="Y1152">
        <v>0</v>
      </c>
      <c r="Z1152" t="s">
        <v>1998</v>
      </c>
      <c r="AA1152" t="s">
        <v>1999</v>
      </c>
      <c r="AB1152" t="s">
        <v>14</v>
      </c>
      <c r="AC1152">
        <v>1.9616</v>
      </c>
      <c r="AD1152">
        <v>1.96</v>
      </c>
      <c r="AE1152">
        <v>726182084082</v>
      </c>
      <c r="AF1152">
        <v>431.1</v>
      </c>
      <c r="AG1152">
        <v>0</v>
      </c>
      <c r="AH1152">
        <v>18.66</v>
      </c>
      <c r="AI1152">
        <v>449.76</v>
      </c>
      <c r="AJ1152" t="s">
        <v>2</v>
      </c>
      <c r="AK1152" t="s">
        <v>11</v>
      </c>
    </row>
    <row r="1153" spans="1:37">
      <c r="A1153">
        <v>257848</v>
      </c>
      <c r="B1153" s="1">
        <v>45366</v>
      </c>
      <c r="C1153" t="s">
        <v>1305</v>
      </c>
      <c r="D1153" t="s">
        <v>1306</v>
      </c>
      <c r="E1153" t="s">
        <v>2</v>
      </c>
      <c r="F1153" t="s">
        <v>1307</v>
      </c>
      <c r="G1153" t="s">
        <v>28</v>
      </c>
      <c r="H1153">
        <v>34233</v>
      </c>
      <c r="I1153" t="s">
        <v>1305</v>
      </c>
      <c r="J1153" t="s">
        <v>1306</v>
      </c>
      <c r="K1153" t="s">
        <v>2</v>
      </c>
      <c r="L1153" t="s">
        <v>1307</v>
      </c>
      <c r="M1153" t="s">
        <v>28</v>
      </c>
      <c r="N1153">
        <v>34233</v>
      </c>
      <c r="O1153" t="s">
        <v>1312</v>
      </c>
      <c r="P1153" t="s">
        <v>1946</v>
      </c>
      <c r="Q1153" t="s">
        <v>21</v>
      </c>
      <c r="R1153">
        <v>415253</v>
      </c>
      <c r="S1153" t="s">
        <v>84</v>
      </c>
      <c r="T1153" s="2">
        <v>191</v>
      </c>
      <c r="U1153">
        <v>0</v>
      </c>
      <c r="V1153" t="s">
        <v>260</v>
      </c>
      <c r="W1153">
        <v>0</v>
      </c>
      <c r="X1153">
        <v>0</v>
      </c>
      <c r="Y1153">
        <v>0</v>
      </c>
      <c r="Z1153" t="s">
        <v>88</v>
      </c>
      <c r="AA1153" t="s">
        <v>1723</v>
      </c>
      <c r="AB1153" t="s">
        <v>10</v>
      </c>
      <c r="AC1153">
        <v>0</v>
      </c>
      <c r="AD1153">
        <v>0</v>
      </c>
      <c r="AE1153">
        <v>726182084082</v>
      </c>
      <c r="AF1153">
        <v>431.1</v>
      </c>
      <c r="AG1153">
        <v>0</v>
      </c>
      <c r="AH1153">
        <v>18.66</v>
      </c>
      <c r="AI1153">
        <v>449.76</v>
      </c>
      <c r="AJ1153" t="s">
        <v>2</v>
      </c>
      <c r="AK1153" t="s">
        <v>11</v>
      </c>
    </row>
    <row r="1154" spans="1:37">
      <c r="A1154">
        <v>257848</v>
      </c>
      <c r="B1154" s="1">
        <v>45366</v>
      </c>
      <c r="C1154" t="s">
        <v>1305</v>
      </c>
      <c r="D1154" t="s">
        <v>1306</v>
      </c>
      <c r="E1154" t="s">
        <v>2</v>
      </c>
      <c r="F1154" t="s">
        <v>1307</v>
      </c>
      <c r="G1154" t="s">
        <v>28</v>
      </c>
      <c r="H1154">
        <v>34233</v>
      </c>
      <c r="I1154" t="s">
        <v>1305</v>
      </c>
      <c r="J1154" t="s">
        <v>1306</v>
      </c>
      <c r="K1154" t="s">
        <v>2</v>
      </c>
      <c r="L1154" t="s">
        <v>1307</v>
      </c>
      <c r="M1154" t="s">
        <v>28</v>
      </c>
      <c r="N1154">
        <v>34233</v>
      </c>
      <c r="O1154" t="s">
        <v>1312</v>
      </c>
      <c r="P1154" t="s">
        <v>1946</v>
      </c>
      <c r="Q1154" t="s">
        <v>21</v>
      </c>
      <c r="R1154">
        <v>415253</v>
      </c>
      <c r="S1154" t="s">
        <v>84</v>
      </c>
      <c r="T1154" s="2">
        <v>191</v>
      </c>
      <c r="U1154">
        <v>0</v>
      </c>
      <c r="V1154" t="s">
        <v>260</v>
      </c>
      <c r="W1154">
        <v>2</v>
      </c>
      <c r="X1154">
        <v>2</v>
      </c>
      <c r="Y1154">
        <v>0</v>
      </c>
      <c r="Z1154" t="s">
        <v>2000</v>
      </c>
      <c r="AA1154" t="s">
        <v>2001</v>
      </c>
      <c r="AB1154" t="s">
        <v>14</v>
      </c>
      <c r="AC1154">
        <v>1.9616</v>
      </c>
      <c r="AD1154">
        <v>3.92</v>
      </c>
      <c r="AE1154">
        <v>726182084082</v>
      </c>
      <c r="AF1154">
        <v>431.1</v>
      </c>
      <c r="AG1154">
        <v>0</v>
      </c>
      <c r="AH1154">
        <v>18.66</v>
      </c>
      <c r="AI1154">
        <v>449.76</v>
      </c>
      <c r="AJ1154" t="s">
        <v>2</v>
      </c>
      <c r="AK1154" t="s">
        <v>11</v>
      </c>
    </row>
    <row r="1155" spans="1:37">
      <c r="A1155">
        <v>257848</v>
      </c>
      <c r="B1155" s="1">
        <v>45366</v>
      </c>
      <c r="C1155" t="s">
        <v>1305</v>
      </c>
      <c r="D1155" t="s">
        <v>1306</v>
      </c>
      <c r="E1155" t="s">
        <v>2</v>
      </c>
      <c r="F1155" t="s">
        <v>1307</v>
      </c>
      <c r="G1155" t="s">
        <v>28</v>
      </c>
      <c r="H1155">
        <v>34233</v>
      </c>
      <c r="I1155" t="s">
        <v>1305</v>
      </c>
      <c r="J1155" t="s">
        <v>1306</v>
      </c>
      <c r="K1155" t="s">
        <v>2</v>
      </c>
      <c r="L1155" t="s">
        <v>1307</v>
      </c>
      <c r="M1155" t="s">
        <v>28</v>
      </c>
      <c r="N1155">
        <v>34233</v>
      </c>
      <c r="O1155" t="s">
        <v>1312</v>
      </c>
      <c r="P1155" t="s">
        <v>1946</v>
      </c>
      <c r="Q1155" t="s">
        <v>21</v>
      </c>
      <c r="R1155">
        <v>415253</v>
      </c>
      <c r="S1155" t="s">
        <v>84</v>
      </c>
      <c r="T1155" s="2">
        <v>191</v>
      </c>
      <c r="U1155">
        <v>0</v>
      </c>
      <c r="V1155" t="s">
        <v>260</v>
      </c>
      <c r="W1155">
        <v>0</v>
      </c>
      <c r="X1155">
        <v>0</v>
      </c>
      <c r="Y1155">
        <v>0</v>
      </c>
      <c r="Z1155" t="s">
        <v>88</v>
      </c>
      <c r="AA1155" t="s">
        <v>1723</v>
      </c>
      <c r="AB1155" t="s">
        <v>10</v>
      </c>
      <c r="AC1155">
        <v>0</v>
      </c>
      <c r="AD1155">
        <v>0</v>
      </c>
      <c r="AE1155">
        <v>726182084082</v>
      </c>
      <c r="AF1155">
        <v>431.1</v>
      </c>
      <c r="AG1155">
        <v>0</v>
      </c>
      <c r="AH1155">
        <v>18.66</v>
      </c>
      <c r="AI1155">
        <v>449.76</v>
      </c>
      <c r="AJ1155" t="s">
        <v>2</v>
      </c>
      <c r="AK1155" t="s">
        <v>11</v>
      </c>
    </row>
    <row r="1156" spans="1:37">
      <c r="A1156">
        <v>257848</v>
      </c>
      <c r="B1156" s="1">
        <v>45366</v>
      </c>
      <c r="C1156" t="s">
        <v>1305</v>
      </c>
      <c r="D1156" t="s">
        <v>1306</v>
      </c>
      <c r="E1156" t="s">
        <v>2</v>
      </c>
      <c r="F1156" t="s">
        <v>1307</v>
      </c>
      <c r="G1156" t="s">
        <v>28</v>
      </c>
      <c r="H1156">
        <v>34233</v>
      </c>
      <c r="I1156" t="s">
        <v>1305</v>
      </c>
      <c r="J1156" t="s">
        <v>1306</v>
      </c>
      <c r="K1156" t="s">
        <v>2</v>
      </c>
      <c r="L1156" t="s">
        <v>1307</v>
      </c>
      <c r="M1156" t="s">
        <v>28</v>
      </c>
      <c r="N1156">
        <v>34233</v>
      </c>
      <c r="O1156" t="s">
        <v>1312</v>
      </c>
      <c r="P1156" t="s">
        <v>1946</v>
      </c>
      <c r="Q1156" t="s">
        <v>21</v>
      </c>
      <c r="R1156">
        <v>415253</v>
      </c>
      <c r="S1156" t="s">
        <v>84</v>
      </c>
      <c r="T1156" s="2">
        <v>191</v>
      </c>
      <c r="U1156">
        <v>0</v>
      </c>
      <c r="V1156" t="s">
        <v>260</v>
      </c>
      <c r="W1156">
        <v>3</v>
      </c>
      <c r="X1156">
        <v>3</v>
      </c>
      <c r="Y1156">
        <v>0</v>
      </c>
      <c r="Z1156" t="s">
        <v>2002</v>
      </c>
      <c r="AA1156" t="s">
        <v>2003</v>
      </c>
      <c r="AB1156" t="s">
        <v>14</v>
      </c>
      <c r="AC1156">
        <v>1.9616</v>
      </c>
      <c r="AD1156">
        <v>5.88</v>
      </c>
      <c r="AE1156">
        <v>726182084082</v>
      </c>
      <c r="AF1156">
        <v>431.1</v>
      </c>
      <c r="AG1156">
        <v>0</v>
      </c>
      <c r="AH1156">
        <v>18.66</v>
      </c>
      <c r="AI1156">
        <v>449.76</v>
      </c>
      <c r="AJ1156" t="s">
        <v>2</v>
      </c>
      <c r="AK1156" t="s">
        <v>11</v>
      </c>
    </row>
    <row r="1157" spans="1:37">
      <c r="A1157">
        <v>257848</v>
      </c>
      <c r="B1157" s="1">
        <v>45366</v>
      </c>
      <c r="C1157" t="s">
        <v>1305</v>
      </c>
      <c r="D1157" t="s">
        <v>1306</v>
      </c>
      <c r="E1157" t="s">
        <v>2</v>
      </c>
      <c r="F1157" t="s">
        <v>1307</v>
      </c>
      <c r="G1157" t="s">
        <v>28</v>
      </c>
      <c r="H1157">
        <v>34233</v>
      </c>
      <c r="I1157" t="s">
        <v>1305</v>
      </c>
      <c r="J1157" t="s">
        <v>1306</v>
      </c>
      <c r="K1157" t="s">
        <v>2</v>
      </c>
      <c r="L1157" t="s">
        <v>1307</v>
      </c>
      <c r="M1157" t="s">
        <v>28</v>
      </c>
      <c r="N1157">
        <v>34233</v>
      </c>
      <c r="O1157" t="s">
        <v>1312</v>
      </c>
      <c r="P1157" t="s">
        <v>1946</v>
      </c>
      <c r="Q1157" t="s">
        <v>21</v>
      </c>
      <c r="R1157">
        <v>415253</v>
      </c>
      <c r="S1157" t="s">
        <v>84</v>
      </c>
      <c r="T1157" s="2">
        <v>191</v>
      </c>
      <c r="U1157">
        <v>0</v>
      </c>
      <c r="V1157" t="s">
        <v>260</v>
      </c>
      <c r="W1157">
        <v>0</v>
      </c>
      <c r="X1157">
        <v>0</v>
      </c>
      <c r="Y1157">
        <v>0</v>
      </c>
      <c r="Z1157" t="s">
        <v>88</v>
      </c>
      <c r="AA1157" t="s">
        <v>1723</v>
      </c>
      <c r="AB1157" t="s">
        <v>10</v>
      </c>
      <c r="AC1157">
        <v>0</v>
      </c>
      <c r="AD1157">
        <v>0</v>
      </c>
      <c r="AE1157">
        <v>726182084082</v>
      </c>
      <c r="AF1157">
        <v>431.1</v>
      </c>
      <c r="AG1157">
        <v>0</v>
      </c>
      <c r="AH1157">
        <v>18.66</v>
      </c>
      <c r="AI1157">
        <v>449.76</v>
      </c>
      <c r="AJ1157" t="s">
        <v>2</v>
      </c>
      <c r="AK1157" t="s">
        <v>11</v>
      </c>
    </row>
    <row r="1158" spans="1:37">
      <c r="A1158">
        <v>257848</v>
      </c>
      <c r="B1158" s="1">
        <v>45366</v>
      </c>
      <c r="C1158" t="s">
        <v>1305</v>
      </c>
      <c r="D1158" t="s">
        <v>1306</v>
      </c>
      <c r="E1158" t="s">
        <v>2</v>
      </c>
      <c r="F1158" t="s">
        <v>1307</v>
      </c>
      <c r="G1158" t="s">
        <v>28</v>
      </c>
      <c r="H1158">
        <v>34233</v>
      </c>
      <c r="I1158" t="s">
        <v>1305</v>
      </c>
      <c r="J1158" t="s">
        <v>1306</v>
      </c>
      <c r="K1158" t="s">
        <v>2</v>
      </c>
      <c r="L1158" t="s">
        <v>1307</v>
      </c>
      <c r="M1158" t="s">
        <v>28</v>
      </c>
      <c r="N1158">
        <v>34233</v>
      </c>
      <c r="O1158" t="s">
        <v>1312</v>
      </c>
      <c r="P1158" t="s">
        <v>1946</v>
      </c>
      <c r="Q1158" t="s">
        <v>21</v>
      </c>
      <c r="R1158">
        <v>415253</v>
      </c>
      <c r="S1158" t="s">
        <v>84</v>
      </c>
      <c r="T1158" s="2">
        <v>191</v>
      </c>
      <c r="U1158">
        <v>0</v>
      </c>
      <c r="V1158" t="s">
        <v>260</v>
      </c>
      <c r="W1158">
        <v>2</v>
      </c>
      <c r="X1158">
        <v>2</v>
      </c>
      <c r="Y1158">
        <v>0</v>
      </c>
      <c r="Z1158" t="s">
        <v>2004</v>
      </c>
      <c r="AA1158" t="s">
        <v>2005</v>
      </c>
      <c r="AB1158" t="s">
        <v>14</v>
      </c>
      <c r="AC1158">
        <v>1.9616</v>
      </c>
      <c r="AD1158">
        <v>3.92</v>
      </c>
      <c r="AE1158">
        <v>726182084082</v>
      </c>
      <c r="AF1158">
        <v>431.1</v>
      </c>
      <c r="AG1158">
        <v>0</v>
      </c>
      <c r="AH1158">
        <v>18.66</v>
      </c>
      <c r="AI1158">
        <v>449.76</v>
      </c>
      <c r="AJ1158" t="s">
        <v>2</v>
      </c>
      <c r="AK1158" t="s">
        <v>11</v>
      </c>
    </row>
    <row r="1159" spans="1:37">
      <c r="A1159">
        <v>257848</v>
      </c>
      <c r="B1159" s="1">
        <v>45366</v>
      </c>
      <c r="C1159" t="s">
        <v>1305</v>
      </c>
      <c r="D1159" t="s">
        <v>1306</v>
      </c>
      <c r="E1159" t="s">
        <v>2</v>
      </c>
      <c r="F1159" t="s">
        <v>1307</v>
      </c>
      <c r="G1159" t="s">
        <v>28</v>
      </c>
      <c r="H1159">
        <v>34233</v>
      </c>
      <c r="I1159" t="s">
        <v>1305</v>
      </c>
      <c r="J1159" t="s">
        <v>1306</v>
      </c>
      <c r="K1159" t="s">
        <v>2</v>
      </c>
      <c r="L1159" t="s">
        <v>1307</v>
      </c>
      <c r="M1159" t="s">
        <v>28</v>
      </c>
      <c r="N1159">
        <v>34233</v>
      </c>
      <c r="O1159" t="s">
        <v>1312</v>
      </c>
      <c r="P1159" t="s">
        <v>1946</v>
      </c>
      <c r="Q1159" t="s">
        <v>21</v>
      </c>
      <c r="R1159">
        <v>415253</v>
      </c>
      <c r="S1159" t="s">
        <v>84</v>
      </c>
      <c r="T1159" s="2">
        <v>191</v>
      </c>
      <c r="U1159">
        <v>0</v>
      </c>
      <c r="V1159" t="s">
        <v>260</v>
      </c>
      <c r="W1159">
        <v>0</v>
      </c>
      <c r="X1159">
        <v>0</v>
      </c>
      <c r="Y1159">
        <v>0</v>
      </c>
      <c r="Z1159" t="s">
        <v>88</v>
      </c>
      <c r="AA1159" t="s">
        <v>1723</v>
      </c>
      <c r="AB1159" t="s">
        <v>10</v>
      </c>
      <c r="AC1159">
        <v>0</v>
      </c>
      <c r="AD1159">
        <v>0</v>
      </c>
      <c r="AE1159">
        <v>726182084082</v>
      </c>
      <c r="AF1159">
        <v>431.1</v>
      </c>
      <c r="AG1159">
        <v>0</v>
      </c>
      <c r="AH1159">
        <v>18.66</v>
      </c>
      <c r="AI1159">
        <v>449.76</v>
      </c>
      <c r="AJ1159" t="s">
        <v>2</v>
      </c>
      <c r="AK1159" t="s">
        <v>11</v>
      </c>
    </row>
    <row r="1160" spans="1:37">
      <c r="A1160">
        <v>257848</v>
      </c>
      <c r="B1160" s="1">
        <v>45366</v>
      </c>
      <c r="C1160" t="s">
        <v>1305</v>
      </c>
      <c r="D1160" t="s">
        <v>1306</v>
      </c>
      <c r="E1160" t="s">
        <v>2</v>
      </c>
      <c r="F1160" t="s">
        <v>1307</v>
      </c>
      <c r="G1160" t="s">
        <v>28</v>
      </c>
      <c r="H1160">
        <v>34233</v>
      </c>
      <c r="I1160" t="s">
        <v>1305</v>
      </c>
      <c r="J1160" t="s">
        <v>1306</v>
      </c>
      <c r="K1160" t="s">
        <v>2</v>
      </c>
      <c r="L1160" t="s">
        <v>1307</v>
      </c>
      <c r="M1160" t="s">
        <v>28</v>
      </c>
      <c r="N1160">
        <v>34233</v>
      </c>
      <c r="O1160" t="s">
        <v>1312</v>
      </c>
      <c r="P1160" t="s">
        <v>1946</v>
      </c>
      <c r="Q1160" t="s">
        <v>21</v>
      </c>
      <c r="R1160">
        <v>415253</v>
      </c>
      <c r="S1160" t="s">
        <v>84</v>
      </c>
      <c r="T1160" s="2">
        <v>191</v>
      </c>
      <c r="U1160">
        <v>0</v>
      </c>
      <c r="V1160" t="s">
        <v>260</v>
      </c>
      <c r="W1160">
        <v>2</v>
      </c>
      <c r="X1160">
        <v>2</v>
      </c>
      <c r="Y1160">
        <v>0</v>
      </c>
      <c r="Z1160" t="s">
        <v>2006</v>
      </c>
      <c r="AA1160" t="s">
        <v>2007</v>
      </c>
      <c r="AB1160" t="s">
        <v>14</v>
      </c>
      <c r="AC1160">
        <v>1.9616</v>
      </c>
      <c r="AD1160">
        <v>3.92</v>
      </c>
      <c r="AE1160">
        <v>726182084082</v>
      </c>
      <c r="AF1160">
        <v>431.1</v>
      </c>
      <c r="AG1160">
        <v>0</v>
      </c>
      <c r="AH1160">
        <v>18.66</v>
      </c>
      <c r="AI1160">
        <v>449.76</v>
      </c>
      <c r="AJ1160" t="s">
        <v>2</v>
      </c>
      <c r="AK1160" t="s">
        <v>11</v>
      </c>
    </row>
    <row r="1161" spans="1:37">
      <c r="A1161">
        <v>257848</v>
      </c>
      <c r="B1161" s="1">
        <v>45366</v>
      </c>
      <c r="C1161" t="s">
        <v>1305</v>
      </c>
      <c r="D1161" t="s">
        <v>1306</v>
      </c>
      <c r="E1161" t="s">
        <v>2</v>
      </c>
      <c r="F1161" t="s">
        <v>1307</v>
      </c>
      <c r="G1161" t="s">
        <v>28</v>
      </c>
      <c r="H1161">
        <v>34233</v>
      </c>
      <c r="I1161" t="s">
        <v>1305</v>
      </c>
      <c r="J1161" t="s">
        <v>1306</v>
      </c>
      <c r="K1161" t="s">
        <v>2</v>
      </c>
      <c r="L1161" t="s">
        <v>1307</v>
      </c>
      <c r="M1161" t="s">
        <v>28</v>
      </c>
      <c r="N1161">
        <v>34233</v>
      </c>
      <c r="O1161" t="s">
        <v>1312</v>
      </c>
      <c r="P1161" t="s">
        <v>1946</v>
      </c>
      <c r="Q1161" t="s">
        <v>21</v>
      </c>
      <c r="R1161">
        <v>415253</v>
      </c>
      <c r="S1161" t="s">
        <v>84</v>
      </c>
      <c r="T1161" s="2">
        <v>191</v>
      </c>
      <c r="U1161">
        <v>0</v>
      </c>
      <c r="V1161" t="s">
        <v>260</v>
      </c>
      <c r="W1161">
        <v>0</v>
      </c>
      <c r="X1161">
        <v>0</v>
      </c>
      <c r="Y1161">
        <v>0</v>
      </c>
      <c r="Z1161" t="s">
        <v>88</v>
      </c>
      <c r="AA1161" t="s">
        <v>1723</v>
      </c>
      <c r="AB1161" t="s">
        <v>10</v>
      </c>
      <c r="AC1161">
        <v>0</v>
      </c>
      <c r="AD1161">
        <v>0</v>
      </c>
      <c r="AE1161">
        <v>726182084082</v>
      </c>
      <c r="AF1161">
        <v>431.1</v>
      </c>
      <c r="AG1161">
        <v>0</v>
      </c>
      <c r="AH1161">
        <v>18.66</v>
      </c>
      <c r="AI1161">
        <v>449.76</v>
      </c>
      <c r="AJ1161" t="s">
        <v>2</v>
      </c>
      <c r="AK1161" t="s">
        <v>11</v>
      </c>
    </row>
    <row r="1162" spans="1:37">
      <c r="A1162">
        <v>257848</v>
      </c>
      <c r="B1162" s="1">
        <v>45366</v>
      </c>
      <c r="C1162" t="s">
        <v>1305</v>
      </c>
      <c r="D1162" t="s">
        <v>1306</v>
      </c>
      <c r="E1162" t="s">
        <v>2</v>
      </c>
      <c r="F1162" t="s">
        <v>1307</v>
      </c>
      <c r="G1162" t="s">
        <v>28</v>
      </c>
      <c r="H1162">
        <v>34233</v>
      </c>
      <c r="I1162" t="s">
        <v>1305</v>
      </c>
      <c r="J1162" t="s">
        <v>1306</v>
      </c>
      <c r="K1162" t="s">
        <v>2</v>
      </c>
      <c r="L1162" t="s">
        <v>1307</v>
      </c>
      <c r="M1162" t="s">
        <v>28</v>
      </c>
      <c r="N1162">
        <v>34233</v>
      </c>
      <c r="O1162" t="s">
        <v>1312</v>
      </c>
      <c r="P1162" t="s">
        <v>1946</v>
      </c>
      <c r="Q1162" t="s">
        <v>21</v>
      </c>
      <c r="R1162">
        <v>415253</v>
      </c>
      <c r="S1162" t="s">
        <v>84</v>
      </c>
      <c r="T1162" s="2">
        <v>191</v>
      </c>
      <c r="U1162">
        <v>0</v>
      </c>
      <c r="V1162" t="s">
        <v>260</v>
      </c>
      <c r="W1162">
        <v>2</v>
      </c>
      <c r="X1162">
        <v>2</v>
      </c>
      <c r="Y1162">
        <v>0</v>
      </c>
      <c r="Z1162" t="s">
        <v>2008</v>
      </c>
      <c r="AA1162" t="s">
        <v>2009</v>
      </c>
      <c r="AB1162" t="s">
        <v>14</v>
      </c>
      <c r="AC1162">
        <v>1.9616</v>
      </c>
      <c r="AD1162">
        <v>3.92</v>
      </c>
      <c r="AE1162">
        <v>726182084082</v>
      </c>
      <c r="AF1162">
        <v>431.1</v>
      </c>
      <c r="AG1162">
        <v>0</v>
      </c>
      <c r="AH1162">
        <v>18.66</v>
      </c>
      <c r="AI1162">
        <v>449.76</v>
      </c>
      <c r="AJ1162" t="s">
        <v>2</v>
      </c>
      <c r="AK1162" t="s">
        <v>11</v>
      </c>
    </row>
    <row r="1163" spans="1:37">
      <c r="A1163">
        <v>257848</v>
      </c>
      <c r="B1163" s="1">
        <v>45366</v>
      </c>
      <c r="C1163" t="s">
        <v>1305</v>
      </c>
      <c r="D1163" t="s">
        <v>1306</v>
      </c>
      <c r="E1163" t="s">
        <v>2</v>
      </c>
      <c r="F1163" t="s">
        <v>1307</v>
      </c>
      <c r="G1163" t="s">
        <v>28</v>
      </c>
      <c r="H1163">
        <v>34233</v>
      </c>
      <c r="I1163" t="s">
        <v>1305</v>
      </c>
      <c r="J1163" t="s">
        <v>1306</v>
      </c>
      <c r="K1163" t="s">
        <v>2</v>
      </c>
      <c r="L1163" t="s">
        <v>1307</v>
      </c>
      <c r="M1163" t="s">
        <v>28</v>
      </c>
      <c r="N1163">
        <v>34233</v>
      </c>
      <c r="O1163" t="s">
        <v>1312</v>
      </c>
      <c r="P1163" t="s">
        <v>1946</v>
      </c>
      <c r="Q1163" t="s">
        <v>21</v>
      </c>
      <c r="R1163">
        <v>415253</v>
      </c>
      <c r="S1163" t="s">
        <v>84</v>
      </c>
      <c r="T1163" s="2">
        <v>191</v>
      </c>
      <c r="U1163">
        <v>0</v>
      </c>
      <c r="V1163" t="s">
        <v>260</v>
      </c>
      <c r="W1163">
        <v>0</v>
      </c>
      <c r="X1163">
        <v>0</v>
      </c>
      <c r="Y1163">
        <v>0</v>
      </c>
      <c r="Z1163" t="s">
        <v>88</v>
      </c>
      <c r="AA1163" t="s">
        <v>1723</v>
      </c>
      <c r="AB1163" t="s">
        <v>10</v>
      </c>
      <c r="AC1163">
        <v>0</v>
      </c>
      <c r="AD1163">
        <v>0</v>
      </c>
      <c r="AE1163">
        <v>726182084082</v>
      </c>
      <c r="AF1163">
        <v>431.1</v>
      </c>
      <c r="AG1163">
        <v>0</v>
      </c>
      <c r="AH1163">
        <v>18.66</v>
      </c>
      <c r="AI1163">
        <v>449.76</v>
      </c>
      <c r="AJ1163" t="s">
        <v>2</v>
      </c>
      <c r="AK1163" t="s">
        <v>11</v>
      </c>
    </row>
    <row r="1164" spans="1:37">
      <c r="A1164">
        <v>257848</v>
      </c>
      <c r="B1164" s="1">
        <v>45366</v>
      </c>
      <c r="C1164" t="s">
        <v>1305</v>
      </c>
      <c r="D1164" t="s">
        <v>1306</v>
      </c>
      <c r="E1164" t="s">
        <v>2</v>
      </c>
      <c r="F1164" t="s">
        <v>1307</v>
      </c>
      <c r="G1164" t="s">
        <v>28</v>
      </c>
      <c r="H1164">
        <v>34233</v>
      </c>
      <c r="I1164" t="s">
        <v>1305</v>
      </c>
      <c r="J1164" t="s">
        <v>1306</v>
      </c>
      <c r="K1164" t="s">
        <v>2</v>
      </c>
      <c r="L1164" t="s">
        <v>1307</v>
      </c>
      <c r="M1164" t="s">
        <v>28</v>
      </c>
      <c r="N1164">
        <v>34233</v>
      </c>
      <c r="O1164" t="s">
        <v>1312</v>
      </c>
      <c r="P1164" t="s">
        <v>1946</v>
      </c>
      <c r="Q1164" t="s">
        <v>21</v>
      </c>
      <c r="R1164">
        <v>415253</v>
      </c>
      <c r="S1164" t="s">
        <v>84</v>
      </c>
      <c r="T1164" s="2">
        <v>191</v>
      </c>
      <c r="U1164">
        <v>0</v>
      </c>
      <c r="V1164" t="s">
        <v>260</v>
      </c>
      <c r="W1164">
        <v>1</v>
      </c>
      <c r="X1164">
        <v>1</v>
      </c>
      <c r="Y1164">
        <v>0</v>
      </c>
      <c r="Z1164" t="s">
        <v>2010</v>
      </c>
      <c r="AA1164" t="s">
        <v>2011</v>
      </c>
      <c r="AB1164" t="s">
        <v>14</v>
      </c>
      <c r="AC1164">
        <v>1.9616</v>
      </c>
      <c r="AD1164">
        <v>1.96</v>
      </c>
      <c r="AE1164">
        <v>726182084082</v>
      </c>
      <c r="AF1164">
        <v>431.1</v>
      </c>
      <c r="AG1164">
        <v>0</v>
      </c>
      <c r="AH1164">
        <v>18.66</v>
      </c>
      <c r="AI1164">
        <v>449.76</v>
      </c>
      <c r="AJ1164" t="s">
        <v>2</v>
      </c>
      <c r="AK1164" t="s">
        <v>11</v>
      </c>
    </row>
    <row r="1165" spans="1:37">
      <c r="A1165">
        <v>257848</v>
      </c>
      <c r="B1165" s="1">
        <v>45366</v>
      </c>
      <c r="C1165" t="s">
        <v>1305</v>
      </c>
      <c r="D1165" t="s">
        <v>1306</v>
      </c>
      <c r="E1165" t="s">
        <v>2</v>
      </c>
      <c r="F1165" t="s">
        <v>1307</v>
      </c>
      <c r="G1165" t="s">
        <v>28</v>
      </c>
      <c r="H1165">
        <v>34233</v>
      </c>
      <c r="I1165" t="s">
        <v>1305</v>
      </c>
      <c r="J1165" t="s">
        <v>1306</v>
      </c>
      <c r="K1165" t="s">
        <v>2</v>
      </c>
      <c r="L1165" t="s">
        <v>1307</v>
      </c>
      <c r="M1165" t="s">
        <v>28</v>
      </c>
      <c r="N1165">
        <v>34233</v>
      </c>
      <c r="O1165" t="s">
        <v>1312</v>
      </c>
      <c r="P1165" t="s">
        <v>1946</v>
      </c>
      <c r="Q1165" t="s">
        <v>21</v>
      </c>
      <c r="R1165">
        <v>415253</v>
      </c>
      <c r="S1165" t="s">
        <v>84</v>
      </c>
      <c r="T1165" s="2">
        <v>191</v>
      </c>
      <c r="U1165">
        <v>0</v>
      </c>
      <c r="V1165" t="s">
        <v>260</v>
      </c>
      <c r="W1165">
        <v>0</v>
      </c>
      <c r="X1165">
        <v>0</v>
      </c>
      <c r="Y1165">
        <v>0</v>
      </c>
      <c r="Z1165" t="s">
        <v>88</v>
      </c>
      <c r="AA1165" t="s">
        <v>1723</v>
      </c>
      <c r="AB1165" t="s">
        <v>10</v>
      </c>
      <c r="AC1165">
        <v>0</v>
      </c>
      <c r="AD1165">
        <v>0</v>
      </c>
      <c r="AE1165">
        <v>726182084082</v>
      </c>
      <c r="AF1165">
        <v>431.1</v>
      </c>
      <c r="AG1165">
        <v>0</v>
      </c>
      <c r="AH1165">
        <v>18.66</v>
      </c>
      <c r="AI1165">
        <v>449.76</v>
      </c>
      <c r="AJ1165" t="s">
        <v>2</v>
      </c>
      <c r="AK1165" t="s">
        <v>11</v>
      </c>
    </row>
    <row r="1166" spans="1:37">
      <c r="A1166">
        <v>257848</v>
      </c>
      <c r="B1166" s="1">
        <v>45366</v>
      </c>
      <c r="C1166" t="s">
        <v>1305</v>
      </c>
      <c r="D1166" t="s">
        <v>1306</v>
      </c>
      <c r="E1166" t="s">
        <v>2</v>
      </c>
      <c r="F1166" t="s">
        <v>1307</v>
      </c>
      <c r="G1166" t="s">
        <v>28</v>
      </c>
      <c r="H1166">
        <v>34233</v>
      </c>
      <c r="I1166" t="s">
        <v>1305</v>
      </c>
      <c r="J1166" t="s">
        <v>1306</v>
      </c>
      <c r="K1166" t="s">
        <v>2</v>
      </c>
      <c r="L1166" t="s">
        <v>1307</v>
      </c>
      <c r="M1166" t="s">
        <v>28</v>
      </c>
      <c r="N1166">
        <v>34233</v>
      </c>
      <c r="O1166" t="s">
        <v>1312</v>
      </c>
      <c r="P1166" t="s">
        <v>1946</v>
      </c>
      <c r="Q1166" t="s">
        <v>21</v>
      </c>
      <c r="R1166">
        <v>415253</v>
      </c>
      <c r="S1166" t="s">
        <v>84</v>
      </c>
      <c r="T1166" s="2">
        <v>191</v>
      </c>
      <c r="U1166">
        <v>0</v>
      </c>
      <c r="V1166" t="s">
        <v>260</v>
      </c>
      <c r="W1166">
        <v>1</v>
      </c>
      <c r="X1166">
        <v>1</v>
      </c>
      <c r="Y1166">
        <v>0</v>
      </c>
      <c r="Z1166" t="s">
        <v>2012</v>
      </c>
      <c r="AA1166" t="s">
        <v>2013</v>
      </c>
      <c r="AB1166" t="s">
        <v>14</v>
      </c>
      <c r="AC1166">
        <v>1.9616</v>
      </c>
      <c r="AD1166">
        <v>1.96</v>
      </c>
      <c r="AE1166">
        <v>726182084082</v>
      </c>
      <c r="AF1166">
        <v>431.1</v>
      </c>
      <c r="AG1166">
        <v>0</v>
      </c>
      <c r="AH1166">
        <v>18.66</v>
      </c>
      <c r="AI1166">
        <v>449.76</v>
      </c>
      <c r="AJ1166" t="s">
        <v>2</v>
      </c>
      <c r="AK1166" t="s">
        <v>11</v>
      </c>
    </row>
    <row r="1167" spans="1:37">
      <c r="A1167">
        <v>257848</v>
      </c>
      <c r="B1167" s="1">
        <v>45366</v>
      </c>
      <c r="C1167" t="s">
        <v>1305</v>
      </c>
      <c r="D1167" t="s">
        <v>1306</v>
      </c>
      <c r="E1167" t="s">
        <v>2</v>
      </c>
      <c r="F1167" t="s">
        <v>1307</v>
      </c>
      <c r="G1167" t="s">
        <v>28</v>
      </c>
      <c r="H1167">
        <v>34233</v>
      </c>
      <c r="I1167" t="s">
        <v>1305</v>
      </c>
      <c r="J1167" t="s">
        <v>1306</v>
      </c>
      <c r="K1167" t="s">
        <v>2</v>
      </c>
      <c r="L1167" t="s">
        <v>1307</v>
      </c>
      <c r="M1167" t="s">
        <v>28</v>
      </c>
      <c r="N1167">
        <v>34233</v>
      </c>
      <c r="O1167" t="s">
        <v>1312</v>
      </c>
      <c r="P1167" t="s">
        <v>1946</v>
      </c>
      <c r="Q1167" t="s">
        <v>21</v>
      </c>
      <c r="R1167">
        <v>415253</v>
      </c>
      <c r="S1167" t="s">
        <v>84</v>
      </c>
      <c r="T1167" s="2">
        <v>191</v>
      </c>
      <c r="U1167">
        <v>0</v>
      </c>
      <c r="V1167" t="s">
        <v>260</v>
      </c>
      <c r="W1167">
        <v>0</v>
      </c>
      <c r="X1167">
        <v>0</v>
      </c>
      <c r="Y1167">
        <v>0</v>
      </c>
      <c r="Z1167" t="s">
        <v>88</v>
      </c>
      <c r="AA1167" t="s">
        <v>1723</v>
      </c>
      <c r="AB1167" t="s">
        <v>10</v>
      </c>
      <c r="AC1167">
        <v>0</v>
      </c>
      <c r="AD1167">
        <v>0</v>
      </c>
      <c r="AE1167">
        <v>726182084082</v>
      </c>
      <c r="AF1167">
        <v>431.1</v>
      </c>
      <c r="AG1167">
        <v>0</v>
      </c>
      <c r="AH1167">
        <v>18.66</v>
      </c>
      <c r="AI1167">
        <v>449.76</v>
      </c>
      <c r="AJ1167" t="s">
        <v>2</v>
      </c>
      <c r="AK1167" t="s">
        <v>11</v>
      </c>
    </row>
    <row r="1168" spans="1:37">
      <c r="A1168">
        <v>257848</v>
      </c>
      <c r="B1168" s="1">
        <v>45366</v>
      </c>
      <c r="C1168" t="s">
        <v>1305</v>
      </c>
      <c r="D1168" t="s">
        <v>1306</v>
      </c>
      <c r="E1168" t="s">
        <v>2</v>
      </c>
      <c r="F1168" t="s">
        <v>1307</v>
      </c>
      <c r="G1168" t="s">
        <v>28</v>
      </c>
      <c r="H1168">
        <v>34233</v>
      </c>
      <c r="I1168" t="s">
        <v>1305</v>
      </c>
      <c r="J1168" t="s">
        <v>1306</v>
      </c>
      <c r="K1168" t="s">
        <v>2</v>
      </c>
      <c r="L1168" t="s">
        <v>1307</v>
      </c>
      <c r="M1168" t="s">
        <v>28</v>
      </c>
      <c r="N1168">
        <v>34233</v>
      </c>
      <c r="O1168" t="s">
        <v>1312</v>
      </c>
      <c r="P1168" t="s">
        <v>1946</v>
      </c>
      <c r="Q1168" t="s">
        <v>21</v>
      </c>
      <c r="R1168">
        <v>415253</v>
      </c>
      <c r="S1168" t="s">
        <v>84</v>
      </c>
      <c r="T1168" s="2">
        <v>191</v>
      </c>
      <c r="U1168">
        <v>0</v>
      </c>
      <c r="V1168" t="s">
        <v>260</v>
      </c>
      <c r="W1168">
        <v>2</v>
      </c>
      <c r="X1168">
        <v>2</v>
      </c>
      <c r="Y1168">
        <v>0</v>
      </c>
      <c r="Z1168" t="s">
        <v>2014</v>
      </c>
      <c r="AA1168" t="s">
        <v>2015</v>
      </c>
      <c r="AB1168" t="s">
        <v>14</v>
      </c>
      <c r="AC1168">
        <v>1.9616</v>
      </c>
      <c r="AD1168">
        <v>3.92</v>
      </c>
      <c r="AE1168">
        <v>726182084082</v>
      </c>
      <c r="AF1168">
        <v>431.1</v>
      </c>
      <c r="AG1168">
        <v>0</v>
      </c>
      <c r="AH1168">
        <v>18.66</v>
      </c>
      <c r="AI1168">
        <v>449.76</v>
      </c>
      <c r="AJ1168" t="s">
        <v>2</v>
      </c>
      <c r="AK1168" t="s">
        <v>11</v>
      </c>
    </row>
    <row r="1169" spans="1:37">
      <c r="A1169">
        <v>257848</v>
      </c>
      <c r="B1169" s="1">
        <v>45366</v>
      </c>
      <c r="C1169" t="s">
        <v>1305</v>
      </c>
      <c r="D1169" t="s">
        <v>1306</v>
      </c>
      <c r="E1169" t="s">
        <v>2</v>
      </c>
      <c r="F1169" t="s">
        <v>1307</v>
      </c>
      <c r="G1169" t="s">
        <v>28</v>
      </c>
      <c r="H1169">
        <v>34233</v>
      </c>
      <c r="I1169" t="s">
        <v>1305</v>
      </c>
      <c r="J1169" t="s">
        <v>1306</v>
      </c>
      <c r="K1169" t="s">
        <v>2</v>
      </c>
      <c r="L1169" t="s">
        <v>1307</v>
      </c>
      <c r="M1169" t="s">
        <v>28</v>
      </c>
      <c r="N1169">
        <v>34233</v>
      </c>
      <c r="O1169" t="s">
        <v>1312</v>
      </c>
      <c r="P1169" t="s">
        <v>1946</v>
      </c>
      <c r="Q1169" t="s">
        <v>21</v>
      </c>
      <c r="R1169">
        <v>415253</v>
      </c>
      <c r="S1169" t="s">
        <v>84</v>
      </c>
      <c r="T1169" s="2">
        <v>191</v>
      </c>
      <c r="U1169">
        <v>0</v>
      </c>
      <c r="V1169" t="s">
        <v>260</v>
      </c>
      <c r="W1169">
        <v>0</v>
      </c>
      <c r="X1169">
        <v>0</v>
      </c>
      <c r="Y1169">
        <v>0</v>
      </c>
      <c r="Z1169" t="s">
        <v>88</v>
      </c>
      <c r="AA1169" t="s">
        <v>1723</v>
      </c>
      <c r="AB1169" t="s">
        <v>10</v>
      </c>
      <c r="AC1169">
        <v>0</v>
      </c>
      <c r="AD1169">
        <v>0</v>
      </c>
      <c r="AE1169">
        <v>726182084082</v>
      </c>
      <c r="AF1169">
        <v>431.1</v>
      </c>
      <c r="AG1169">
        <v>0</v>
      </c>
      <c r="AH1169">
        <v>18.66</v>
      </c>
      <c r="AI1169">
        <v>449.76</v>
      </c>
      <c r="AJ1169" t="s">
        <v>2</v>
      </c>
      <c r="AK1169" t="s">
        <v>11</v>
      </c>
    </row>
    <row r="1170" spans="1:37">
      <c r="A1170">
        <v>257848</v>
      </c>
      <c r="B1170" s="1">
        <v>45366</v>
      </c>
      <c r="C1170" t="s">
        <v>1305</v>
      </c>
      <c r="D1170" t="s">
        <v>1306</v>
      </c>
      <c r="E1170" t="s">
        <v>2</v>
      </c>
      <c r="F1170" t="s">
        <v>1307</v>
      </c>
      <c r="G1170" t="s">
        <v>28</v>
      </c>
      <c r="H1170">
        <v>34233</v>
      </c>
      <c r="I1170" t="s">
        <v>1305</v>
      </c>
      <c r="J1170" t="s">
        <v>1306</v>
      </c>
      <c r="K1170" t="s">
        <v>2</v>
      </c>
      <c r="L1170" t="s">
        <v>1307</v>
      </c>
      <c r="M1170" t="s">
        <v>28</v>
      </c>
      <c r="N1170">
        <v>34233</v>
      </c>
      <c r="O1170" t="s">
        <v>1312</v>
      </c>
      <c r="P1170" t="s">
        <v>1946</v>
      </c>
      <c r="Q1170" t="s">
        <v>21</v>
      </c>
      <c r="R1170">
        <v>415253</v>
      </c>
      <c r="S1170" t="s">
        <v>84</v>
      </c>
      <c r="T1170" s="2">
        <v>191</v>
      </c>
      <c r="U1170">
        <v>0</v>
      </c>
      <c r="V1170" t="s">
        <v>260</v>
      </c>
      <c r="W1170">
        <v>1</v>
      </c>
      <c r="X1170">
        <v>1</v>
      </c>
      <c r="Y1170">
        <v>0</v>
      </c>
      <c r="Z1170" t="s">
        <v>2016</v>
      </c>
      <c r="AA1170" t="s">
        <v>2017</v>
      </c>
      <c r="AB1170" t="s">
        <v>14</v>
      </c>
      <c r="AC1170">
        <v>1.9616</v>
      </c>
      <c r="AD1170">
        <v>1.96</v>
      </c>
      <c r="AE1170">
        <v>726182084082</v>
      </c>
      <c r="AF1170">
        <v>431.1</v>
      </c>
      <c r="AG1170">
        <v>0</v>
      </c>
      <c r="AH1170">
        <v>18.66</v>
      </c>
      <c r="AI1170">
        <v>449.76</v>
      </c>
      <c r="AJ1170" t="s">
        <v>2</v>
      </c>
      <c r="AK1170" t="s">
        <v>11</v>
      </c>
    </row>
    <row r="1171" spans="1:37">
      <c r="A1171">
        <v>257848</v>
      </c>
      <c r="B1171" s="1">
        <v>45366</v>
      </c>
      <c r="C1171" t="s">
        <v>1305</v>
      </c>
      <c r="D1171" t="s">
        <v>1306</v>
      </c>
      <c r="E1171" t="s">
        <v>2</v>
      </c>
      <c r="F1171" t="s">
        <v>1307</v>
      </c>
      <c r="G1171" t="s">
        <v>28</v>
      </c>
      <c r="H1171">
        <v>34233</v>
      </c>
      <c r="I1171" t="s">
        <v>1305</v>
      </c>
      <c r="J1171" t="s">
        <v>1306</v>
      </c>
      <c r="K1171" t="s">
        <v>2</v>
      </c>
      <c r="L1171" t="s">
        <v>1307</v>
      </c>
      <c r="M1171" t="s">
        <v>28</v>
      </c>
      <c r="N1171">
        <v>34233</v>
      </c>
      <c r="O1171" t="s">
        <v>1312</v>
      </c>
      <c r="P1171" t="s">
        <v>1946</v>
      </c>
      <c r="Q1171" t="s">
        <v>21</v>
      </c>
      <c r="R1171">
        <v>415253</v>
      </c>
      <c r="S1171" t="s">
        <v>84</v>
      </c>
      <c r="T1171" s="2">
        <v>191</v>
      </c>
      <c r="U1171">
        <v>0</v>
      </c>
      <c r="V1171" t="s">
        <v>260</v>
      </c>
      <c r="W1171">
        <v>0</v>
      </c>
      <c r="X1171">
        <v>0</v>
      </c>
      <c r="Y1171">
        <v>0</v>
      </c>
      <c r="Z1171" t="s">
        <v>88</v>
      </c>
      <c r="AA1171" t="s">
        <v>1723</v>
      </c>
      <c r="AB1171" t="s">
        <v>10</v>
      </c>
      <c r="AC1171">
        <v>0</v>
      </c>
      <c r="AD1171">
        <v>0</v>
      </c>
      <c r="AE1171">
        <v>726182084082</v>
      </c>
      <c r="AF1171">
        <v>431.1</v>
      </c>
      <c r="AG1171">
        <v>0</v>
      </c>
      <c r="AH1171">
        <v>18.66</v>
      </c>
      <c r="AI1171">
        <v>449.76</v>
      </c>
      <c r="AJ1171" t="s">
        <v>2</v>
      </c>
      <c r="AK1171" t="s">
        <v>11</v>
      </c>
    </row>
    <row r="1172" spans="1:37">
      <c r="A1172">
        <v>257848</v>
      </c>
      <c r="B1172" s="1">
        <v>45366</v>
      </c>
      <c r="C1172" t="s">
        <v>1305</v>
      </c>
      <c r="D1172" t="s">
        <v>1306</v>
      </c>
      <c r="E1172" t="s">
        <v>2</v>
      </c>
      <c r="F1172" t="s">
        <v>1307</v>
      </c>
      <c r="G1172" t="s">
        <v>28</v>
      </c>
      <c r="H1172">
        <v>34233</v>
      </c>
      <c r="I1172" t="s">
        <v>1305</v>
      </c>
      <c r="J1172" t="s">
        <v>1306</v>
      </c>
      <c r="K1172" t="s">
        <v>2</v>
      </c>
      <c r="L1172" t="s">
        <v>1307</v>
      </c>
      <c r="M1172" t="s">
        <v>28</v>
      </c>
      <c r="N1172">
        <v>34233</v>
      </c>
      <c r="O1172" t="s">
        <v>1312</v>
      </c>
      <c r="P1172" t="s">
        <v>1946</v>
      </c>
      <c r="Q1172" t="s">
        <v>21</v>
      </c>
      <c r="R1172">
        <v>415253</v>
      </c>
      <c r="S1172" t="s">
        <v>84</v>
      </c>
      <c r="T1172" s="2">
        <v>191</v>
      </c>
      <c r="U1172">
        <v>0</v>
      </c>
      <c r="V1172" t="s">
        <v>260</v>
      </c>
      <c r="W1172">
        <v>1</v>
      </c>
      <c r="X1172">
        <v>1</v>
      </c>
      <c r="Y1172">
        <v>0</v>
      </c>
      <c r="Z1172" t="s">
        <v>2018</v>
      </c>
      <c r="AA1172" t="s">
        <v>2019</v>
      </c>
      <c r="AB1172" t="s">
        <v>14</v>
      </c>
      <c r="AC1172">
        <v>1.9616</v>
      </c>
      <c r="AD1172">
        <v>1.96</v>
      </c>
      <c r="AE1172">
        <v>726182084082</v>
      </c>
      <c r="AF1172">
        <v>431.1</v>
      </c>
      <c r="AG1172">
        <v>0</v>
      </c>
      <c r="AH1172">
        <v>18.66</v>
      </c>
      <c r="AI1172">
        <v>449.76</v>
      </c>
      <c r="AJ1172" t="s">
        <v>2</v>
      </c>
      <c r="AK1172" t="s">
        <v>11</v>
      </c>
    </row>
    <row r="1173" spans="1:37">
      <c r="A1173">
        <v>257848</v>
      </c>
      <c r="B1173" s="1">
        <v>45366</v>
      </c>
      <c r="C1173" t="s">
        <v>1305</v>
      </c>
      <c r="D1173" t="s">
        <v>1306</v>
      </c>
      <c r="E1173" t="s">
        <v>2</v>
      </c>
      <c r="F1173" t="s">
        <v>1307</v>
      </c>
      <c r="G1173" t="s">
        <v>28</v>
      </c>
      <c r="H1173">
        <v>34233</v>
      </c>
      <c r="I1173" t="s">
        <v>1305</v>
      </c>
      <c r="J1173" t="s">
        <v>1306</v>
      </c>
      <c r="K1173" t="s">
        <v>2</v>
      </c>
      <c r="L1173" t="s">
        <v>1307</v>
      </c>
      <c r="M1173" t="s">
        <v>28</v>
      </c>
      <c r="N1173">
        <v>34233</v>
      </c>
      <c r="O1173" t="s">
        <v>1312</v>
      </c>
      <c r="P1173" t="s">
        <v>1946</v>
      </c>
      <c r="Q1173" t="s">
        <v>21</v>
      </c>
      <c r="R1173">
        <v>415253</v>
      </c>
      <c r="S1173" t="s">
        <v>84</v>
      </c>
      <c r="T1173" s="2">
        <v>191</v>
      </c>
      <c r="U1173">
        <v>0</v>
      </c>
      <c r="V1173" t="s">
        <v>260</v>
      </c>
      <c r="W1173">
        <v>0</v>
      </c>
      <c r="X1173">
        <v>0</v>
      </c>
      <c r="Y1173">
        <v>0</v>
      </c>
      <c r="Z1173" t="s">
        <v>88</v>
      </c>
      <c r="AA1173" t="s">
        <v>1723</v>
      </c>
      <c r="AB1173" t="s">
        <v>10</v>
      </c>
      <c r="AC1173">
        <v>0</v>
      </c>
      <c r="AD1173">
        <v>0</v>
      </c>
      <c r="AE1173">
        <v>726182084082</v>
      </c>
      <c r="AF1173">
        <v>431.1</v>
      </c>
      <c r="AG1173">
        <v>0</v>
      </c>
      <c r="AH1173">
        <v>18.66</v>
      </c>
      <c r="AI1173">
        <v>449.76</v>
      </c>
      <c r="AJ1173" t="s">
        <v>2</v>
      </c>
      <c r="AK1173" t="s">
        <v>11</v>
      </c>
    </row>
    <row r="1174" spans="1:37">
      <c r="A1174">
        <v>257848</v>
      </c>
      <c r="B1174" s="1">
        <v>45366</v>
      </c>
      <c r="C1174" t="s">
        <v>1305</v>
      </c>
      <c r="D1174" t="s">
        <v>1306</v>
      </c>
      <c r="E1174" t="s">
        <v>2</v>
      </c>
      <c r="F1174" t="s">
        <v>1307</v>
      </c>
      <c r="G1174" t="s">
        <v>28</v>
      </c>
      <c r="H1174">
        <v>34233</v>
      </c>
      <c r="I1174" t="s">
        <v>1305</v>
      </c>
      <c r="J1174" t="s">
        <v>1306</v>
      </c>
      <c r="K1174" t="s">
        <v>2</v>
      </c>
      <c r="L1174" t="s">
        <v>1307</v>
      </c>
      <c r="M1174" t="s">
        <v>28</v>
      </c>
      <c r="N1174">
        <v>34233</v>
      </c>
      <c r="O1174" t="s">
        <v>1312</v>
      </c>
      <c r="P1174" t="s">
        <v>1946</v>
      </c>
      <c r="Q1174" t="s">
        <v>21</v>
      </c>
      <c r="R1174">
        <v>415253</v>
      </c>
      <c r="S1174" t="s">
        <v>84</v>
      </c>
      <c r="T1174" s="2">
        <v>191</v>
      </c>
      <c r="U1174">
        <v>0</v>
      </c>
      <c r="V1174" t="s">
        <v>260</v>
      </c>
      <c r="W1174">
        <v>1</v>
      </c>
      <c r="X1174">
        <v>1</v>
      </c>
      <c r="Y1174">
        <v>0</v>
      </c>
      <c r="Z1174" t="s">
        <v>2020</v>
      </c>
      <c r="AA1174" t="s">
        <v>2021</v>
      </c>
      <c r="AB1174" t="s">
        <v>14</v>
      </c>
      <c r="AC1174">
        <v>1.9616</v>
      </c>
      <c r="AD1174">
        <v>1.96</v>
      </c>
      <c r="AE1174">
        <v>726182084082</v>
      </c>
      <c r="AF1174">
        <v>431.1</v>
      </c>
      <c r="AG1174">
        <v>0</v>
      </c>
      <c r="AH1174">
        <v>18.66</v>
      </c>
      <c r="AI1174">
        <v>449.76</v>
      </c>
      <c r="AJ1174" t="s">
        <v>2</v>
      </c>
      <c r="AK1174" t="s">
        <v>11</v>
      </c>
    </row>
    <row r="1175" spans="1:37">
      <c r="A1175">
        <v>257848</v>
      </c>
      <c r="B1175" s="1">
        <v>45366</v>
      </c>
      <c r="C1175" t="s">
        <v>1305</v>
      </c>
      <c r="D1175" t="s">
        <v>1306</v>
      </c>
      <c r="E1175" t="s">
        <v>2</v>
      </c>
      <c r="F1175" t="s">
        <v>1307</v>
      </c>
      <c r="G1175" t="s">
        <v>28</v>
      </c>
      <c r="H1175">
        <v>34233</v>
      </c>
      <c r="I1175" t="s">
        <v>1305</v>
      </c>
      <c r="J1175" t="s">
        <v>1306</v>
      </c>
      <c r="K1175" t="s">
        <v>2</v>
      </c>
      <c r="L1175" t="s">
        <v>1307</v>
      </c>
      <c r="M1175" t="s">
        <v>28</v>
      </c>
      <c r="N1175">
        <v>34233</v>
      </c>
      <c r="O1175" t="s">
        <v>1312</v>
      </c>
      <c r="P1175" t="s">
        <v>1946</v>
      </c>
      <c r="Q1175" t="s">
        <v>21</v>
      </c>
      <c r="R1175">
        <v>415253</v>
      </c>
      <c r="S1175" t="s">
        <v>84</v>
      </c>
      <c r="T1175" s="2">
        <v>191</v>
      </c>
      <c r="U1175">
        <v>0</v>
      </c>
      <c r="V1175" t="s">
        <v>260</v>
      </c>
      <c r="W1175">
        <v>0</v>
      </c>
      <c r="X1175">
        <v>0</v>
      </c>
      <c r="Y1175">
        <v>0</v>
      </c>
      <c r="Z1175" t="s">
        <v>88</v>
      </c>
      <c r="AA1175" t="s">
        <v>1723</v>
      </c>
      <c r="AB1175" t="s">
        <v>10</v>
      </c>
      <c r="AC1175">
        <v>0</v>
      </c>
      <c r="AD1175">
        <v>0</v>
      </c>
      <c r="AE1175">
        <v>726182084082</v>
      </c>
      <c r="AF1175">
        <v>431.1</v>
      </c>
      <c r="AG1175">
        <v>0</v>
      </c>
      <c r="AH1175">
        <v>18.66</v>
      </c>
      <c r="AI1175">
        <v>449.76</v>
      </c>
      <c r="AJ1175" t="s">
        <v>2</v>
      </c>
      <c r="AK1175" t="s">
        <v>11</v>
      </c>
    </row>
    <row r="1176" spans="1:37">
      <c r="A1176">
        <v>257848</v>
      </c>
      <c r="B1176" s="1">
        <v>45366</v>
      </c>
      <c r="C1176" t="s">
        <v>1305</v>
      </c>
      <c r="D1176" t="s">
        <v>1306</v>
      </c>
      <c r="E1176" t="s">
        <v>2</v>
      </c>
      <c r="F1176" t="s">
        <v>1307</v>
      </c>
      <c r="G1176" t="s">
        <v>28</v>
      </c>
      <c r="H1176">
        <v>34233</v>
      </c>
      <c r="I1176" t="s">
        <v>1305</v>
      </c>
      <c r="J1176" t="s">
        <v>1306</v>
      </c>
      <c r="K1176" t="s">
        <v>2</v>
      </c>
      <c r="L1176" t="s">
        <v>1307</v>
      </c>
      <c r="M1176" t="s">
        <v>28</v>
      </c>
      <c r="N1176">
        <v>34233</v>
      </c>
      <c r="O1176" t="s">
        <v>1312</v>
      </c>
      <c r="P1176" t="s">
        <v>1946</v>
      </c>
      <c r="Q1176" t="s">
        <v>21</v>
      </c>
      <c r="R1176">
        <v>415253</v>
      </c>
      <c r="S1176" t="s">
        <v>84</v>
      </c>
      <c r="T1176" s="2">
        <v>191</v>
      </c>
      <c r="U1176">
        <v>0</v>
      </c>
      <c r="V1176" t="s">
        <v>260</v>
      </c>
      <c r="W1176">
        <v>1</v>
      </c>
      <c r="X1176">
        <v>1</v>
      </c>
      <c r="Y1176">
        <v>0</v>
      </c>
      <c r="Z1176" t="s">
        <v>2022</v>
      </c>
      <c r="AA1176" t="s">
        <v>2023</v>
      </c>
      <c r="AB1176" t="s">
        <v>14</v>
      </c>
      <c r="AC1176">
        <v>1.9616</v>
      </c>
      <c r="AD1176">
        <v>1.96</v>
      </c>
      <c r="AE1176">
        <v>726182084082</v>
      </c>
      <c r="AF1176">
        <v>431.1</v>
      </c>
      <c r="AG1176">
        <v>0</v>
      </c>
      <c r="AH1176">
        <v>18.66</v>
      </c>
      <c r="AI1176">
        <v>449.76</v>
      </c>
      <c r="AJ1176" t="s">
        <v>2</v>
      </c>
      <c r="AK1176" t="s">
        <v>11</v>
      </c>
    </row>
    <row r="1177" spans="1:37">
      <c r="A1177">
        <v>257848</v>
      </c>
      <c r="B1177" s="1">
        <v>45366</v>
      </c>
      <c r="C1177" t="s">
        <v>1305</v>
      </c>
      <c r="D1177" t="s">
        <v>1306</v>
      </c>
      <c r="E1177" t="s">
        <v>2</v>
      </c>
      <c r="F1177" t="s">
        <v>1307</v>
      </c>
      <c r="G1177" t="s">
        <v>28</v>
      </c>
      <c r="H1177">
        <v>34233</v>
      </c>
      <c r="I1177" t="s">
        <v>1305</v>
      </c>
      <c r="J1177" t="s">
        <v>1306</v>
      </c>
      <c r="K1177" t="s">
        <v>2</v>
      </c>
      <c r="L1177" t="s">
        <v>1307</v>
      </c>
      <c r="M1177" t="s">
        <v>28</v>
      </c>
      <c r="N1177">
        <v>34233</v>
      </c>
      <c r="O1177" t="s">
        <v>1312</v>
      </c>
      <c r="P1177" t="s">
        <v>1946</v>
      </c>
      <c r="Q1177" t="s">
        <v>21</v>
      </c>
      <c r="R1177">
        <v>415253</v>
      </c>
      <c r="S1177" t="s">
        <v>84</v>
      </c>
      <c r="T1177" s="2">
        <v>191</v>
      </c>
      <c r="U1177">
        <v>0</v>
      </c>
      <c r="V1177" t="s">
        <v>260</v>
      </c>
      <c r="W1177">
        <v>0</v>
      </c>
      <c r="X1177">
        <v>0</v>
      </c>
      <c r="Y1177">
        <v>0</v>
      </c>
      <c r="Z1177" t="s">
        <v>88</v>
      </c>
      <c r="AA1177" t="s">
        <v>1723</v>
      </c>
      <c r="AB1177" t="s">
        <v>10</v>
      </c>
      <c r="AC1177">
        <v>0</v>
      </c>
      <c r="AD1177">
        <v>0</v>
      </c>
      <c r="AE1177">
        <v>726182084082</v>
      </c>
      <c r="AF1177">
        <v>431.1</v>
      </c>
      <c r="AG1177">
        <v>0</v>
      </c>
      <c r="AH1177">
        <v>18.66</v>
      </c>
      <c r="AI1177">
        <v>449.76</v>
      </c>
      <c r="AJ1177" t="s">
        <v>2</v>
      </c>
      <c r="AK1177" t="s">
        <v>11</v>
      </c>
    </row>
    <row r="1178" spans="1:37">
      <c r="A1178">
        <v>257848</v>
      </c>
      <c r="B1178" s="1">
        <v>45366</v>
      </c>
      <c r="C1178" t="s">
        <v>1305</v>
      </c>
      <c r="D1178" t="s">
        <v>1306</v>
      </c>
      <c r="E1178" t="s">
        <v>2</v>
      </c>
      <c r="F1178" t="s">
        <v>1307</v>
      </c>
      <c r="G1178" t="s">
        <v>28</v>
      </c>
      <c r="H1178">
        <v>34233</v>
      </c>
      <c r="I1178" t="s">
        <v>1305</v>
      </c>
      <c r="J1178" t="s">
        <v>1306</v>
      </c>
      <c r="K1178" t="s">
        <v>2</v>
      </c>
      <c r="L1178" t="s">
        <v>1307</v>
      </c>
      <c r="M1178" t="s">
        <v>28</v>
      </c>
      <c r="N1178">
        <v>34233</v>
      </c>
      <c r="O1178" t="s">
        <v>1312</v>
      </c>
      <c r="P1178" t="s">
        <v>1946</v>
      </c>
      <c r="Q1178" t="s">
        <v>21</v>
      </c>
      <c r="R1178">
        <v>415253</v>
      </c>
      <c r="S1178" t="s">
        <v>84</v>
      </c>
      <c r="T1178" s="2">
        <v>191</v>
      </c>
      <c r="U1178">
        <v>0</v>
      </c>
      <c r="V1178" t="s">
        <v>260</v>
      </c>
      <c r="W1178">
        <v>4</v>
      </c>
      <c r="X1178">
        <v>4</v>
      </c>
      <c r="Y1178">
        <v>0</v>
      </c>
      <c r="Z1178" t="s">
        <v>2024</v>
      </c>
      <c r="AA1178" t="s">
        <v>2025</v>
      </c>
      <c r="AB1178" t="s">
        <v>14</v>
      </c>
      <c r="AC1178">
        <v>1.9616</v>
      </c>
      <c r="AD1178">
        <v>7.85</v>
      </c>
      <c r="AE1178">
        <v>726182084082</v>
      </c>
      <c r="AF1178">
        <v>431.1</v>
      </c>
      <c r="AG1178">
        <v>0</v>
      </c>
      <c r="AH1178">
        <v>18.66</v>
      </c>
      <c r="AI1178">
        <v>449.76</v>
      </c>
      <c r="AJ1178" t="s">
        <v>2</v>
      </c>
      <c r="AK1178" t="s">
        <v>11</v>
      </c>
    </row>
    <row r="1179" spans="1:37">
      <c r="A1179">
        <v>257848</v>
      </c>
      <c r="B1179" s="1">
        <v>45366</v>
      </c>
      <c r="C1179" t="s">
        <v>1305</v>
      </c>
      <c r="D1179" t="s">
        <v>1306</v>
      </c>
      <c r="E1179" t="s">
        <v>2</v>
      </c>
      <c r="F1179" t="s">
        <v>1307</v>
      </c>
      <c r="G1179" t="s">
        <v>28</v>
      </c>
      <c r="H1179">
        <v>34233</v>
      </c>
      <c r="I1179" t="s">
        <v>1305</v>
      </c>
      <c r="J1179" t="s">
        <v>1306</v>
      </c>
      <c r="K1179" t="s">
        <v>2</v>
      </c>
      <c r="L1179" t="s">
        <v>1307</v>
      </c>
      <c r="M1179" t="s">
        <v>28</v>
      </c>
      <c r="N1179">
        <v>34233</v>
      </c>
      <c r="O1179" t="s">
        <v>1312</v>
      </c>
      <c r="P1179" t="s">
        <v>1946</v>
      </c>
      <c r="Q1179" t="s">
        <v>21</v>
      </c>
      <c r="R1179">
        <v>415253</v>
      </c>
      <c r="S1179" t="s">
        <v>84</v>
      </c>
      <c r="T1179" s="2">
        <v>191</v>
      </c>
      <c r="U1179">
        <v>0</v>
      </c>
      <c r="V1179" t="s">
        <v>260</v>
      </c>
      <c r="W1179">
        <v>0</v>
      </c>
      <c r="X1179">
        <v>0</v>
      </c>
      <c r="Y1179">
        <v>0</v>
      </c>
      <c r="Z1179" t="s">
        <v>88</v>
      </c>
      <c r="AA1179" t="s">
        <v>1723</v>
      </c>
      <c r="AB1179" t="s">
        <v>10</v>
      </c>
      <c r="AC1179">
        <v>0</v>
      </c>
      <c r="AD1179">
        <v>0</v>
      </c>
      <c r="AE1179">
        <v>726182084082</v>
      </c>
      <c r="AF1179">
        <v>431.1</v>
      </c>
      <c r="AG1179">
        <v>0</v>
      </c>
      <c r="AH1179">
        <v>18.66</v>
      </c>
      <c r="AI1179">
        <v>449.76</v>
      </c>
      <c r="AJ1179" t="s">
        <v>2</v>
      </c>
      <c r="AK1179" t="s">
        <v>11</v>
      </c>
    </row>
    <row r="1180" spans="1:37">
      <c r="A1180">
        <v>257848</v>
      </c>
      <c r="B1180" s="1">
        <v>45366</v>
      </c>
      <c r="C1180" t="s">
        <v>1305</v>
      </c>
      <c r="D1180" t="s">
        <v>1306</v>
      </c>
      <c r="E1180" t="s">
        <v>2</v>
      </c>
      <c r="F1180" t="s">
        <v>1307</v>
      </c>
      <c r="G1180" t="s">
        <v>28</v>
      </c>
      <c r="H1180">
        <v>34233</v>
      </c>
      <c r="I1180" t="s">
        <v>1305</v>
      </c>
      <c r="J1180" t="s">
        <v>1306</v>
      </c>
      <c r="K1180" t="s">
        <v>2</v>
      </c>
      <c r="L1180" t="s">
        <v>1307</v>
      </c>
      <c r="M1180" t="s">
        <v>28</v>
      </c>
      <c r="N1180">
        <v>34233</v>
      </c>
      <c r="O1180" t="s">
        <v>1312</v>
      </c>
      <c r="P1180" t="s">
        <v>1946</v>
      </c>
      <c r="Q1180" t="s">
        <v>21</v>
      </c>
      <c r="R1180">
        <v>415253</v>
      </c>
      <c r="S1180" t="s">
        <v>84</v>
      </c>
      <c r="T1180" s="2">
        <v>191</v>
      </c>
      <c r="U1180">
        <v>0</v>
      </c>
      <c r="V1180" t="s">
        <v>260</v>
      </c>
      <c r="W1180">
        <v>3</v>
      </c>
      <c r="X1180">
        <v>3</v>
      </c>
      <c r="Y1180">
        <v>0</v>
      </c>
      <c r="Z1180" t="s">
        <v>2026</v>
      </c>
      <c r="AA1180" t="s">
        <v>2027</v>
      </c>
      <c r="AB1180" t="s">
        <v>14</v>
      </c>
      <c r="AC1180">
        <v>1.9616</v>
      </c>
      <c r="AD1180">
        <v>5.88</v>
      </c>
      <c r="AE1180">
        <v>726182084082</v>
      </c>
      <c r="AF1180">
        <v>431.1</v>
      </c>
      <c r="AG1180">
        <v>0</v>
      </c>
      <c r="AH1180">
        <v>18.66</v>
      </c>
      <c r="AI1180">
        <v>449.76</v>
      </c>
      <c r="AJ1180" t="s">
        <v>2</v>
      </c>
      <c r="AK1180" t="s">
        <v>11</v>
      </c>
    </row>
    <row r="1181" spans="1:37">
      <c r="A1181">
        <v>257848</v>
      </c>
      <c r="B1181" s="1">
        <v>45366</v>
      </c>
      <c r="C1181" t="s">
        <v>1305</v>
      </c>
      <c r="D1181" t="s">
        <v>1306</v>
      </c>
      <c r="E1181" t="s">
        <v>2</v>
      </c>
      <c r="F1181" t="s">
        <v>1307</v>
      </c>
      <c r="G1181" t="s">
        <v>28</v>
      </c>
      <c r="H1181">
        <v>34233</v>
      </c>
      <c r="I1181" t="s">
        <v>1305</v>
      </c>
      <c r="J1181" t="s">
        <v>1306</v>
      </c>
      <c r="K1181" t="s">
        <v>2</v>
      </c>
      <c r="L1181" t="s">
        <v>1307</v>
      </c>
      <c r="M1181" t="s">
        <v>28</v>
      </c>
      <c r="N1181">
        <v>34233</v>
      </c>
      <c r="O1181" t="s">
        <v>1312</v>
      </c>
      <c r="P1181" t="s">
        <v>1946</v>
      </c>
      <c r="Q1181" t="s">
        <v>21</v>
      </c>
      <c r="R1181">
        <v>415253</v>
      </c>
      <c r="S1181" t="s">
        <v>84</v>
      </c>
      <c r="T1181" s="2">
        <v>191</v>
      </c>
      <c r="U1181">
        <v>0</v>
      </c>
      <c r="V1181" t="s">
        <v>260</v>
      </c>
      <c r="W1181">
        <v>0</v>
      </c>
      <c r="X1181">
        <v>0</v>
      </c>
      <c r="Y1181">
        <v>0</v>
      </c>
      <c r="Z1181" t="s">
        <v>88</v>
      </c>
      <c r="AA1181" t="s">
        <v>1723</v>
      </c>
      <c r="AB1181" t="s">
        <v>10</v>
      </c>
      <c r="AC1181">
        <v>0</v>
      </c>
      <c r="AD1181">
        <v>0</v>
      </c>
      <c r="AE1181">
        <v>726182084082</v>
      </c>
      <c r="AF1181">
        <v>431.1</v>
      </c>
      <c r="AG1181">
        <v>0</v>
      </c>
      <c r="AH1181">
        <v>18.66</v>
      </c>
      <c r="AI1181">
        <v>449.76</v>
      </c>
      <c r="AJ1181" t="s">
        <v>2</v>
      </c>
      <c r="AK1181" t="s">
        <v>11</v>
      </c>
    </row>
    <row r="1182" spans="1:37">
      <c r="A1182">
        <v>257848</v>
      </c>
      <c r="B1182" s="1">
        <v>45366</v>
      </c>
      <c r="C1182" t="s">
        <v>1305</v>
      </c>
      <c r="D1182" t="s">
        <v>1306</v>
      </c>
      <c r="E1182" t="s">
        <v>2</v>
      </c>
      <c r="F1182" t="s">
        <v>1307</v>
      </c>
      <c r="G1182" t="s">
        <v>28</v>
      </c>
      <c r="H1182">
        <v>34233</v>
      </c>
      <c r="I1182" t="s">
        <v>1305</v>
      </c>
      <c r="J1182" t="s">
        <v>1306</v>
      </c>
      <c r="K1182" t="s">
        <v>2</v>
      </c>
      <c r="L1182" t="s">
        <v>1307</v>
      </c>
      <c r="M1182" t="s">
        <v>28</v>
      </c>
      <c r="N1182">
        <v>34233</v>
      </c>
      <c r="O1182" t="s">
        <v>1312</v>
      </c>
      <c r="P1182" t="s">
        <v>1946</v>
      </c>
      <c r="Q1182" t="s">
        <v>21</v>
      </c>
      <c r="R1182">
        <v>415253</v>
      </c>
      <c r="S1182" t="s">
        <v>84</v>
      </c>
      <c r="T1182" s="2">
        <v>191</v>
      </c>
      <c r="U1182">
        <v>0</v>
      </c>
      <c r="V1182" t="s">
        <v>260</v>
      </c>
      <c r="W1182">
        <v>1</v>
      </c>
      <c r="X1182">
        <v>1</v>
      </c>
      <c r="Y1182">
        <v>0</v>
      </c>
      <c r="Z1182" t="s">
        <v>2028</v>
      </c>
      <c r="AA1182" t="s">
        <v>2029</v>
      </c>
      <c r="AB1182" t="s">
        <v>14</v>
      </c>
      <c r="AC1182">
        <v>1.9616</v>
      </c>
      <c r="AD1182">
        <v>1.96</v>
      </c>
      <c r="AE1182">
        <v>726182084082</v>
      </c>
      <c r="AF1182">
        <v>431.1</v>
      </c>
      <c r="AG1182">
        <v>0</v>
      </c>
      <c r="AH1182">
        <v>18.66</v>
      </c>
      <c r="AI1182">
        <v>449.76</v>
      </c>
      <c r="AJ1182" t="s">
        <v>2</v>
      </c>
      <c r="AK1182" t="s">
        <v>11</v>
      </c>
    </row>
    <row r="1183" spans="1:37">
      <c r="A1183">
        <v>257848</v>
      </c>
      <c r="B1183" s="1">
        <v>45366</v>
      </c>
      <c r="C1183" t="s">
        <v>1305</v>
      </c>
      <c r="D1183" t="s">
        <v>1306</v>
      </c>
      <c r="E1183" t="s">
        <v>2</v>
      </c>
      <c r="F1183" t="s">
        <v>1307</v>
      </c>
      <c r="G1183" t="s">
        <v>28</v>
      </c>
      <c r="H1183">
        <v>34233</v>
      </c>
      <c r="I1183" t="s">
        <v>1305</v>
      </c>
      <c r="J1183" t="s">
        <v>1306</v>
      </c>
      <c r="K1183" t="s">
        <v>2</v>
      </c>
      <c r="L1183" t="s">
        <v>1307</v>
      </c>
      <c r="M1183" t="s">
        <v>28</v>
      </c>
      <c r="N1183">
        <v>34233</v>
      </c>
      <c r="O1183" t="s">
        <v>1312</v>
      </c>
      <c r="P1183" t="s">
        <v>1946</v>
      </c>
      <c r="Q1183" t="s">
        <v>21</v>
      </c>
      <c r="R1183">
        <v>415253</v>
      </c>
      <c r="S1183" t="s">
        <v>84</v>
      </c>
      <c r="T1183" s="2">
        <v>191</v>
      </c>
      <c r="U1183">
        <v>0</v>
      </c>
      <c r="V1183" t="s">
        <v>260</v>
      </c>
      <c r="W1183">
        <v>0</v>
      </c>
      <c r="X1183">
        <v>0</v>
      </c>
      <c r="Y1183">
        <v>0</v>
      </c>
      <c r="Z1183" t="s">
        <v>88</v>
      </c>
      <c r="AA1183" t="s">
        <v>1723</v>
      </c>
      <c r="AB1183" t="s">
        <v>10</v>
      </c>
      <c r="AC1183">
        <v>0</v>
      </c>
      <c r="AD1183">
        <v>0</v>
      </c>
      <c r="AE1183">
        <v>726182084082</v>
      </c>
      <c r="AF1183">
        <v>431.1</v>
      </c>
      <c r="AG1183">
        <v>0</v>
      </c>
      <c r="AH1183">
        <v>18.66</v>
      </c>
      <c r="AI1183">
        <v>449.76</v>
      </c>
      <c r="AJ1183" t="s">
        <v>2</v>
      </c>
      <c r="AK1183" t="s">
        <v>11</v>
      </c>
    </row>
    <row r="1184" spans="1:37">
      <c r="A1184">
        <v>257848</v>
      </c>
      <c r="B1184" s="1">
        <v>45366</v>
      </c>
      <c r="C1184" t="s">
        <v>1305</v>
      </c>
      <c r="D1184" t="s">
        <v>1306</v>
      </c>
      <c r="E1184" t="s">
        <v>2</v>
      </c>
      <c r="F1184" t="s">
        <v>1307</v>
      </c>
      <c r="G1184" t="s">
        <v>28</v>
      </c>
      <c r="H1184">
        <v>34233</v>
      </c>
      <c r="I1184" t="s">
        <v>1305</v>
      </c>
      <c r="J1184" t="s">
        <v>1306</v>
      </c>
      <c r="K1184" t="s">
        <v>2</v>
      </c>
      <c r="L1184" t="s">
        <v>1307</v>
      </c>
      <c r="M1184" t="s">
        <v>28</v>
      </c>
      <c r="N1184">
        <v>34233</v>
      </c>
      <c r="O1184" t="s">
        <v>1312</v>
      </c>
      <c r="P1184" t="s">
        <v>1946</v>
      </c>
      <c r="Q1184" t="s">
        <v>21</v>
      </c>
      <c r="R1184">
        <v>415253</v>
      </c>
      <c r="S1184" t="s">
        <v>84</v>
      </c>
      <c r="T1184" s="2">
        <v>191</v>
      </c>
      <c r="U1184">
        <v>0</v>
      </c>
      <c r="V1184" t="s">
        <v>260</v>
      </c>
      <c r="W1184">
        <v>1</v>
      </c>
      <c r="X1184">
        <v>1</v>
      </c>
      <c r="Y1184">
        <v>0</v>
      </c>
      <c r="Z1184" t="s">
        <v>2030</v>
      </c>
      <c r="AA1184" t="s">
        <v>2031</v>
      </c>
      <c r="AB1184" t="s">
        <v>14</v>
      </c>
      <c r="AC1184">
        <v>1.9616</v>
      </c>
      <c r="AD1184">
        <v>1.96</v>
      </c>
      <c r="AE1184">
        <v>726182084082</v>
      </c>
      <c r="AF1184">
        <v>431.1</v>
      </c>
      <c r="AG1184">
        <v>0</v>
      </c>
      <c r="AH1184">
        <v>18.66</v>
      </c>
      <c r="AI1184">
        <v>449.76</v>
      </c>
      <c r="AJ1184" t="s">
        <v>2</v>
      </c>
      <c r="AK1184" t="s">
        <v>11</v>
      </c>
    </row>
    <row r="1185" spans="1:37">
      <c r="A1185">
        <v>257848</v>
      </c>
      <c r="B1185" s="1">
        <v>45366</v>
      </c>
      <c r="C1185" t="s">
        <v>1305</v>
      </c>
      <c r="D1185" t="s">
        <v>1306</v>
      </c>
      <c r="E1185" t="s">
        <v>2</v>
      </c>
      <c r="F1185" t="s">
        <v>1307</v>
      </c>
      <c r="G1185" t="s">
        <v>28</v>
      </c>
      <c r="H1185">
        <v>34233</v>
      </c>
      <c r="I1185" t="s">
        <v>1305</v>
      </c>
      <c r="J1185" t="s">
        <v>1306</v>
      </c>
      <c r="K1185" t="s">
        <v>2</v>
      </c>
      <c r="L1185" t="s">
        <v>1307</v>
      </c>
      <c r="M1185" t="s">
        <v>28</v>
      </c>
      <c r="N1185">
        <v>34233</v>
      </c>
      <c r="O1185" t="s">
        <v>1312</v>
      </c>
      <c r="P1185" t="s">
        <v>1946</v>
      </c>
      <c r="Q1185" t="s">
        <v>21</v>
      </c>
      <c r="R1185">
        <v>415253</v>
      </c>
      <c r="S1185" t="s">
        <v>84</v>
      </c>
      <c r="T1185" s="2">
        <v>191</v>
      </c>
      <c r="U1185">
        <v>0</v>
      </c>
      <c r="V1185" t="s">
        <v>260</v>
      </c>
      <c r="W1185">
        <v>0</v>
      </c>
      <c r="X1185">
        <v>0</v>
      </c>
      <c r="Y1185">
        <v>0</v>
      </c>
      <c r="Z1185" t="s">
        <v>88</v>
      </c>
      <c r="AA1185" t="s">
        <v>1723</v>
      </c>
      <c r="AB1185" t="s">
        <v>10</v>
      </c>
      <c r="AC1185">
        <v>0</v>
      </c>
      <c r="AD1185">
        <v>0</v>
      </c>
      <c r="AE1185">
        <v>726182084082</v>
      </c>
      <c r="AF1185">
        <v>431.1</v>
      </c>
      <c r="AG1185">
        <v>0</v>
      </c>
      <c r="AH1185">
        <v>18.66</v>
      </c>
      <c r="AI1185">
        <v>449.76</v>
      </c>
      <c r="AJ1185" t="s">
        <v>2</v>
      </c>
      <c r="AK1185" t="s">
        <v>11</v>
      </c>
    </row>
    <row r="1186" spans="1:37">
      <c r="A1186">
        <v>257848</v>
      </c>
      <c r="B1186" s="1">
        <v>45366</v>
      </c>
      <c r="C1186" t="s">
        <v>1305</v>
      </c>
      <c r="D1186" t="s">
        <v>1306</v>
      </c>
      <c r="E1186" t="s">
        <v>2</v>
      </c>
      <c r="F1186" t="s">
        <v>1307</v>
      </c>
      <c r="G1186" t="s">
        <v>28</v>
      </c>
      <c r="H1186">
        <v>34233</v>
      </c>
      <c r="I1186" t="s">
        <v>1305</v>
      </c>
      <c r="J1186" t="s">
        <v>1306</v>
      </c>
      <c r="K1186" t="s">
        <v>2</v>
      </c>
      <c r="L1186" t="s">
        <v>1307</v>
      </c>
      <c r="M1186" t="s">
        <v>28</v>
      </c>
      <c r="N1186">
        <v>34233</v>
      </c>
      <c r="O1186" t="s">
        <v>1312</v>
      </c>
      <c r="P1186" t="s">
        <v>1946</v>
      </c>
      <c r="Q1186" t="s">
        <v>21</v>
      </c>
      <c r="R1186">
        <v>415253</v>
      </c>
      <c r="S1186" t="s">
        <v>84</v>
      </c>
      <c r="T1186" s="2">
        <v>191</v>
      </c>
      <c r="U1186">
        <v>0</v>
      </c>
      <c r="V1186" t="s">
        <v>260</v>
      </c>
      <c r="W1186">
        <v>1</v>
      </c>
      <c r="X1186">
        <v>1</v>
      </c>
      <c r="Y1186">
        <v>0</v>
      </c>
      <c r="Z1186" t="s">
        <v>2032</v>
      </c>
      <c r="AA1186" t="s">
        <v>2033</v>
      </c>
      <c r="AB1186" t="s">
        <v>14</v>
      </c>
      <c r="AC1186">
        <v>1.9616</v>
      </c>
      <c r="AD1186">
        <v>1.96</v>
      </c>
      <c r="AE1186">
        <v>726182084082</v>
      </c>
      <c r="AF1186">
        <v>431.1</v>
      </c>
      <c r="AG1186">
        <v>0</v>
      </c>
      <c r="AH1186">
        <v>18.66</v>
      </c>
      <c r="AI1186">
        <v>449.76</v>
      </c>
      <c r="AJ1186" t="s">
        <v>2</v>
      </c>
      <c r="AK1186" t="s">
        <v>11</v>
      </c>
    </row>
    <row r="1187" spans="1:37">
      <c r="A1187">
        <v>257848</v>
      </c>
      <c r="B1187" s="1">
        <v>45366</v>
      </c>
      <c r="C1187" t="s">
        <v>1305</v>
      </c>
      <c r="D1187" t="s">
        <v>1306</v>
      </c>
      <c r="E1187" t="s">
        <v>2</v>
      </c>
      <c r="F1187" t="s">
        <v>1307</v>
      </c>
      <c r="G1187" t="s">
        <v>28</v>
      </c>
      <c r="H1187">
        <v>34233</v>
      </c>
      <c r="I1187" t="s">
        <v>1305</v>
      </c>
      <c r="J1187" t="s">
        <v>1306</v>
      </c>
      <c r="K1187" t="s">
        <v>2</v>
      </c>
      <c r="L1187" t="s">
        <v>1307</v>
      </c>
      <c r="M1187" t="s">
        <v>28</v>
      </c>
      <c r="N1187">
        <v>34233</v>
      </c>
      <c r="O1187" t="s">
        <v>1312</v>
      </c>
      <c r="P1187" t="s">
        <v>1946</v>
      </c>
      <c r="Q1187" t="s">
        <v>21</v>
      </c>
      <c r="R1187">
        <v>415253</v>
      </c>
      <c r="S1187" t="s">
        <v>84</v>
      </c>
      <c r="T1187" s="2">
        <v>191</v>
      </c>
      <c r="U1187">
        <v>0</v>
      </c>
      <c r="V1187" t="s">
        <v>260</v>
      </c>
      <c r="W1187">
        <v>0</v>
      </c>
      <c r="X1187">
        <v>0</v>
      </c>
      <c r="Y1187">
        <v>0</v>
      </c>
      <c r="Z1187" t="s">
        <v>88</v>
      </c>
      <c r="AA1187" t="s">
        <v>1723</v>
      </c>
      <c r="AB1187" t="s">
        <v>10</v>
      </c>
      <c r="AC1187">
        <v>0</v>
      </c>
      <c r="AD1187">
        <v>0</v>
      </c>
      <c r="AE1187">
        <v>726182084082</v>
      </c>
      <c r="AF1187">
        <v>431.1</v>
      </c>
      <c r="AG1187">
        <v>0</v>
      </c>
      <c r="AH1187">
        <v>18.66</v>
      </c>
      <c r="AI1187">
        <v>449.76</v>
      </c>
      <c r="AJ1187" t="s">
        <v>2</v>
      </c>
      <c r="AK1187" t="s">
        <v>11</v>
      </c>
    </row>
    <row r="1188" spans="1:37">
      <c r="A1188">
        <v>257848</v>
      </c>
      <c r="B1188" s="1">
        <v>45366</v>
      </c>
      <c r="C1188" t="s">
        <v>1305</v>
      </c>
      <c r="D1188" t="s">
        <v>1306</v>
      </c>
      <c r="E1188" t="s">
        <v>2</v>
      </c>
      <c r="F1188" t="s">
        <v>1307</v>
      </c>
      <c r="G1188" t="s">
        <v>28</v>
      </c>
      <c r="H1188">
        <v>34233</v>
      </c>
      <c r="I1188" t="s">
        <v>1305</v>
      </c>
      <c r="J1188" t="s">
        <v>1306</v>
      </c>
      <c r="K1188" t="s">
        <v>2</v>
      </c>
      <c r="L1188" t="s">
        <v>1307</v>
      </c>
      <c r="M1188" t="s">
        <v>28</v>
      </c>
      <c r="N1188">
        <v>34233</v>
      </c>
      <c r="O1188" t="s">
        <v>1312</v>
      </c>
      <c r="P1188" t="s">
        <v>1946</v>
      </c>
      <c r="Q1188" t="s">
        <v>21</v>
      </c>
      <c r="R1188">
        <v>415253</v>
      </c>
      <c r="S1188" t="s">
        <v>84</v>
      </c>
      <c r="T1188" s="2">
        <v>191</v>
      </c>
      <c r="U1188">
        <v>0</v>
      </c>
      <c r="V1188" t="s">
        <v>260</v>
      </c>
      <c r="W1188">
        <v>1</v>
      </c>
      <c r="X1188">
        <v>1</v>
      </c>
      <c r="Y1188">
        <v>0</v>
      </c>
      <c r="Z1188" t="s">
        <v>2034</v>
      </c>
      <c r="AA1188" t="s">
        <v>2035</v>
      </c>
      <c r="AB1188" t="s">
        <v>14</v>
      </c>
      <c r="AC1188">
        <v>1.9616</v>
      </c>
      <c r="AD1188">
        <v>1.96</v>
      </c>
      <c r="AE1188">
        <v>726182084082</v>
      </c>
      <c r="AF1188">
        <v>431.1</v>
      </c>
      <c r="AG1188">
        <v>0</v>
      </c>
      <c r="AH1188">
        <v>18.66</v>
      </c>
      <c r="AI1188">
        <v>449.76</v>
      </c>
      <c r="AJ1188" t="s">
        <v>2</v>
      </c>
      <c r="AK1188" t="s">
        <v>11</v>
      </c>
    </row>
    <row r="1189" spans="1:37">
      <c r="A1189">
        <v>257848</v>
      </c>
      <c r="B1189" s="1">
        <v>45366</v>
      </c>
      <c r="C1189" t="s">
        <v>1305</v>
      </c>
      <c r="D1189" t="s">
        <v>1306</v>
      </c>
      <c r="E1189" t="s">
        <v>2</v>
      </c>
      <c r="F1189" t="s">
        <v>1307</v>
      </c>
      <c r="G1189" t="s">
        <v>28</v>
      </c>
      <c r="H1189">
        <v>34233</v>
      </c>
      <c r="I1189" t="s">
        <v>1305</v>
      </c>
      <c r="J1189" t="s">
        <v>1306</v>
      </c>
      <c r="K1189" t="s">
        <v>2</v>
      </c>
      <c r="L1189" t="s">
        <v>1307</v>
      </c>
      <c r="M1189" t="s">
        <v>28</v>
      </c>
      <c r="N1189">
        <v>34233</v>
      </c>
      <c r="O1189" t="s">
        <v>1312</v>
      </c>
      <c r="P1189" t="s">
        <v>1946</v>
      </c>
      <c r="Q1189" t="s">
        <v>21</v>
      </c>
      <c r="R1189">
        <v>415253</v>
      </c>
      <c r="S1189" t="s">
        <v>84</v>
      </c>
      <c r="T1189" s="2">
        <v>191</v>
      </c>
      <c r="U1189">
        <v>0</v>
      </c>
      <c r="V1189" t="s">
        <v>260</v>
      </c>
      <c r="W1189">
        <v>0</v>
      </c>
      <c r="X1189">
        <v>0</v>
      </c>
      <c r="Y1189">
        <v>0</v>
      </c>
      <c r="Z1189" t="s">
        <v>88</v>
      </c>
      <c r="AA1189" t="s">
        <v>1723</v>
      </c>
      <c r="AB1189" t="s">
        <v>10</v>
      </c>
      <c r="AC1189">
        <v>0</v>
      </c>
      <c r="AD1189">
        <v>0</v>
      </c>
      <c r="AE1189">
        <v>726182084082</v>
      </c>
      <c r="AF1189">
        <v>431.1</v>
      </c>
      <c r="AG1189">
        <v>0</v>
      </c>
      <c r="AH1189">
        <v>18.66</v>
      </c>
      <c r="AI1189">
        <v>449.76</v>
      </c>
      <c r="AJ1189" t="s">
        <v>2</v>
      </c>
      <c r="AK1189" t="s">
        <v>11</v>
      </c>
    </row>
    <row r="1190" spans="1:37">
      <c r="A1190">
        <v>257848</v>
      </c>
      <c r="B1190" s="1">
        <v>45366</v>
      </c>
      <c r="C1190" t="s">
        <v>1305</v>
      </c>
      <c r="D1190" t="s">
        <v>1306</v>
      </c>
      <c r="E1190" t="s">
        <v>2</v>
      </c>
      <c r="F1190" t="s">
        <v>1307</v>
      </c>
      <c r="G1190" t="s">
        <v>28</v>
      </c>
      <c r="H1190">
        <v>34233</v>
      </c>
      <c r="I1190" t="s">
        <v>1305</v>
      </c>
      <c r="J1190" t="s">
        <v>1306</v>
      </c>
      <c r="K1190" t="s">
        <v>2</v>
      </c>
      <c r="L1190" t="s">
        <v>1307</v>
      </c>
      <c r="M1190" t="s">
        <v>28</v>
      </c>
      <c r="N1190">
        <v>34233</v>
      </c>
      <c r="O1190" t="s">
        <v>1312</v>
      </c>
      <c r="P1190" t="s">
        <v>1946</v>
      </c>
      <c r="Q1190" t="s">
        <v>21</v>
      </c>
      <c r="R1190">
        <v>415253</v>
      </c>
      <c r="S1190" t="s">
        <v>84</v>
      </c>
      <c r="T1190" s="2">
        <v>191</v>
      </c>
      <c r="U1190">
        <v>0</v>
      </c>
      <c r="V1190" t="s">
        <v>260</v>
      </c>
      <c r="W1190">
        <v>1</v>
      </c>
      <c r="X1190">
        <v>1</v>
      </c>
      <c r="Y1190">
        <v>0</v>
      </c>
      <c r="Z1190" t="s">
        <v>2036</v>
      </c>
      <c r="AA1190" t="s">
        <v>2037</v>
      </c>
      <c r="AB1190" t="s">
        <v>14</v>
      </c>
      <c r="AC1190">
        <v>1.9616</v>
      </c>
      <c r="AD1190">
        <v>1.96</v>
      </c>
      <c r="AE1190">
        <v>726182084082</v>
      </c>
      <c r="AF1190">
        <v>431.1</v>
      </c>
      <c r="AG1190">
        <v>0</v>
      </c>
      <c r="AH1190">
        <v>18.66</v>
      </c>
      <c r="AI1190">
        <v>449.76</v>
      </c>
      <c r="AJ1190" t="s">
        <v>2</v>
      </c>
      <c r="AK1190" t="s">
        <v>11</v>
      </c>
    </row>
    <row r="1191" spans="1:37">
      <c r="A1191">
        <v>257848</v>
      </c>
      <c r="B1191" s="1">
        <v>45366</v>
      </c>
      <c r="C1191" t="s">
        <v>1305</v>
      </c>
      <c r="D1191" t="s">
        <v>1306</v>
      </c>
      <c r="E1191" t="s">
        <v>2</v>
      </c>
      <c r="F1191" t="s">
        <v>1307</v>
      </c>
      <c r="G1191" t="s">
        <v>28</v>
      </c>
      <c r="H1191">
        <v>34233</v>
      </c>
      <c r="I1191" t="s">
        <v>1305</v>
      </c>
      <c r="J1191" t="s">
        <v>1306</v>
      </c>
      <c r="K1191" t="s">
        <v>2</v>
      </c>
      <c r="L1191" t="s">
        <v>1307</v>
      </c>
      <c r="M1191" t="s">
        <v>28</v>
      </c>
      <c r="N1191">
        <v>34233</v>
      </c>
      <c r="O1191" t="s">
        <v>1312</v>
      </c>
      <c r="P1191" t="s">
        <v>1946</v>
      </c>
      <c r="Q1191" t="s">
        <v>21</v>
      </c>
      <c r="R1191">
        <v>415253</v>
      </c>
      <c r="S1191" t="s">
        <v>84</v>
      </c>
      <c r="T1191" s="2">
        <v>191</v>
      </c>
      <c r="U1191">
        <v>0</v>
      </c>
      <c r="V1191" t="s">
        <v>260</v>
      </c>
      <c r="W1191">
        <v>0</v>
      </c>
      <c r="X1191">
        <v>0</v>
      </c>
      <c r="Y1191">
        <v>0</v>
      </c>
      <c r="Z1191" t="s">
        <v>88</v>
      </c>
      <c r="AA1191" t="s">
        <v>1723</v>
      </c>
      <c r="AB1191" t="s">
        <v>10</v>
      </c>
      <c r="AC1191">
        <v>0</v>
      </c>
      <c r="AD1191">
        <v>0</v>
      </c>
      <c r="AE1191">
        <v>726182084082</v>
      </c>
      <c r="AF1191">
        <v>431.1</v>
      </c>
      <c r="AG1191">
        <v>0</v>
      </c>
      <c r="AH1191">
        <v>18.66</v>
      </c>
      <c r="AI1191">
        <v>449.76</v>
      </c>
      <c r="AJ1191" t="s">
        <v>2</v>
      </c>
      <c r="AK1191" t="s">
        <v>11</v>
      </c>
    </row>
    <row r="1192" spans="1:37">
      <c r="A1192">
        <v>257848</v>
      </c>
      <c r="B1192" s="1">
        <v>45366</v>
      </c>
      <c r="C1192" t="s">
        <v>1305</v>
      </c>
      <c r="D1192" t="s">
        <v>1306</v>
      </c>
      <c r="E1192" t="s">
        <v>2</v>
      </c>
      <c r="F1192" t="s">
        <v>1307</v>
      </c>
      <c r="G1192" t="s">
        <v>28</v>
      </c>
      <c r="H1192">
        <v>34233</v>
      </c>
      <c r="I1192" t="s">
        <v>1305</v>
      </c>
      <c r="J1192" t="s">
        <v>1306</v>
      </c>
      <c r="K1192" t="s">
        <v>2</v>
      </c>
      <c r="L1192" t="s">
        <v>1307</v>
      </c>
      <c r="M1192" t="s">
        <v>28</v>
      </c>
      <c r="N1192">
        <v>34233</v>
      </c>
      <c r="O1192" t="s">
        <v>1312</v>
      </c>
      <c r="P1192" t="s">
        <v>1946</v>
      </c>
      <c r="Q1192" t="s">
        <v>21</v>
      </c>
      <c r="R1192">
        <v>415253</v>
      </c>
      <c r="S1192" t="s">
        <v>84</v>
      </c>
      <c r="T1192" s="2">
        <v>191</v>
      </c>
      <c r="U1192">
        <v>0</v>
      </c>
      <c r="V1192" t="s">
        <v>260</v>
      </c>
      <c r="W1192">
        <v>1</v>
      </c>
      <c r="X1192">
        <v>1</v>
      </c>
      <c r="Y1192">
        <v>0</v>
      </c>
      <c r="Z1192" t="s">
        <v>2038</v>
      </c>
      <c r="AA1192" t="s">
        <v>2039</v>
      </c>
      <c r="AB1192" t="s">
        <v>14</v>
      </c>
      <c r="AC1192">
        <v>1.9616</v>
      </c>
      <c r="AD1192">
        <v>1.96</v>
      </c>
      <c r="AE1192">
        <v>726182084082</v>
      </c>
      <c r="AF1192">
        <v>431.1</v>
      </c>
      <c r="AG1192">
        <v>0</v>
      </c>
      <c r="AH1192">
        <v>18.66</v>
      </c>
      <c r="AI1192">
        <v>449.76</v>
      </c>
      <c r="AJ1192" t="s">
        <v>2</v>
      </c>
      <c r="AK1192" t="s">
        <v>11</v>
      </c>
    </row>
    <row r="1193" spans="1:37">
      <c r="A1193">
        <v>257848</v>
      </c>
      <c r="B1193" s="1">
        <v>45366</v>
      </c>
      <c r="C1193" t="s">
        <v>1305</v>
      </c>
      <c r="D1193" t="s">
        <v>1306</v>
      </c>
      <c r="E1193" t="s">
        <v>2</v>
      </c>
      <c r="F1193" t="s">
        <v>1307</v>
      </c>
      <c r="G1193" t="s">
        <v>28</v>
      </c>
      <c r="H1193">
        <v>34233</v>
      </c>
      <c r="I1193" t="s">
        <v>1305</v>
      </c>
      <c r="J1193" t="s">
        <v>1306</v>
      </c>
      <c r="K1193" t="s">
        <v>2</v>
      </c>
      <c r="L1193" t="s">
        <v>1307</v>
      </c>
      <c r="M1193" t="s">
        <v>28</v>
      </c>
      <c r="N1193">
        <v>34233</v>
      </c>
      <c r="O1193" t="s">
        <v>1312</v>
      </c>
      <c r="P1193" t="s">
        <v>1946</v>
      </c>
      <c r="Q1193" t="s">
        <v>21</v>
      </c>
      <c r="R1193">
        <v>415253</v>
      </c>
      <c r="S1193" t="s">
        <v>84</v>
      </c>
      <c r="T1193" s="2">
        <v>191</v>
      </c>
      <c r="U1193">
        <v>0</v>
      </c>
      <c r="V1193" t="s">
        <v>260</v>
      </c>
      <c r="W1193">
        <v>0</v>
      </c>
      <c r="X1193">
        <v>0</v>
      </c>
      <c r="Y1193">
        <v>0</v>
      </c>
      <c r="Z1193" t="s">
        <v>88</v>
      </c>
      <c r="AA1193" t="s">
        <v>1723</v>
      </c>
      <c r="AB1193" t="s">
        <v>10</v>
      </c>
      <c r="AC1193">
        <v>0</v>
      </c>
      <c r="AD1193">
        <v>0</v>
      </c>
      <c r="AE1193">
        <v>726182084082</v>
      </c>
      <c r="AF1193">
        <v>431.1</v>
      </c>
      <c r="AG1193">
        <v>0</v>
      </c>
      <c r="AH1193">
        <v>18.66</v>
      </c>
      <c r="AI1193">
        <v>449.76</v>
      </c>
      <c r="AJ1193" t="s">
        <v>2</v>
      </c>
      <c r="AK1193" t="s">
        <v>11</v>
      </c>
    </row>
    <row r="1194" spans="1:37">
      <c r="A1194">
        <v>257848</v>
      </c>
      <c r="B1194" s="1">
        <v>45366</v>
      </c>
      <c r="C1194" t="s">
        <v>1305</v>
      </c>
      <c r="D1194" t="s">
        <v>1306</v>
      </c>
      <c r="E1194" t="s">
        <v>2</v>
      </c>
      <c r="F1194" t="s">
        <v>1307</v>
      </c>
      <c r="G1194" t="s">
        <v>28</v>
      </c>
      <c r="H1194">
        <v>34233</v>
      </c>
      <c r="I1194" t="s">
        <v>1305</v>
      </c>
      <c r="J1194" t="s">
        <v>1306</v>
      </c>
      <c r="K1194" t="s">
        <v>2</v>
      </c>
      <c r="L1194" t="s">
        <v>1307</v>
      </c>
      <c r="M1194" t="s">
        <v>28</v>
      </c>
      <c r="N1194">
        <v>34233</v>
      </c>
      <c r="O1194" t="s">
        <v>1312</v>
      </c>
      <c r="P1194" t="s">
        <v>1946</v>
      </c>
      <c r="Q1194" t="s">
        <v>21</v>
      </c>
      <c r="R1194">
        <v>415253</v>
      </c>
      <c r="S1194" t="s">
        <v>84</v>
      </c>
      <c r="T1194" s="2">
        <v>191</v>
      </c>
      <c r="U1194">
        <v>0</v>
      </c>
      <c r="V1194" t="s">
        <v>260</v>
      </c>
      <c r="W1194">
        <v>1</v>
      </c>
      <c r="X1194">
        <v>1</v>
      </c>
      <c r="Y1194">
        <v>0</v>
      </c>
      <c r="Z1194" t="s">
        <v>2040</v>
      </c>
      <c r="AA1194" t="s">
        <v>2041</v>
      </c>
      <c r="AB1194" t="s">
        <v>14</v>
      </c>
      <c r="AC1194">
        <v>1.9616</v>
      </c>
      <c r="AD1194">
        <v>1.96</v>
      </c>
      <c r="AE1194">
        <v>726182084082</v>
      </c>
      <c r="AF1194">
        <v>431.1</v>
      </c>
      <c r="AG1194">
        <v>0</v>
      </c>
      <c r="AH1194">
        <v>18.66</v>
      </c>
      <c r="AI1194">
        <v>449.76</v>
      </c>
      <c r="AJ1194" t="s">
        <v>2</v>
      </c>
      <c r="AK1194" t="s">
        <v>11</v>
      </c>
    </row>
    <row r="1195" spans="1:37">
      <c r="A1195">
        <v>257848</v>
      </c>
      <c r="B1195" s="1">
        <v>45366</v>
      </c>
      <c r="C1195" t="s">
        <v>1305</v>
      </c>
      <c r="D1195" t="s">
        <v>1306</v>
      </c>
      <c r="E1195" t="s">
        <v>2</v>
      </c>
      <c r="F1195" t="s">
        <v>1307</v>
      </c>
      <c r="G1195" t="s">
        <v>28</v>
      </c>
      <c r="H1195">
        <v>34233</v>
      </c>
      <c r="I1195" t="s">
        <v>1305</v>
      </c>
      <c r="J1195" t="s">
        <v>1306</v>
      </c>
      <c r="K1195" t="s">
        <v>2</v>
      </c>
      <c r="L1195" t="s">
        <v>1307</v>
      </c>
      <c r="M1195" t="s">
        <v>28</v>
      </c>
      <c r="N1195">
        <v>34233</v>
      </c>
      <c r="O1195" t="s">
        <v>1312</v>
      </c>
      <c r="P1195" t="s">
        <v>1946</v>
      </c>
      <c r="Q1195" t="s">
        <v>21</v>
      </c>
      <c r="R1195">
        <v>415253</v>
      </c>
      <c r="S1195" t="s">
        <v>84</v>
      </c>
      <c r="T1195" s="2">
        <v>191</v>
      </c>
      <c r="U1195">
        <v>0</v>
      </c>
      <c r="V1195" t="s">
        <v>260</v>
      </c>
      <c r="W1195">
        <v>0</v>
      </c>
      <c r="X1195">
        <v>0</v>
      </c>
      <c r="Y1195">
        <v>0</v>
      </c>
      <c r="Z1195" t="s">
        <v>88</v>
      </c>
      <c r="AA1195" t="s">
        <v>1723</v>
      </c>
      <c r="AB1195" t="s">
        <v>10</v>
      </c>
      <c r="AC1195">
        <v>0</v>
      </c>
      <c r="AD1195">
        <v>0</v>
      </c>
      <c r="AE1195">
        <v>726182084082</v>
      </c>
      <c r="AF1195">
        <v>431.1</v>
      </c>
      <c r="AG1195">
        <v>0</v>
      </c>
      <c r="AH1195">
        <v>18.66</v>
      </c>
      <c r="AI1195">
        <v>449.76</v>
      </c>
      <c r="AJ1195" t="s">
        <v>2</v>
      </c>
      <c r="AK1195" t="s">
        <v>11</v>
      </c>
    </row>
    <row r="1196" spans="1:37">
      <c r="A1196">
        <v>257848</v>
      </c>
      <c r="B1196" s="1">
        <v>45366</v>
      </c>
      <c r="C1196" t="s">
        <v>1305</v>
      </c>
      <c r="D1196" t="s">
        <v>1306</v>
      </c>
      <c r="E1196" t="s">
        <v>2</v>
      </c>
      <c r="F1196" t="s">
        <v>1307</v>
      </c>
      <c r="G1196" t="s">
        <v>28</v>
      </c>
      <c r="H1196">
        <v>34233</v>
      </c>
      <c r="I1196" t="s">
        <v>1305</v>
      </c>
      <c r="J1196" t="s">
        <v>1306</v>
      </c>
      <c r="K1196" t="s">
        <v>2</v>
      </c>
      <c r="L1196" t="s">
        <v>1307</v>
      </c>
      <c r="M1196" t="s">
        <v>28</v>
      </c>
      <c r="N1196">
        <v>34233</v>
      </c>
      <c r="O1196" t="s">
        <v>1312</v>
      </c>
      <c r="P1196" t="s">
        <v>1946</v>
      </c>
      <c r="Q1196" t="s">
        <v>21</v>
      </c>
      <c r="R1196">
        <v>415253</v>
      </c>
      <c r="S1196" t="s">
        <v>84</v>
      </c>
      <c r="T1196" s="2">
        <v>191</v>
      </c>
      <c r="U1196">
        <v>0</v>
      </c>
      <c r="V1196" t="s">
        <v>260</v>
      </c>
      <c r="W1196">
        <v>3</v>
      </c>
      <c r="X1196">
        <v>3</v>
      </c>
      <c r="Y1196">
        <v>0</v>
      </c>
      <c r="Z1196" t="s">
        <v>2042</v>
      </c>
      <c r="AA1196" t="s">
        <v>2043</v>
      </c>
      <c r="AB1196" t="s">
        <v>14</v>
      </c>
      <c r="AC1196">
        <v>1.9616</v>
      </c>
      <c r="AD1196">
        <v>5.88</v>
      </c>
      <c r="AE1196">
        <v>726182084082</v>
      </c>
      <c r="AF1196">
        <v>431.1</v>
      </c>
      <c r="AG1196">
        <v>0</v>
      </c>
      <c r="AH1196">
        <v>18.66</v>
      </c>
      <c r="AI1196">
        <v>449.76</v>
      </c>
      <c r="AJ1196" t="s">
        <v>2</v>
      </c>
      <c r="AK1196" t="s">
        <v>11</v>
      </c>
    </row>
    <row r="1197" spans="1:37">
      <c r="A1197">
        <v>257848</v>
      </c>
      <c r="B1197" s="1">
        <v>45366</v>
      </c>
      <c r="C1197" t="s">
        <v>1305</v>
      </c>
      <c r="D1197" t="s">
        <v>1306</v>
      </c>
      <c r="E1197" t="s">
        <v>2</v>
      </c>
      <c r="F1197" t="s">
        <v>1307</v>
      </c>
      <c r="G1197" t="s">
        <v>28</v>
      </c>
      <c r="H1197">
        <v>34233</v>
      </c>
      <c r="I1197" t="s">
        <v>1305</v>
      </c>
      <c r="J1197" t="s">
        <v>1306</v>
      </c>
      <c r="K1197" t="s">
        <v>2</v>
      </c>
      <c r="L1197" t="s">
        <v>1307</v>
      </c>
      <c r="M1197" t="s">
        <v>28</v>
      </c>
      <c r="N1197">
        <v>34233</v>
      </c>
      <c r="O1197" t="s">
        <v>1312</v>
      </c>
      <c r="P1197" t="s">
        <v>1946</v>
      </c>
      <c r="Q1197" t="s">
        <v>21</v>
      </c>
      <c r="R1197">
        <v>415253</v>
      </c>
      <c r="S1197" t="s">
        <v>84</v>
      </c>
      <c r="T1197" s="2">
        <v>191</v>
      </c>
      <c r="U1197">
        <v>0</v>
      </c>
      <c r="V1197" t="s">
        <v>260</v>
      </c>
      <c r="W1197">
        <v>0</v>
      </c>
      <c r="X1197">
        <v>0</v>
      </c>
      <c r="Y1197">
        <v>0</v>
      </c>
      <c r="Z1197" t="s">
        <v>88</v>
      </c>
      <c r="AA1197" t="s">
        <v>1723</v>
      </c>
      <c r="AB1197" t="s">
        <v>10</v>
      </c>
      <c r="AC1197">
        <v>0</v>
      </c>
      <c r="AD1197">
        <v>0</v>
      </c>
      <c r="AE1197">
        <v>726182084082</v>
      </c>
      <c r="AF1197">
        <v>431.1</v>
      </c>
      <c r="AG1197">
        <v>0</v>
      </c>
      <c r="AH1197">
        <v>18.66</v>
      </c>
      <c r="AI1197">
        <v>449.76</v>
      </c>
      <c r="AJ1197" t="s">
        <v>2</v>
      </c>
      <c r="AK1197" t="s">
        <v>11</v>
      </c>
    </row>
    <row r="1198" spans="1:37">
      <c r="A1198">
        <v>257848</v>
      </c>
      <c r="B1198" s="1">
        <v>45366</v>
      </c>
      <c r="C1198" t="s">
        <v>1305</v>
      </c>
      <c r="D1198" t="s">
        <v>1306</v>
      </c>
      <c r="E1198" t="s">
        <v>2</v>
      </c>
      <c r="F1198" t="s">
        <v>1307</v>
      </c>
      <c r="G1198" t="s">
        <v>28</v>
      </c>
      <c r="H1198">
        <v>34233</v>
      </c>
      <c r="I1198" t="s">
        <v>1305</v>
      </c>
      <c r="J1198" t="s">
        <v>1306</v>
      </c>
      <c r="K1198" t="s">
        <v>2</v>
      </c>
      <c r="L1198" t="s">
        <v>1307</v>
      </c>
      <c r="M1198" t="s">
        <v>28</v>
      </c>
      <c r="N1198">
        <v>34233</v>
      </c>
      <c r="O1198" t="s">
        <v>1312</v>
      </c>
      <c r="P1198" t="s">
        <v>1946</v>
      </c>
      <c r="Q1198" t="s">
        <v>21</v>
      </c>
      <c r="R1198">
        <v>415253</v>
      </c>
      <c r="S1198" t="s">
        <v>84</v>
      </c>
      <c r="T1198" s="2">
        <v>191</v>
      </c>
      <c r="U1198">
        <v>0</v>
      </c>
      <c r="V1198" t="s">
        <v>260</v>
      </c>
      <c r="W1198">
        <v>3</v>
      </c>
      <c r="X1198">
        <v>0</v>
      </c>
      <c r="Y1198">
        <v>3</v>
      </c>
      <c r="Z1198" t="s">
        <v>2044</v>
      </c>
      <c r="AA1198" t="s">
        <v>2045</v>
      </c>
      <c r="AB1198" t="s">
        <v>14</v>
      </c>
      <c r="AC1198">
        <v>1.9616</v>
      </c>
      <c r="AD1198">
        <v>0</v>
      </c>
      <c r="AE1198">
        <v>726182084082</v>
      </c>
      <c r="AF1198">
        <v>431.1</v>
      </c>
      <c r="AG1198">
        <v>0</v>
      </c>
      <c r="AH1198">
        <v>18.66</v>
      </c>
      <c r="AI1198">
        <v>449.76</v>
      </c>
      <c r="AJ1198" t="s">
        <v>2</v>
      </c>
      <c r="AK1198" t="s">
        <v>11</v>
      </c>
    </row>
    <row r="1199" spans="1:37">
      <c r="A1199">
        <v>257848</v>
      </c>
      <c r="B1199" s="1">
        <v>45366</v>
      </c>
      <c r="C1199" t="s">
        <v>1305</v>
      </c>
      <c r="D1199" t="s">
        <v>1306</v>
      </c>
      <c r="E1199" t="s">
        <v>2</v>
      </c>
      <c r="F1199" t="s">
        <v>1307</v>
      </c>
      <c r="G1199" t="s">
        <v>28</v>
      </c>
      <c r="H1199">
        <v>34233</v>
      </c>
      <c r="I1199" t="s">
        <v>1305</v>
      </c>
      <c r="J1199" t="s">
        <v>1306</v>
      </c>
      <c r="K1199" t="s">
        <v>2</v>
      </c>
      <c r="L1199" t="s">
        <v>1307</v>
      </c>
      <c r="M1199" t="s">
        <v>28</v>
      </c>
      <c r="N1199">
        <v>34233</v>
      </c>
      <c r="O1199" t="s">
        <v>1312</v>
      </c>
      <c r="P1199" t="s">
        <v>1946</v>
      </c>
      <c r="Q1199" t="s">
        <v>21</v>
      </c>
      <c r="R1199">
        <v>415253</v>
      </c>
      <c r="S1199" t="s">
        <v>84</v>
      </c>
      <c r="T1199" s="2">
        <v>191</v>
      </c>
      <c r="U1199">
        <v>0</v>
      </c>
      <c r="V1199" t="s">
        <v>260</v>
      </c>
      <c r="W1199">
        <v>0</v>
      </c>
      <c r="X1199">
        <v>0</v>
      </c>
      <c r="Y1199">
        <v>0</v>
      </c>
      <c r="Z1199" t="s">
        <v>88</v>
      </c>
      <c r="AA1199" t="s">
        <v>1723</v>
      </c>
      <c r="AB1199" t="s">
        <v>10</v>
      </c>
      <c r="AC1199">
        <v>0</v>
      </c>
      <c r="AD1199">
        <v>0</v>
      </c>
      <c r="AE1199">
        <v>726182084082</v>
      </c>
      <c r="AF1199">
        <v>431.1</v>
      </c>
      <c r="AG1199">
        <v>0</v>
      </c>
      <c r="AH1199">
        <v>18.66</v>
      </c>
      <c r="AI1199">
        <v>449.76</v>
      </c>
      <c r="AJ1199" t="s">
        <v>2</v>
      </c>
      <c r="AK1199" t="s">
        <v>11</v>
      </c>
    </row>
    <row r="1200" spans="1:37">
      <c r="A1200">
        <v>257848</v>
      </c>
      <c r="B1200" s="1">
        <v>45366</v>
      </c>
      <c r="C1200" t="s">
        <v>1305</v>
      </c>
      <c r="D1200" t="s">
        <v>1306</v>
      </c>
      <c r="E1200" t="s">
        <v>2</v>
      </c>
      <c r="F1200" t="s">
        <v>1307</v>
      </c>
      <c r="G1200" t="s">
        <v>28</v>
      </c>
      <c r="H1200">
        <v>34233</v>
      </c>
      <c r="I1200" t="s">
        <v>1305</v>
      </c>
      <c r="J1200" t="s">
        <v>1306</v>
      </c>
      <c r="K1200" t="s">
        <v>2</v>
      </c>
      <c r="L1200" t="s">
        <v>1307</v>
      </c>
      <c r="M1200" t="s">
        <v>28</v>
      </c>
      <c r="N1200">
        <v>34233</v>
      </c>
      <c r="O1200" t="s">
        <v>1312</v>
      </c>
      <c r="P1200" t="s">
        <v>1946</v>
      </c>
      <c r="Q1200" t="s">
        <v>21</v>
      </c>
      <c r="R1200">
        <v>415253</v>
      </c>
      <c r="S1200" t="s">
        <v>84</v>
      </c>
      <c r="T1200" s="2">
        <v>191</v>
      </c>
      <c r="U1200">
        <v>0</v>
      </c>
      <c r="V1200" t="s">
        <v>260</v>
      </c>
      <c r="W1200">
        <v>1</v>
      </c>
      <c r="X1200">
        <v>1</v>
      </c>
      <c r="Y1200">
        <v>0</v>
      </c>
      <c r="Z1200" t="s">
        <v>2046</v>
      </c>
      <c r="AA1200" t="s">
        <v>2047</v>
      </c>
      <c r="AB1200" t="s">
        <v>14</v>
      </c>
      <c r="AC1200">
        <v>1.9616</v>
      </c>
      <c r="AD1200">
        <v>1.96</v>
      </c>
      <c r="AE1200">
        <v>726182084082</v>
      </c>
      <c r="AF1200">
        <v>431.1</v>
      </c>
      <c r="AG1200">
        <v>0</v>
      </c>
      <c r="AH1200">
        <v>18.66</v>
      </c>
      <c r="AI1200">
        <v>449.76</v>
      </c>
      <c r="AJ1200" t="s">
        <v>2</v>
      </c>
      <c r="AK1200" t="s">
        <v>11</v>
      </c>
    </row>
    <row r="1201" spans="1:37">
      <c r="A1201">
        <v>257848</v>
      </c>
      <c r="B1201" s="1">
        <v>45366</v>
      </c>
      <c r="C1201" t="s">
        <v>1305</v>
      </c>
      <c r="D1201" t="s">
        <v>1306</v>
      </c>
      <c r="E1201" t="s">
        <v>2</v>
      </c>
      <c r="F1201" t="s">
        <v>1307</v>
      </c>
      <c r="G1201" t="s">
        <v>28</v>
      </c>
      <c r="H1201">
        <v>34233</v>
      </c>
      <c r="I1201" t="s">
        <v>1305</v>
      </c>
      <c r="J1201" t="s">
        <v>1306</v>
      </c>
      <c r="K1201" t="s">
        <v>2</v>
      </c>
      <c r="L1201" t="s">
        <v>1307</v>
      </c>
      <c r="M1201" t="s">
        <v>28</v>
      </c>
      <c r="N1201">
        <v>34233</v>
      </c>
      <c r="O1201" t="s">
        <v>1312</v>
      </c>
      <c r="P1201" t="s">
        <v>1946</v>
      </c>
      <c r="Q1201" t="s">
        <v>21</v>
      </c>
      <c r="R1201">
        <v>415253</v>
      </c>
      <c r="S1201" t="s">
        <v>84</v>
      </c>
      <c r="T1201" s="2">
        <v>191</v>
      </c>
      <c r="U1201">
        <v>0</v>
      </c>
      <c r="V1201" t="s">
        <v>260</v>
      </c>
      <c r="W1201">
        <v>0</v>
      </c>
      <c r="X1201">
        <v>0</v>
      </c>
      <c r="Y1201">
        <v>0</v>
      </c>
      <c r="Z1201" t="s">
        <v>88</v>
      </c>
      <c r="AA1201" t="s">
        <v>1723</v>
      </c>
      <c r="AB1201" t="s">
        <v>10</v>
      </c>
      <c r="AC1201">
        <v>0</v>
      </c>
      <c r="AD1201">
        <v>0</v>
      </c>
      <c r="AE1201">
        <v>726182084082</v>
      </c>
      <c r="AF1201">
        <v>431.1</v>
      </c>
      <c r="AG1201">
        <v>0</v>
      </c>
      <c r="AH1201">
        <v>18.66</v>
      </c>
      <c r="AI1201">
        <v>449.76</v>
      </c>
      <c r="AJ1201" t="s">
        <v>2</v>
      </c>
      <c r="AK1201" t="s">
        <v>11</v>
      </c>
    </row>
    <row r="1202" spans="1:37">
      <c r="A1202">
        <v>257848</v>
      </c>
      <c r="B1202" s="1">
        <v>45366</v>
      </c>
      <c r="C1202" t="s">
        <v>1305</v>
      </c>
      <c r="D1202" t="s">
        <v>1306</v>
      </c>
      <c r="E1202" t="s">
        <v>2</v>
      </c>
      <c r="F1202" t="s">
        <v>1307</v>
      </c>
      <c r="G1202" t="s">
        <v>28</v>
      </c>
      <c r="H1202">
        <v>34233</v>
      </c>
      <c r="I1202" t="s">
        <v>1305</v>
      </c>
      <c r="J1202" t="s">
        <v>1306</v>
      </c>
      <c r="K1202" t="s">
        <v>2</v>
      </c>
      <c r="L1202" t="s">
        <v>1307</v>
      </c>
      <c r="M1202" t="s">
        <v>28</v>
      </c>
      <c r="N1202">
        <v>34233</v>
      </c>
      <c r="O1202" t="s">
        <v>1312</v>
      </c>
      <c r="P1202" t="s">
        <v>1946</v>
      </c>
      <c r="Q1202" t="s">
        <v>21</v>
      </c>
      <c r="R1202">
        <v>415253</v>
      </c>
      <c r="S1202" t="s">
        <v>84</v>
      </c>
      <c r="T1202" s="2">
        <v>191</v>
      </c>
      <c r="U1202">
        <v>0</v>
      </c>
      <c r="V1202" t="s">
        <v>260</v>
      </c>
      <c r="W1202">
        <v>1</v>
      </c>
      <c r="X1202">
        <v>1</v>
      </c>
      <c r="Y1202">
        <v>0</v>
      </c>
      <c r="Z1202" t="s">
        <v>2048</v>
      </c>
      <c r="AA1202" t="s">
        <v>2049</v>
      </c>
      <c r="AB1202" t="s">
        <v>14</v>
      </c>
      <c r="AC1202">
        <v>1.9616</v>
      </c>
      <c r="AD1202">
        <v>1.96</v>
      </c>
      <c r="AE1202">
        <v>726182084082</v>
      </c>
      <c r="AF1202">
        <v>431.1</v>
      </c>
      <c r="AG1202">
        <v>0</v>
      </c>
      <c r="AH1202">
        <v>18.66</v>
      </c>
      <c r="AI1202">
        <v>449.76</v>
      </c>
      <c r="AJ1202" t="s">
        <v>2</v>
      </c>
      <c r="AK1202" t="s">
        <v>11</v>
      </c>
    </row>
    <row r="1203" spans="1:37">
      <c r="A1203">
        <v>257848</v>
      </c>
      <c r="B1203" s="1">
        <v>45366</v>
      </c>
      <c r="C1203" t="s">
        <v>1305</v>
      </c>
      <c r="D1203" t="s">
        <v>1306</v>
      </c>
      <c r="E1203" t="s">
        <v>2</v>
      </c>
      <c r="F1203" t="s">
        <v>1307</v>
      </c>
      <c r="G1203" t="s">
        <v>28</v>
      </c>
      <c r="H1203">
        <v>34233</v>
      </c>
      <c r="I1203" t="s">
        <v>1305</v>
      </c>
      <c r="J1203" t="s">
        <v>1306</v>
      </c>
      <c r="K1203" t="s">
        <v>2</v>
      </c>
      <c r="L1203" t="s">
        <v>1307</v>
      </c>
      <c r="M1203" t="s">
        <v>28</v>
      </c>
      <c r="N1203">
        <v>34233</v>
      </c>
      <c r="O1203" t="s">
        <v>1312</v>
      </c>
      <c r="P1203" t="s">
        <v>1946</v>
      </c>
      <c r="Q1203" t="s">
        <v>21</v>
      </c>
      <c r="R1203">
        <v>415253</v>
      </c>
      <c r="S1203" t="s">
        <v>84</v>
      </c>
      <c r="T1203" s="2">
        <v>191</v>
      </c>
      <c r="U1203">
        <v>0</v>
      </c>
      <c r="V1203" t="s">
        <v>260</v>
      </c>
      <c r="W1203">
        <v>0</v>
      </c>
      <c r="X1203">
        <v>0</v>
      </c>
      <c r="Y1203">
        <v>0</v>
      </c>
      <c r="Z1203" t="s">
        <v>88</v>
      </c>
      <c r="AA1203" t="s">
        <v>1723</v>
      </c>
      <c r="AB1203" t="s">
        <v>10</v>
      </c>
      <c r="AC1203">
        <v>0</v>
      </c>
      <c r="AD1203">
        <v>0</v>
      </c>
      <c r="AE1203">
        <v>726182084082</v>
      </c>
      <c r="AF1203">
        <v>431.1</v>
      </c>
      <c r="AG1203">
        <v>0</v>
      </c>
      <c r="AH1203">
        <v>18.66</v>
      </c>
      <c r="AI1203">
        <v>449.76</v>
      </c>
      <c r="AJ1203" t="s">
        <v>2</v>
      </c>
      <c r="AK1203" t="s">
        <v>11</v>
      </c>
    </row>
    <row r="1204" spans="1:37">
      <c r="A1204">
        <v>257848</v>
      </c>
      <c r="B1204" s="1">
        <v>45366</v>
      </c>
      <c r="C1204" t="s">
        <v>1305</v>
      </c>
      <c r="D1204" t="s">
        <v>1306</v>
      </c>
      <c r="E1204" t="s">
        <v>2</v>
      </c>
      <c r="F1204" t="s">
        <v>1307</v>
      </c>
      <c r="G1204" t="s">
        <v>28</v>
      </c>
      <c r="H1204">
        <v>34233</v>
      </c>
      <c r="I1204" t="s">
        <v>1305</v>
      </c>
      <c r="J1204" t="s">
        <v>1306</v>
      </c>
      <c r="K1204" t="s">
        <v>2</v>
      </c>
      <c r="L1204" t="s">
        <v>1307</v>
      </c>
      <c r="M1204" t="s">
        <v>28</v>
      </c>
      <c r="N1204">
        <v>34233</v>
      </c>
      <c r="O1204" t="s">
        <v>1312</v>
      </c>
      <c r="P1204" t="s">
        <v>1946</v>
      </c>
      <c r="Q1204" t="s">
        <v>21</v>
      </c>
      <c r="R1204">
        <v>415253</v>
      </c>
      <c r="S1204" t="s">
        <v>84</v>
      </c>
      <c r="T1204" s="2">
        <v>191</v>
      </c>
      <c r="U1204">
        <v>0</v>
      </c>
      <c r="V1204" t="s">
        <v>260</v>
      </c>
      <c r="W1204">
        <v>1</v>
      </c>
      <c r="X1204">
        <v>1</v>
      </c>
      <c r="Y1204">
        <v>0</v>
      </c>
      <c r="Z1204" t="s">
        <v>2050</v>
      </c>
      <c r="AA1204" t="s">
        <v>2051</v>
      </c>
      <c r="AB1204" t="s">
        <v>14</v>
      </c>
      <c r="AC1204">
        <v>1.9616</v>
      </c>
      <c r="AD1204">
        <v>1.96</v>
      </c>
      <c r="AE1204">
        <v>726182084082</v>
      </c>
      <c r="AF1204">
        <v>431.1</v>
      </c>
      <c r="AG1204">
        <v>0</v>
      </c>
      <c r="AH1204">
        <v>18.66</v>
      </c>
      <c r="AI1204">
        <v>449.76</v>
      </c>
      <c r="AJ1204" t="s">
        <v>2</v>
      </c>
      <c r="AK1204" t="s">
        <v>11</v>
      </c>
    </row>
    <row r="1205" spans="1:37">
      <c r="A1205">
        <v>257848</v>
      </c>
      <c r="B1205" s="1">
        <v>45366</v>
      </c>
      <c r="C1205" t="s">
        <v>1305</v>
      </c>
      <c r="D1205" t="s">
        <v>1306</v>
      </c>
      <c r="E1205" t="s">
        <v>2</v>
      </c>
      <c r="F1205" t="s">
        <v>1307</v>
      </c>
      <c r="G1205" t="s">
        <v>28</v>
      </c>
      <c r="H1205">
        <v>34233</v>
      </c>
      <c r="I1205" t="s">
        <v>1305</v>
      </c>
      <c r="J1205" t="s">
        <v>1306</v>
      </c>
      <c r="K1205" t="s">
        <v>2</v>
      </c>
      <c r="L1205" t="s">
        <v>1307</v>
      </c>
      <c r="M1205" t="s">
        <v>28</v>
      </c>
      <c r="N1205">
        <v>34233</v>
      </c>
      <c r="O1205" t="s">
        <v>1312</v>
      </c>
      <c r="P1205" t="s">
        <v>1946</v>
      </c>
      <c r="Q1205" t="s">
        <v>21</v>
      </c>
      <c r="R1205">
        <v>415253</v>
      </c>
      <c r="S1205" t="s">
        <v>84</v>
      </c>
      <c r="T1205" s="2">
        <v>191</v>
      </c>
      <c r="U1205">
        <v>0</v>
      </c>
      <c r="V1205" t="s">
        <v>260</v>
      </c>
      <c r="W1205">
        <v>0</v>
      </c>
      <c r="X1205">
        <v>0</v>
      </c>
      <c r="Y1205">
        <v>0</v>
      </c>
      <c r="Z1205" t="s">
        <v>88</v>
      </c>
      <c r="AA1205" t="s">
        <v>1723</v>
      </c>
      <c r="AB1205" t="s">
        <v>10</v>
      </c>
      <c r="AC1205">
        <v>0</v>
      </c>
      <c r="AD1205">
        <v>0</v>
      </c>
      <c r="AE1205">
        <v>726182084082</v>
      </c>
      <c r="AF1205">
        <v>431.1</v>
      </c>
      <c r="AG1205">
        <v>0</v>
      </c>
      <c r="AH1205">
        <v>18.66</v>
      </c>
      <c r="AI1205">
        <v>449.76</v>
      </c>
      <c r="AJ1205" t="s">
        <v>2</v>
      </c>
      <c r="AK1205" t="s">
        <v>11</v>
      </c>
    </row>
    <row r="1206" spans="1:37">
      <c r="A1206">
        <v>257848</v>
      </c>
      <c r="B1206" s="1">
        <v>45366</v>
      </c>
      <c r="C1206" t="s">
        <v>1305</v>
      </c>
      <c r="D1206" t="s">
        <v>1306</v>
      </c>
      <c r="E1206" t="s">
        <v>2</v>
      </c>
      <c r="F1206" t="s">
        <v>1307</v>
      </c>
      <c r="G1206" t="s">
        <v>28</v>
      </c>
      <c r="H1206">
        <v>34233</v>
      </c>
      <c r="I1206" t="s">
        <v>1305</v>
      </c>
      <c r="J1206" t="s">
        <v>1306</v>
      </c>
      <c r="K1206" t="s">
        <v>2</v>
      </c>
      <c r="L1206" t="s">
        <v>1307</v>
      </c>
      <c r="M1206" t="s">
        <v>28</v>
      </c>
      <c r="N1206">
        <v>34233</v>
      </c>
      <c r="O1206" t="s">
        <v>1312</v>
      </c>
      <c r="P1206" t="s">
        <v>1946</v>
      </c>
      <c r="Q1206" t="s">
        <v>21</v>
      </c>
      <c r="R1206">
        <v>415253</v>
      </c>
      <c r="S1206" t="s">
        <v>84</v>
      </c>
      <c r="T1206" s="2">
        <v>191</v>
      </c>
      <c r="U1206">
        <v>0</v>
      </c>
      <c r="V1206" t="s">
        <v>260</v>
      </c>
      <c r="W1206">
        <v>5</v>
      </c>
      <c r="X1206">
        <v>5</v>
      </c>
      <c r="Y1206">
        <v>0</v>
      </c>
      <c r="Z1206" t="s">
        <v>2052</v>
      </c>
      <c r="AA1206" t="s">
        <v>2053</v>
      </c>
      <c r="AB1206" t="s">
        <v>14</v>
      </c>
      <c r="AC1206">
        <v>1.9616</v>
      </c>
      <c r="AD1206">
        <v>9.81</v>
      </c>
      <c r="AE1206">
        <v>726182084082</v>
      </c>
      <c r="AF1206">
        <v>431.1</v>
      </c>
      <c r="AG1206">
        <v>0</v>
      </c>
      <c r="AH1206">
        <v>18.66</v>
      </c>
      <c r="AI1206">
        <v>449.76</v>
      </c>
      <c r="AJ1206" t="s">
        <v>2</v>
      </c>
      <c r="AK1206" t="s">
        <v>11</v>
      </c>
    </row>
    <row r="1207" spans="1:37">
      <c r="A1207">
        <v>257848</v>
      </c>
      <c r="B1207" s="1">
        <v>45366</v>
      </c>
      <c r="C1207" t="s">
        <v>1305</v>
      </c>
      <c r="D1207" t="s">
        <v>1306</v>
      </c>
      <c r="E1207" t="s">
        <v>2</v>
      </c>
      <c r="F1207" t="s">
        <v>1307</v>
      </c>
      <c r="G1207" t="s">
        <v>28</v>
      </c>
      <c r="H1207">
        <v>34233</v>
      </c>
      <c r="I1207" t="s">
        <v>1305</v>
      </c>
      <c r="J1207" t="s">
        <v>1306</v>
      </c>
      <c r="K1207" t="s">
        <v>2</v>
      </c>
      <c r="L1207" t="s">
        <v>1307</v>
      </c>
      <c r="M1207" t="s">
        <v>28</v>
      </c>
      <c r="N1207">
        <v>34233</v>
      </c>
      <c r="O1207" t="s">
        <v>1312</v>
      </c>
      <c r="P1207" t="s">
        <v>1946</v>
      </c>
      <c r="Q1207" t="s">
        <v>21</v>
      </c>
      <c r="R1207">
        <v>415253</v>
      </c>
      <c r="S1207" t="s">
        <v>84</v>
      </c>
      <c r="T1207" s="2">
        <v>191</v>
      </c>
      <c r="U1207">
        <v>0</v>
      </c>
      <c r="V1207" t="s">
        <v>260</v>
      </c>
      <c r="W1207">
        <v>0</v>
      </c>
      <c r="X1207">
        <v>0</v>
      </c>
      <c r="Y1207">
        <v>0</v>
      </c>
      <c r="Z1207" t="s">
        <v>88</v>
      </c>
      <c r="AA1207" t="s">
        <v>1723</v>
      </c>
      <c r="AB1207" t="s">
        <v>10</v>
      </c>
      <c r="AC1207">
        <v>0</v>
      </c>
      <c r="AD1207">
        <v>0</v>
      </c>
      <c r="AE1207">
        <v>726182084082</v>
      </c>
      <c r="AF1207">
        <v>431.1</v>
      </c>
      <c r="AG1207">
        <v>0</v>
      </c>
      <c r="AH1207">
        <v>18.66</v>
      </c>
      <c r="AI1207">
        <v>449.76</v>
      </c>
      <c r="AJ1207" t="s">
        <v>2</v>
      </c>
      <c r="AK1207" t="s">
        <v>11</v>
      </c>
    </row>
    <row r="1208" spans="1:37">
      <c r="A1208">
        <v>257848</v>
      </c>
      <c r="B1208" s="1">
        <v>45366</v>
      </c>
      <c r="C1208" t="s">
        <v>1305</v>
      </c>
      <c r="D1208" t="s">
        <v>1306</v>
      </c>
      <c r="E1208" t="s">
        <v>2</v>
      </c>
      <c r="F1208" t="s">
        <v>1307</v>
      </c>
      <c r="G1208" t="s">
        <v>28</v>
      </c>
      <c r="H1208">
        <v>34233</v>
      </c>
      <c r="I1208" t="s">
        <v>1305</v>
      </c>
      <c r="J1208" t="s">
        <v>1306</v>
      </c>
      <c r="K1208" t="s">
        <v>2</v>
      </c>
      <c r="L1208" t="s">
        <v>1307</v>
      </c>
      <c r="M1208" t="s">
        <v>28</v>
      </c>
      <c r="N1208">
        <v>34233</v>
      </c>
      <c r="O1208" t="s">
        <v>1312</v>
      </c>
      <c r="P1208" t="s">
        <v>1946</v>
      </c>
      <c r="Q1208" t="s">
        <v>21</v>
      </c>
      <c r="R1208">
        <v>415253</v>
      </c>
      <c r="S1208" t="s">
        <v>84</v>
      </c>
      <c r="T1208" s="2">
        <v>191</v>
      </c>
      <c r="U1208">
        <v>0</v>
      </c>
      <c r="V1208" t="s">
        <v>260</v>
      </c>
      <c r="W1208">
        <v>1</v>
      </c>
      <c r="X1208">
        <v>1</v>
      </c>
      <c r="Y1208">
        <v>0</v>
      </c>
      <c r="Z1208" t="s">
        <v>2054</v>
      </c>
      <c r="AA1208" t="s">
        <v>2055</v>
      </c>
      <c r="AB1208" t="s">
        <v>14</v>
      </c>
      <c r="AC1208">
        <v>1.9616</v>
      </c>
      <c r="AD1208">
        <v>1.96</v>
      </c>
      <c r="AE1208">
        <v>726182084082</v>
      </c>
      <c r="AF1208">
        <v>431.1</v>
      </c>
      <c r="AG1208">
        <v>0</v>
      </c>
      <c r="AH1208">
        <v>18.66</v>
      </c>
      <c r="AI1208">
        <v>449.76</v>
      </c>
      <c r="AJ1208" t="s">
        <v>2</v>
      </c>
      <c r="AK1208" t="s">
        <v>11</v>
      </c>
    </row>
    <row r="1209" spans="1:37">
      <c r="A1209">
        <v>257848</v>
      </c>
      <c r="B1209" s="1">
        <v>45366</v>
      </c>
      <c r="C1209" t="s">
        <v>1305</v>
      </c>
      <c r="D1209" t="s">
        <v>1306</v>
      </c>
      <c r="E1209" t="s">
        <v>2</v>
      </c>
      <c r="F1209" t="s">
        <v>1307</v>
      </c>
      <c r="G1209" t="s">
        <v>28</v>
      </c>
      <c r="H1209">
        <v>34233</v>
      </c>
      <c r="I1209" t="s">
        <v>1305</v>
      </c>
      <c r="J1209" t="s">
        <v>1306</v>
      </c>
      <c r="K1209" t="s">
        <v>2</v>
      </c>
      <c r="L1209" t="s">
        <v>1307</v>
      </c>
      <c r="M1209" t="s">
        <v>28</v>
      </c>
      <c r="N1209">
        <v>34233</v>
      </c>
      <c r="O1209" t="s">
        <v>1312</v>
      </c>
      <c r="P1209" t="s">
        <v>1946</v>
      </c>
      <c r="Q1209" t="s">
        <v>21</v>
      </c>
      <c r="R1209">
        <v>415253</v>
      </c>
      <c r="S1209" t="s">
        <v>84</v>
      </c>
      <c r="T1209" s="2">
        <v>191</v>
      </c>
      <c r="U1209">
        <v>0</v>
      </c>
      <c r="V1209" t="s">
        <v>260</v>
      </c>
      <c r="W1209">
        <v>0</v>
      </c>
      <c r="X1209">
        <v>0</v>
      </c>
      <c r="Y1209">
        <v>0</v>
      </c>
      <c r="Z1209" t="s">
        <v>88</v>
      </c>
      <c r="AA1209" t="s">
        <v>1723</v>
      </c>
      <c r="AB1209" t="s">
        <v>10</v>
      </c>
      <c r="AC1209">
        <v>0</v>
      </c>
      <c r="AD1209">
        <v>0</v>
      </c>
      <c r="AE1209">
        <v>726182084082</v>
      </c>
      <c r="AF1209">
        <v>431.1</v>
      </c>
      <c r="AG1209">
        <v>0</v>
      </c>
      <c r="AH1209">
        <v>18.66</v>
      </c>
      <c r="AI1209">
        <v>449.76</v>
      </c>
      <c r="AJ1209" t="s">
        <v>2</v>
      </c>
      <c r="AK1209" t="s">
        <v>11</v>
      </c>
    </row>
    <row r="1210" spans="1:37">
      <c r="A1210">
        <v>257848</v>
      </c>
      <c r="B1210" s="1">
        <v>45366</v>
      </c>
      <c r="C1210" t="s">
        <v>1305</v>
      </c>
      <c r="D1210" t="s">
        <v>1306</v>
      </c>
      <c r="E1210" t="s">
        <v>2</v>
      </c>
      <c r="F1210" t="s">
        <v>1307</v>
      </c>
      <c r="G1210" t="s">
        <v>28</v>
      </c>
      <c r="H1210">
        <v>34233</v>
      </c>
      <c r="I1210" t="s">
        <v>1305</v>
      </c>
      <c r="J1210" t="s">
        <v>1306</v>
      </c>
      <c r="K1210" t="s">
        <v>2</v>
      </c>
      <c r="L1210" t="s">
        <v>1307</v>
      </c>
      <c r="M1210" t="s">
        <v>28</v>
      </c>
      <c r="N1210">
        <v>34233</v>
      </c>
      <c r="O1210" t="s">
        <v>1312</v>
      </c>
      <c r="P1210" t="s">
        <v>1946</v>
      </c>
      <c r="Q1210" t="s">
        <v>21</v>
      </c>
      <c r="R1210">
        <v>415253</v>
      </c>
      <c r="S1210" t="s">
        <v>84</v>
      </c>
      <c r="T1210" s="2">
        <v>191</v>
      </c>
      <c r="U1210">
        <v>0</v>
      </c>
      <c r="V1210" t="s">
        <v>260</v>
      </c>
      <c r="W1210">
        <v>1</v>
      </c>
      <c r="X1210">
        <v>1</v>
      </c>
      <c r="Y1210">
        <v>0</v>
      </c>
      <c r="Z1210" t="s">
        <v>2056</v>
      </c>
      <c r="AA1210" t="s">
        <v>2057</v>
      </c>
      <c r="AB1210" t="s">
        <v>14</v>
      </c>
      <c r="AC1210">
        <v>1.9616</v>
      </c>
      <c r="AD1210">
        <v>1.96</v>
      </c>
      <c r="AE1210">
        <v>726182084082</v>
      </c>
      <c r="AF1210">
        <v>431.1</v>
      </c>
      <c r="AG1210">
        <v>0</v>
      </c>
      <c r="AH1210">
        <v>18.66</v>
      </c>
      <c r="AI1210">
        <v>449.76</v>
      </c>
      <c r="AJ1210" t="s">
        <v>2</v>
      </c>
      <c r="AK1210" t="s">
        <v>11</v>
      </c>
    </row>
    <row r="1211" spans="1:37">
      <c r="A1211">
        <v>257848</v>
      </c>
      <c r="B1211" s="1">
        <v>45366</v>
      </c>
      <c r="C1211" t="s">
        <v>1305</v>
      </c>
      <c r="D1211" t="s">
        <v>1306</v>
      </c>
      <c r="E1211" t="s">
        <v>2</v>
      </c>
      <c r="F1211" t="s">
        <v>1307</v>
      </c>
      <c r="G1211" t="s">
        <v>28</v>
      </c>
      <c r="H1211">
        <v>34233</v>
      </c>
      <c r="I1211" t="s">
        <v>1305</v>
      </c>
      <c r="J1211" t="s">
        <v>1306</v>
      </c>
      <c r="K1211" t="s">
        <v>2</v>
      </c>
      <c r="L1211" t="s">
        <v>1307</v>
      </c>
      <c r="M1211" t="s">
        <v>28</v>
      </c>
      <c r="N1211">
        <v>34233</v>
      </c>
      <c r="O1211" t="s">
        <v>1312</v>
      </c>
      <c r="P1211" t="s">
        <v>1946</v>
      </c>
      <c r="Q1211" t="s">
        <v>21</v>
      </c>
      <c r="R1211">
        <v>415253</v>
      </c>
      <c r="S1211" t="s">
        <v>84</v>
      </c>
      <c r="T1211" s="2">
        <v>191</v>
      </c>
      <c r="U1211">
        <v>0</v>
      </c>
      <c r="V1211" t="s">
        <v>260</v>
      </c>
      <c r="W1211">
        <v>0</v>
      </c>
      <c r="X1211">
        <v>0</v>
      </c>
      <c r="Y1211">
        <v>0</v>
      </c>
      <c r="Z1211" t="s">
        <v>88</v>
      </c>
      <c r="AA1211" t="s">
        <v>1723</v>
      </c>
      <c r="AB1211" t="s">
        <v>10</v>
      </c>
      <c r="AC1211">
        <v>0</v>
      </c>
      <c r="AD1211">
        <v>0</v>
      </c>
      <c r="AE1211">
        <v>726182084082</v>
      </c>
      <c r="AF1211">
        <v>431.1</v>
      </c>
      <c r="AG1211">
        <v>0</v>
      </c>
      <c r="AH1211">
        <v>18.66</v>
      </c>
      <c r="AI1211">
        <v>449.76</v>
      </c>
      <c r="AJ1211" t="s">
        <v>2</v>
      </c>
      <c r="AK1211" t="s">
        <v>11</v>
      </c>
    </row>
    <row r="1212" spans="1:37">
      <c r="A1212">
        <v>257848</v>
      </c>
      <c r="B1212" s="1">
        <v>45366</v>
      </c>
      <c r="C1212" t="s">
        <v>1305</v>
      </c>
      <c r="D1212" t="s">
        <v>1306</v>
      </c>
      <c r="E1212" t="s">
        <v>2</v>
      </c>
      <c r="F1212" t="s">
        <v>1307</v>
      </c>
      <c r="G1212" t="s">
        <v>28</v>
      </c>
      <c r="H1212">
        <v>34233</v>
      </c>
      <c r="I1212" t="s">
        <v>1305</v>
      </c>
      <c r="J1212" t="s">
        <v>1306</v>
      </c>
      <c r="K1212" t="s">
        <v>2</v>
      </c>
      <c r="L1212" t="s">
        <v>1307</v>
      </c>
      <c r="M1212" t="s">
        <v>28</v>
      </c>
      <c r="N1212">
        <v>34233</v>
      </c>
      <c r="O1212" t="s">
        <v>1312</v>
      </c>
      <c r="P1212" t="s">
        <v>1946</v>
      </c>
      <c r="Q1212" t="s">
        <v>21</v>
      </c>
      <c r="R1212">
        <v>415253</v>
      </c>
      <c r="S1212" t="s">
        <v>84</v>
      </c>
      <c r="T1212" s="2">
        <v>191</v>
      </c>
      <c r="U1212">
        <v>0</v>
      </c>
      <c r="V1212" t="s">
        <v>260</v>
      </c>
      <c r="W1212">
        <v>4</v>
      </c>
      <c r="X1212">
        <v>4</v>
      </c>
      <c r="Y1212">
        <v>0</v>
      </c>
      <c r="Z1212" t="s">
        <v>2058</v>
      </c>
      <c r="AA1212" t="s">
        <v>2059</v>
      </c>
      <c r="AB1212" t="s">
        <v>14</v>
      </c>
      <c r="AC1212">
        <v>1.9616</v>
      </c>
      <c r="AD1212">
        <v>7.85</v>
      </c>
      <c r="AE1212">
        <v>726182084082</v>
      </c>
      <c r="AF1212">
        <v>431.1</v>
      </c>
      <c r="AG1212">
        <v>0</v>
      </c>
      <c r="AH1212">
        <v>18.66</v>
      </c>
      <c r="AI1212">
        <v>449.76</v>
      </c>
      <c r="AJ1212" t="s">
        <v>2</v>
      </c>
      <c r="AK1212" t="s">
        <v>11</v>
      </c>
    </row>
    <row r="1213" spans="1:37">
      <c r="A1213">
        <v>257848</v>
      </c>
      <c r="B1213" s="1">
        <v>45366</v>
      </c>
      <c r="C1213" t="s">
        <v>1305</v>
      </c>
      <c r="D1213" t="s">
        <v>1306</v>
      </c>
      <c r="E1213" t="s">
        <v>2</v>
      </c>
      <c r="F1213" t="s">
        <v>1307</v>
      </c>
      <c r="G1213" t="s">
        <v>28</v>
      </c>
      <c r="H1213">
        <v>34233</v>
      </c>
      <c r="I1213" t="s">
        <v>1305</v>
      </c>
      <c r="J1213" t="s">
        <v>1306</v>
      </c>
      <c r="K1213" t="s">
        <v>2</v>
      </c>
      <c r="L1213" t="s">
        <v>1307</v>
      </c>
      <c r="M1213" t="s">
        <v>28</v>
      </c>
      <c r="N1213">
        <v>34233</v>
      </c>
      <c r="O1213" t="s">
        <v>1312</v>
      </c>
      <c r="P1213" t="s">
        <v>1946</v>
      </c>
      <c r="Q1213" t="s">
        <v>21</v>
      </c>
      <c r="R1213">
        <v>415253</v>
      </c>
      <c r="S1213" t="s">
        <v>84</v>
      </c>
      <c r="T1213" s="2">
        <v>191</v>
      </c>
      <c r="U1213">
        <v>0</v>
      </c>
      <c r="V1213" t="s">
        <v>260</v>
      </c>
      <c r="W1213">
        <v>0</v>
      </c>
      <c r="X1213">
        <v>0</v>
      </c>
      <c r="Y1213">
        <v>0</v>
      </c>
      <c r="Z1213" t="s">
        <v>88</v>
      </c>
      <c r="AA1213" t="s">
        <v>1723</v>
      </c>
      <c r="AB1213" t="s">
        <v>10</v>
      </c>
      <c r="AC1213">
        <v>0</v>
      </c>
      <c r="AD1213">
        <v>0</v>
      </c>
      <c r="AE1213">
        <v>726182084082</v>
      </c>
      <c r="AF1213">
        <v>431.1</v>
      </c>
      <c r="AG1213">
        <v>0</v>
      </c>
      <c r="AH1213">
        <v>18.66</v>
      </c>
      <c r="AI1213">
        <v>449.76</v>
      </c>
      <c r="AJ1213" t="s">
        <v>2</v>
      </c>
      <c r="AK1213" t="s">
        <v>11</v>
      </c>
    </row>
    <row r="1214" spans="1:37">
      <c r="A1214">
        <v>257848</v>
      </c>
      <c r="B1214" s="1">
        <v>45366</v>
      </c>
      <c r="C1214" t="s">
        <v>1305</v>
      </c>
      <c r="D1214" t="s">
        <v>1306</v>
      </c>
      <c r="E1214" t="s">
        <v>2</v>
      </c>
      <c r="F1214" t="s">
        <v>1307</v>
      </c>
      <c r="G1214" t="s">
        <v>28</v>
      </c>
      <c r="H1214">
        <v>34233</v>
      </c>
      <c r="I1214" t="s">
        <v>1305</v>
      </c>
      <c r="J1214" t="s">
        <v>1306</v>
      </c>
      <c r="K1214" t="s">
        <v>2</v>
      </c>
      <c r="L1214" t="s">
        <v>1307</v>
      </c>
      <c r="M1214" t="s">
        <v>28</v>
      </c>
      <c r="N1214">
        <v>34233</v>
      </c>
      <c r="O1214" t="s">
        <v>1312</v>
      </c>
      <c r="P1214" t="s">
        <v>1946</v>
      </c>
      <c r="Q1214" t="s">
        <v>21</v>
      </c>
      <c r="R1214">
        <v>415253</v>
      </c>
      <c r="S1214" t="s">
        <v>84</v>
      </c>
      <c r="T1214" s="2">
        <v>191</v>
      </c>
      <c r="U1214">
        <v>0</v>
      </c>
      <c r="V1214" t="s">
        <v>260</v>
      </c>
      <c r="W1214">
        <v>1</v>
      </c>
      <c r="X1214">
        <v>1</v>
      </c>
      <c r="Y1214">
        <v>0</v>
      </c>
      <c r="Z1214" t="s">
        <v>2060</v>
      </c>
      <c r="AA1214" t="s">
        <v>2061</v>
      </c>
      <c r="AB1214" t="s">
        <v>14</v>
      </c>
      <c r="AC1214">
        <v>1.9616</v>
      </c>
      <c r="AD1214">
        <v>1.96</v>
      </c>
      <c r="AE1214">
        <v>726182084082</v>
      </c>
      <c r="AF1214">
        <v>431.1</v>
      </c>
      <c r="AG1214">
        <v>0</v>
      </c>
      <c r="AH1214">
        <v>18.66</v>
      </c>
      <c r="AI1214">
        <v>449.76</v>
      </c>
      <c r="AJ1214" t="s">
        <v>2</v>
      </c>
      <c r="AK1214" t="s">
        <v>11</v>
      </c>
    </row>
    <row r="1215" spans="1:37">
      <c r="A1215">
        <v>257848</v>
      </c>
      <c r="B1215" s="1">
        <v>45366</v>
      </c>
      <c r="C1215" t="s">
        <v>1305</v>
      </c>
      <c r="D1215" t="s">
        <v>1306</v>
      </c>
      <c r="E1215" t="s">
        <v>2</v>
      </c>
      <c r="F1215" t="s">
        <v>1307</v>
      </c>
      <c r="G1215" t="s">
        <v>28</v>
      </c>
      <c r="H1215">
        <v>34233</v>
      </c>
      <c r="I1215" t="s">
        <v>1305</v>
      </c>
      <c r="J1215" t="s">
        <v>1306</v>
      </c>
      <c r="K1215" t="s">
        <v>2</v>
      </c>
      <c r="L1215" t="s">
        <v>1307</v>
      </c>
      <c r="M1215" t="s">
        <v>28</v>
      </c>
      <c r="N1215">
        <v>34233</v>
      </c>
      <c r="O1215" t="s">
        <v>1312</v>
      </c>
      <c r="P1215" t="s">
        <v>1946</v>
      </c>
      <c r="Q1215" t="s">
        <v>21</v>
      </c>
      <c r="R1215">
        <v>415253</v>
      </c>
      <c r="S1215" t="s">
        <v>84</v>
      </c>
      <c r="T1215" s="2">
        <v>191</v>
      </c>
      <c r="U1215">
        <v>0</v>
      </c>
      <c r="V1215" t="s">
        <v>260</v>
      </c>
      <c r="W1215">
        <v>0</v>
      </c>
      <c r="X1215">
        <v>0</v>
      </c>
      <c r="Y1215">
        <v>0</v>
      </c>
      <c r="Z1215" t="s">
        <v>88</v>
      </c>
      <c r="AA1215" t="s">
        <v>1723</v>
      </c>
      <c r="AB1215" t="s">
        <v>10</v>
      </c>
      <c r="AC1215">
        <v>0</v>
      </c>
      <c r="AD1215">
        <v>0</v>
      </c>
      <c r="AE1215">
        <v>726182084082</v>
      </c>
      <c r="AF1215">
        <v>431.1</v>
      </c>
      <c r="AG1215">
        <v>0</v>
      </c>
      <c r="AH1215">
        <v>18.66</v>
      </c>
      <c r="AI1215">
        <v>449.76</v>
      </c>
      <c r="AJ1215" t="s">
        <v>2</v>
      </c>
      <c r="AK1215" t="s">
        <v>11</v>
      </c>
    </row>
    <row r="1216" spans="1:37">
      <c r="A1216">
        <v>257848</v>
      </c>
      <c r="B1216" s="1">
        <v>45366</v>
      </c>
      <c r="C1216" t="s">
        <v>1305</v>
      </c>
      <c r="D1216" t="s">
        <v>1306</v>
      </c>
      <c r="E1216" t="s">
        <v>2</v>
      </c>
      <c r="F1216" t="s">
        <v>1307</v>
      </c>
      <c r="G1216" t="s">
        <v>28</v>
      </c>
      <c r="H1216">
        <v>34233</v>
      </c>
      <c r="I1216" t="s">
        <v>1305</v>
      </c>
      <c r="J1216" t="s">
        <v>1306</v>
      </c>
      <c r="K1216" t="s">
        <v>2</v>
      </c>
      <c r="L1216" t="s">
        <v>1307</v>
      </c>
      <c r="M1216" t="s">
        <v>28</v>
      </c>
      <c r="N1216">
        <v>34233</v>
      </c>
      <c r="O1216" t="s">
        <v>1312</v>
      </c>
      <c r="P1216" t="s">
        <v>1946</v>
      </c>
      <c r="Q1216" t="s">
        <v>21</v>
      </c>
      <c r="R1216">
        <v>415253</v>
      </c>
      <c r="S1216" t="s">
        <v>84</v>
      </c>
      <c r="T1216" s="2">
        <v>191</v>
      </c>
      <c r="U1216">
        <v>0</v>
      </c>
      <c r="V1216" t="s">
        <v>260</v>
      </c>
      <c r="W1216">
        <v>1</v>
      </c>
      <c r="X1216">
        <v>1</v>
      </c>
      <c r="Y1216">
        <v>0</v>
      </c>
      <c r="Z1216" t="s">
        <v>2062</v>
      </c>
      <c r="AA1216" t="s">
        <v>2063</v>
      </c>
      <c r="AB1216" t="s">
        <v>14</v>
      </c>
      <c r="AC1216">
        <v>1.9616</v>
      </c>
      <c r="AD1216">
        <v>1.96</v>
      </c>
      <c r="AE1216">
        <v>726182084082</v>
      </c>
      <c r="AF1216">
        <v>431.1</v>
      </c>
      <c r="AG1216">
        <v>0</v>
      </c>
      <c r="AH1216">
        <v>18.66</v>
      </c>
      <c r="AI1216">
        <v>449.76</v>
      </c>
      <c r="AJ1216" t="s">
        <v>2</v>
      </c>
      <c r="AK1216" t="s">
        <v>11</v>
      </c>
    </row>
    <row r="1217" spans="1:37">
      <c r="A1217">
        <v>257848</v>
      </c>
      <c r="B1217" s="1">
        <v>45366</v>
      </c>
      <c r="C1217" t="s">
        <v>1305</v>
      </c>
      <c r="D1217" t="s">
        <v>1306</v>
      </c>
      <c r="E1217" t="s">
        <v>2</v>
      </c>
      <c r="F1217" t="s">
        <v>1307</v>
      </c>
      <c r="G1217" t="s">
        <v>28</v>
      </c>
      <c r="H1217">
        <v>34233</v>
      </c>
      <c r="I1217" t="s">
        <v>1305</v>
      </c>
      <c r="J1217" t="s">
        <v>1306</v>
      </c>
      <c r="K1217" t="s">
        <v>2</v>
      </c>
      <c r="L1217" t="s">
        <v>1307</v>
      </c>
      <c r="M1217" t="s">
        <v>28</v>
      </c>
      <c r="N1217">
        <v>34233</v>
      </c>
      <c r="O1217" t="s">
        <v>1312</v>
      </c>
      <c r="P1217" t="s">
        <v>1946</v>
      </c>
      <c r="Q1217" t="s">
        <v>21</v>
      </c>
      <c r="R1217">
        <v>415253</v>
      </c>
      <c r="S1217" t="s">
        <v>84</v>
      </c>
      <c r="T1217" s="2">
        <v>191</v>
      </c>
      <c r="U1217">
        <v>0</v>
      </c>
      <c r="V1217" t="s">
        <v>260</v>
      </c>
      <c r="W1217">
        <v>0</v>
      </c>
      <c r="X1217">
        <v>0</v>
      </c>
      <c r="Y1217">
        <v>0</v>
      </c>
      <c r="Z1217" t="s">
        <v>88</v>
      </c>
      <c r="AA1217" t="s">
        <v>1723</v>
      </c>
      <c r="AB1217" t="s">
        <v>10</v>
      </c>
      <c r="AC1217">
        <v>0</v>
      </c>
      <c r="AD1217">
        <v>0</v>
      </c>
      <c r="AE1217">
        <v>726182084082</v>
      </c>
      <c r="AF1217">
        <v>431.1</v>
      </c>
      <c r="AG1217">
        <v>0</v>
      </c>
      <c r="AH1217">
        <v>18.66</v>
      </c>
      <c r="AI1217">
        <v>449.76</v>
      </c>
      <c r="AJ1217" t="s">
        <v>2</v>
      </c>
      <c r="AK1217" t="s">
        <v>11</v>
      </c>
    </row>
    <row r="1218" spans="1:37">
      <c r="A1218">
        <v>257848</v>
      </c>
      <c r="B1218" s="1">
        <v>45366</v>
      </c>
      <c r="C1218" t="s">
        <v>1305</v>
      </c>
      <c r="D1218" t="s">
        <v>1306</v>
      </c>
      <c r="E1218" t="s">
        <v>2</v>
      </c>
      <c r="F1218" t="s">
        <v>1307</v>
      </c>
      <c r="G1218" t="s">
        <v>28</v>
      </c>
      <c r="H1218">
        <v>34233</v>
      </c>
      <c r="I1218" t="s">
        <v>1305</v>
      </c>
      <c r="J1218" t="s">
        <v>1306</v>
      </c>
      <c r="K1218" t="s">
        <v>2</v>
      </c>
      <c r="L1218" t="s">
        <v>1307</v>
      </c>
      <c r="M1218" t="s">
        <v>28</v>
      </c>
      <c r="N1218">
        <v>34233</v>
      </c>
      <c r="O1218" t="s">
        <v>1312</v>
      </c>
      <c r="P1218" t="s">
        <v>1946</v>
      </c>
      <c r="Q1218" t="s">
        <v>21</v>
      </c>
      <c r="R1218">
        <v>415253</v>
      </c>
      <c r="S1218" t="s">
        <v>84</v>
      </c>
      <c r="T1218" s="2">
        <v>191</v>
      </c>
      <c r="U1218">
        <v>0</v>
      </c>
      <c r="V1218" t="s">
        <v>260</v>
      </c>
      <c r="W1218">
        <v>1</v>
      </c>
      <c r="X1218">
        <v>1</v>
      </c>
      <c r="Y1218">
        <v>0</v>
      </c>
      <c r="Z1218" t="s">
        <v>2064</v>
      </c>
      <c r="AA1218" t="s">
        <v>2065</v>
      </c>
      <c r="AB1218" t="s">
        <v>14</v>
      </c>
      <c r="AC1218">
        <v>1.9616</v>
      </c>
      <c r="AD1218">
        <v>1.96</v>
      </c>
      <c r="AE1218">
        <v>726182084082</v>
      </c>
      <c r="AF1218">
        <v>431.1</v>
      </c>
      <c r="AG1218">
        <v>0</v>
      </c>
      <c r="AH1218">
        <v>18.66</v>
      </c>
      <c r="AI1218">
        <v>449.76</v>
      </c>
      <c r="AJ1218" t="s">
        <v>2</v>
      </c>
      <c r="AK1218" t="s">
        <v>11</v>
      </c>
    </row>
    <row r="1219" spans="1:37">
      <c r="A1219">
        <v>257848</v>
      </c>
      <c r="B1219" s="1">
        <v>45366</v>
      </c>
      <c r="C1219" t="s">
        <v>1305</v>
      </c>
      <c r="D1219" t="s">
        <v>1306</v>
      </c>
      <c r="E1219" t="s">
        <v>2</v>
      </c>
      <c r="F1219" t="s">
        <v>1307</v>
      </c>
      <c r="G1219" t="s">
        <v>28</v>
      </c>
      <c r="H1219">
        <v>34233</v>
      </c>
      <c r="I1219" t="s">
        <v>1305</v>
      </c>
      <c r="J1219" t="s">
        <v>1306</v>
      </c>
      <c r="K1219" t="s">
        <v>2</v>
      </c>
      <c r="L1219" t="s">
        <v>1307</v>
      </c>
      <c r="M1219" t="s">
        <v>28</v>
      </c>
      <c r="N1219">
        <v>34233</v>
      </c>
      <c r="O1219" t="s">
        <v>1312</v>
      </c>
      <c r="P1219" t="s">
        <v>1946</v>
      </c>
      <c r="Q1219" t="s">
        <v>21</v>
      </c>
      <c r="R1219">
        <v>415253</v>
      </c>
      <c r="S1219" t="s">
        <v>84</v>
      </c>
      <c r="T1219" s="2">
        <v>191</v>
      </c>
      <c r="U1219">
        <v>0</v>
      </c>
      <c r="V1219" t="s">
        <v>260</v>
      </c>
      <c r="W1219">
        <v>0</v>
      </c>
      <c r="X1219">
        <v>0</v>
      </c>
      <c r="Y1219">
        <v>0</v>
      </c>
      <c r="Z1219" t="s">
        <v>88</v>
      </c>
      <c r="AA1219" t="s">
        <v>1723</v>
      </c>
      <c r="AB1219" t="s">
        <v>10</v>
      </c>
      <c r="AC1219">
        <v>0</v>
      </c>
      <c r="AD1219">
        <v>0</v>
      </c>
      <c r="AE1219">
        <v>726182084082</v>
      </c>
      <c r="AF1219">
        <v>431.1</v>
      </c>
      <c r="AG1219">
        <v>0</v>
      </c>
      <c r="AH1219">
        <v>18.66</v>
      </c>
      <c r="AI1219">
        <v>449.76</v>
      </c>
      <c r="AJ1219" t="s">
        <v>2</v>
      </c>
      <c r="AK1219" t="s">
        <v>11</v>
      </c>
    </row>
    <row r="1220" spans="1:37">
      <c r="A1220">
        <v>257848</v>
      </c>
      <c r="B1220" s="1">
        <v>45366</v>
      </c>
      <c r="C1220" t="s">
        <v>1305</v>
      </c>
      <c r="D1220" t="s">
        <v>1306</v>
      </c>
      <c r="E1220" t="s">
        <v>2</v>
      </c>
      <c r="F1220" t="s">
        <v>1307</v>
      </c>
      <c r="G1220" t="s">
        <v>28</v>
      </c>
      <c r="H1220">
        <v>34233</v>
      </c>
      <c r="I1220" t="s">
        <v>1305</v>
      </c>
      <c r="J1220" t="s">
        <v>1306</v>
      </c>
      <c r="K1220" t="s">
        <v>2</v>
      </c>
      <c r="L1220" t="s">
        <v>1307</v>
      </c>
      <c r="M1220" t="s">
        <v>28</v>
      </c>
      <c r="N1220">
        <v>34233</v>
      </c>
      <c r="O1220" t="s">
        <v>1312</v>
      </c>
      <c r="P1220" t="s">
        <v>1946</v>
      </c>
      <c r="Q1220" t="s">
        <v>21</v>
      </c>
      <c r="R1220">
        <v>415253</v>
      </c>
      <c r="S1220" t="s">
        <v>84</v>
      </c>
      <c r="T1220" s="2">
        <v>191</v>
      </c>
      <c r="U1220">
        <v>0</v>
      </c>
      <c r="V1220" t="s">
        <v>260</v>
      </c>
      <c r="W1220">
        <v>3</v>
      </c>
      <c r="X1220">
        <v>3</v>
      </c>
      <c r="Y1220">
        <v>0</v>
      </c>
      <c r="Z1220" t="s">
        <v>2066</v>
      </c>
      <c r="AA1220" t="s">
        <v>2067</v>
      </c>
      <c r="AB1220" t="s">
        <v>14</v>
      </c>
      <c r="AC1220">
        <v>2.4496000000000002</v>
      </c>
      <c r="AD1220">
        <v>7.35</v>
      </c>
      <c r="AE1220">
        <v>726182084082</v>
      </c>
      <c r="AF1220">
        <v>431.1</v>
      </c>
      <c r="AG1220">
        <v>0</v>
      </c>
      <c r="AH1220">
        <v>18.66</v>
      </c>
      <c r="AI1220">
        <v>449.76</v>
      </c>
      <c r="AJ1220" t="s">
        <v>2</v>
      </c>
      <c r="AK1220" t="s">
        <v>11</v>
      </c>
    </row>
    <row r="1221" spans="1:37">
      <c r="A1221">
        <v>257848</v>
      </c>
      <c r="B1221" s="1">
        <v>45366</v>
      </c>
      <c r="C1221" t="s">
        <v>1305</v>
      </c>
      <c r="D1221" t="s">
        <v>1306</v>
      </c>
      <c r="E1221" t="s">
        <v>2</v>
      </c>
      <c r="F1221" t="s">
        <v>1307</v>
      </c>
      <c r="G1221" t="s">
        <v>28</v>
      </c>
      <c r="H1221">
        <v>34233</v>
      </c>
      <c r="I1221" t="s">
        <v>1305</v>
      </c>
      <c r="J1221" t="s">
        <v>1306</v>
      </c>
      <c r="K1221" t="s">
        <v>2</v>
      </c>
      <c r="L1221" t="s">
        <v>1307</v>
      </c>
      <c r="M1221" t="s">
        <v>28</v>
      </c>
      <c r="N1221">
        <v>34233</v>
      </c>
      <c r="O1221" t="s">
        <v>1312</v>
      </c>
      <c r="P1221" t="s">
        <v>1946</v>
      </c>
      <c r="Q1221" t="s">
        <v>21</v>
      </c>
      <c r="R1221">
        <v>415253</v>
      </c>
      <c r="S1221" t="s">
        <v>84</v>
      </c>
      <c r="T1221" s="2">
        <v>191</v>
      </c>
      <c r="U1221">
        <v>0</v>
      </c>
      <c r="V1221" t="s">
        <v>260</v>
      </c>
      <c r="W1221">
        <v>0</v>
      </c>
      <c r="X1221">
        <v>0</v>
      </c>
      <c r="Y1221">
        <v>0</v>
      </c>
      <c r="Z1221" t="s">
        <v>88</v>
      </c>
      <c r="AA1221" t="s">
        <v>2068</v>
      </c>
      <c r="AB1221" t="s">
        <v>10</v>
      </c>
      <c r="AC1221">
        <v>0</v>
      </c>
      <c r="AD1221">
        <v>0</v>
      </c>
      <c r="AE1221">
        <v>726182084082</v>
      </c>
      <c r="AF1221">
        <v>431.1</v>
      </c>
      <c r="AG1221">
        <v>0</v>
      </c>
      <c r="AH1221">
        <v>18.66</v>
      </c>
      <c r="AI1221">
        <v>449.76</v>
      </c>
      <c r="AJ1221" t="s">
        <v>2</v>
      </c>
      <c r="AK1221" t="s">
        <v>11</v>
      </c>
    </row>
    <row r="1222" spans="1:37">
      <c r="A1222">
        <v>257848</v>
      </c>
      <c r="B1222" s="1">
        <v>45366</v>
      </c>
      <c r="C1222" t="s">
        <v>1305</v>
      </c>
      <c r="D1222" t="s">
        <v>1306</v>
      </c>
      <c r="E1222" t="s">
        <v>2</v>
      </c>
      <c r="F1222" t="s">
        <v>1307</v>
      </c>
      <c r="G1222" t="s">
        <v>28</v>
      </c>
      <c r="H1222">
        <v>34233</v>
      </c>
      <c r="I1222" t="s">
        <v>1305</v>
      </c>
      <c r="J1222" t="s">
        <v>1306</v>
      </c>
      <c r="K1222" t="s">
        <v>2</v>
      </c>
      <c r="L1222" t="s">
        <v>1307</v>
      </c>
      <c r="M1222" t="s">
        <v>28</v>
      </c>
      <c r="N1222">
        <v>34233</v>
      </c>
      <c r="O1222" t="s">
        <v>1312</v>
      </c>
      <c r="P1222" t="s">
        <v>1946</v>
      </c>
      <c r="Q1222" t="s">
        <v>21</v>
      </c>
      <c r="R1222">
        <v>415253</v>
      </c>
      <c r="S1222" t="s">
        <v>84</v>
      </c>
      <c r="T1222" s="2">
        <v>191</v>
      </c>
      <c r="U1222">
        <v>0</v>
      </c>
      <c r="V1222" t="s">
        <v>260</v>
      </c>
      <c r="W1222">
        <v>3</v>
      </c>
      <c r="X1222">
        <v>3</v>
      </c>
      <c r="Y1222">
        <v>0</v>
      </c>
      <c r="Z1222" t="s">
        <v>2069</v>
      </c>
      <c r="AA1222" t="s">
        <v>2070</v>
      </c>
      <c r="AB1222" t="s">
        <v>14</v>
      </c>
      <c r="AC1222">
        <v>2.4496000000000002</v>
      </c>
      <c r="AD1222">
        <v>7.35</v>
      </c>
      <c r="AE1222">
        <v>726182084082</v>
      </c>
      <c r="AF1222">
        <v>431.1</v>
      </c>
      <c r="AG1222">
        <v>0</v>
      </c>
      <c r="AH1222">
        <v>18.66</v>
      </c>
      <c r="AI1222">
        <v>449.76</v>
      </c>
      <c r="AJ1222" t="s">
        <v>2</v>
      </c>
      <c r="AK1222" t="s">
        <v>11</v>
      </c>
    </row>
    <row r="1223" spans="1:37">
      <c r="A1223">
        <v>257848</v>
      </c>
      <c r="B1223" s="1">
        <v>45366</v>
      </c>
      <c r="C1223" t="s">
        <v>1305</v>
      </c>
      <c r="D1223" t="s">
        <v>1306</v>
      </c>
      <c r="E1223" t="s">
        <v>2</v>
      </c>
      <c r="F1223" t="s">
        <v>1307</v>
      </c>
      <c r="G1223" t="s">
        <v>28</v>
      </c>
      <c r="H1223">
        <v>34233</v>
      </c>
      <c r="I1223" t="s">
        <v>1305</v>
      </c>
      <c r="J1223" t="s">
        <v>1306</v>
      </c>
      <c r="K1223" t="s">
        <v>2</v>
      </c>
      <c r="L1223" t="s">
        <v>1307</v>
      </c>
      <c r="M1223" t="s">
        <v>28</v>
      </c>
      <c r="N1223">
        <v>34233</v>
      </c>
      <c r="O1223" t="s">
        <v>1312</v>
      </c>
      <c r="P1223" t="s">
        <v>1946</v>
      </c>
      <c r="Q1223" t="s">
        <v>21</v>
      </c>
      <c r="R1223">
        <v>415253</v>
      </c>
      <c r="S1223" t="s">
        <v>84</v>
      </c>
      <c r="T1223" s="2">
        <v>191</v>
      </c>
      <c r="U1223">
        <v>0</v>
      </c>
      <c r="V1223" t="s">
        <v>260</v>
      </c>
      <c r="W1223">
        <v>0</v>
      </c>
      <c r="X1223">
        <v>0</v>
      </c>
      <c r="Y1223">
        <v>0</v>
      </c>
      <c r="Z1223" t="s">
        <v>88</v>
      </c>
      <c r="AA1223" t="s">
        <v>2068</v>
      </c>
      <c r="AB1223" t="s">
        <v>10</v>
      </c>
      <c r="AC1223">
        <v>0</v>
      </c>
      <c r="AD1223">
        <v>0</v>
      </c>
      <c r="AE1223">
        <v>726182084082</v>
      </c>
      <c r="AF1223">
        <v>431.1</v>
      </c>
      <c r="AG1223">
        <v>0</v>
      </c>
      <c r="AH1223">
        <v>18.66</v>
      </c>
      <c r="AI1223">
        <v>449.76</v>
      </c>
      <c r="AJ1223" t="s">
        <v>2</v>
      </c>
      <c r="AK1223" t="s">
        <v>11</v>
      </c>
    </row>
    <row r="1224" spans="1:37">
      <c r="A1224">
        <v>257848</v>
      </c>
      <c r="B1224" s="1">
        <v>45366</v>
      </c>
      <c r="C1224" t="s">
        <v>1305</v>
      </c>
      <c r="D1224" t="s">
        <v>1306</v>
      </c>
      <c r="E1224" t="s">
        <v>2</v>
      </c>
      <c r="F1224" t="s">
        <v>1307</v>
      </c>
      <c r="G1224" t="s">
        <v>28</v>
      </c>
      <c r="H1224">
        <v>34233</v>
      </c>
      <c r="I1224" t="s">
        <v>1305</v>
      </c>
      <c r="J1224" t="s">
        <v>1306</v>
      </c>
      <c r="K1224" t="s">
        <v>2</v>
      </c>
      <c r="L1224" t="s">
        <v>1307</v>
      </c>
      <c r="M1224" t="s">
        <v>28</v>
      </c>
      <c r="N1224">
        <v>34233</v>
      </c>
      <c r="O1224" t="s">
        <v>1312</v>
      </c>
      <c r="P1224" t="s">
        <v>1946</v>
      </c>
      <c r="Q1224" t="s">
        <v>21</v>
      </c>
      <c r="R1224">
        <v>415253</v>
      </c>
      <c r="S1224" t="s">
        <v>84</v>
      </c>
      <c r="T1224" s="2">
        <v>191</v>
      </c>
      <c r="U1224">
        <v>0</v>
      </c>
      <c r="V1224" t="s">
        <v>260</v>
      </c>
      <c r="W1224">
        <v>3</v>
      </c>
      <c r="X1224">
        <v>3</v>
      </c>
      <c r="Y1224">
        <v>0</v>
      </c>
      <c r="Z1224" t="s">
        <v>2071</v>
      </c>
      <c r="AA1224" t="s">
        <v>2072</v>
      </c>
      <c r="AB1224" t="s">
        <v>14</v>
      </c>
      <c r="AC1224">
        <v>2.4496000000000002</v>
      </c>
      <c r="AD1224">
        <v>7.35</v>
      </c>
      <c r="AE1224">
        <v>726182084082</v>
      </c>
      <c r="AF1224">
        <v>431.1</v>
      </c>
      <c r="AG1224">
        <v>0</v>
      </c>
      <c r="AH1224">
        <v>18.66</v>
      </c>
      <c r="AI1224">
        <v>449.76</v>
      </c>
      <c r="AJ1224" t="s">
        <v>2</v>
      </c>
      <c r="AK1224" t="s">
        <v>11</v>
      </c>
    </row>
    <row r="1225" spans="1:37">
      <c r="A1225">
        <v>257848</v>
      </c>
      <c r="B1225" s="1">
        <v>45366</v>
      </c>
      <c r="C1225" t="s">
        <v>1305</v>
      </c>
      <c r="D1225" t="s">
        <v>1306</v>
      </c>
      <c r="E1225" t="s">
        <v>2</v>
      </c>
      <c r="F1225" t="s">
        <v>1307</v>
      </c>
      <c r="G1225" t="s">
        <v>28</v>
      </c>
      <c r="H1225">
        <v>34233</v>
      </c>
      <c r="I1225" t="s">
        <v>1305</v>
      </c>
      <c r="J1225" t="s">
        <v>1306</v>
      </c>
      <c r="K1225" t="s">
        <v>2</v>
      </c>
      <c r="L1225" t="s">
        <v>1307</v>
      </c>
      <c r="M1225" t="s">
        <v>28</v>
      </c>
      <c r="N1225">
        <v>34233</v>
      </c>
      <c r="O1225" t="s">
        <v>1312</v>
      </c>
      <c r="P1225" t="s">
        <v>1946</v>
      </c>
      <c r="Q1225" t="s">
        <v>21</v>
      </c>
      <c r="R1225">
        <v>415253</v>
      </c>
      <c r="S1225" t="s">
        <v>84</v>
      </c>
      <c r="T1225" s="2">
        <v>191</v>
      </c>
      <c r="U1225">
        <v>0</v>
      </c>
      <c r="V1225" t="s">
        <v>260</v>
      </c>
      <c r="W1225">
        <v>0</v>
      </c>
      <c r="X1225">
        <v>0</v>
      </c>
      <c r="Y1225">
        <v>0</v>
      </c>
      <c r="Z1225" t="s">
        <v>88</v>
      </c>
      <c r="AA1225" t="s">
        <v>2068</v>
      </c>
      <c r="AB1225" t="s">
        <v>10</v>
      </c>
      <c r="AC1225">
        <v>0</v>
      </c>
      <c r="AD1225">
        <v>0</v>
      </c>
      <c r="AE1225">
        <v>726182084082</v>
      </c>
      <c r="AF1225">
        <v>431.1</v>
      </c>
      <c r="AG1225">
        <v>0</v>
      </c>
      <c r="AH1225">
        <v>18.66</v>
      </c>
      <c r="AI1225">
        <v>449.76</v>
      </c>
      <c r="AJ1225" t="s">
        <v>2</v>
      </c>
      <c r="AK1225" t="s">
        <v>11</v>
      </c>
    </row>
    <row r="1226" spans="1:37">
      <c r="A1226">
        <v>257848</v>
      </c>
      <c r="B1226" s="1">
        <v>45366</v>
      </c>
      <c r="C1226" t="s">
        <v>1305</v>
      </c>
      <c r="D1226" t="s">
        <v>1306</v>
      </c>
      <c r="E1226" t="s">
        <v>2</v>
      </c>
      <c r="F1226" t="s">
        <v>1307</v>
      </c>
      <c r="G1226" t="s">
        <v>28</v>
      </c>
      <c r="H1226">
        <v>34233</v>
      </c>
      <c r="I1226" t="s">
        <v>1305</v>
      </c>
      <c r="J1226" t="s">
        <v>1306</v>
      </c>
      <c r="K1226" t="s">
        <v>2</v>
      </c>
      <c r="L1226" t="s">
        <v>1307</v>
      </c>
      <c r="M1226" t="s">
        <v>28</v>
      </c>
      <c r="N1226">
        <v>34233</v>
      </c>
      <c r="O1226" t="s">
        <v>1312</v>
      </c>
      <c r="P1226" t="s">
        <v>1946</v>
      </c>
      <c r="Q1226" t="s">
        <v>21</v>
      </c>
      <c r="R1226">
        <v>415253</v>
      </c>
      <c r="S1226" t="s">
        <v>84</v>
      </c>
      <c r="T1226" s="2">
        <v>191</v>
      </c>
      <c r="U1226">
        <v>0</v>
      </c>
      <c r="V1226" t="s">
        <v>260</v>
      </c>
      <c r="W1226">
        <v>3</v>
      </c>
      <c r="X1226">
        <v>3</v>
      </c>
      <c r="Y1226">
        <v>0</v>
      </c>
      <c r="Z1226" t="s">
        <v>2073</v>
      </c>
      <c r="AA1226" t="s">
        <v>2074</v>
      </c>
      <c r="AB1226" t="s">
        <v>14</v>
      </c>
      <c r="AC1226">
        <v>2.4496000000000002</v>
      </c>
      <c r="AD1226">
        <v>7.35</v>
      </c>
      <c r="AE1226">
        <v>726182084082</v>
      </c>
      <c r="AF1226">
        <v>431.1</v>
      </c>
      <c r="AG1226">
        <v>0</v>
      </c>
      <c r="AH1226">
        <v>18.66</v>
      </c>
      <c r="AI1226">
        <v>449.76</v>
      </c>
      <c r="AJ1226" t="s">
        <v>2</v>
      </c>
      <c r="AK1226" t="s">
        <v>11</v>
      </c>
    </row>
    <row r="1227" spans="1:37">
      <c r="A1227">
        <v>257848</v>
      </c>
      <c r="B1227" s="1">
        <v>45366</v>
      </c>
      <c r="C1227" t="s">
        <v>1305</v>
      </c>
      <c r="D1227" t="s">
        <v>1306</v>
      </c>
      <c r="E1227" t="s">
        <v>2</v>
      </c>
      <c r="F1227" t="s">
        <v>1307</v>
      </c>
      <c r="G1227" t="s">
        <v>28</v>
      </c>
      <c r="H1227">
        <v>34233</v>
      </c>
      <c r="I1227" t="s">
        <v>1305</v>
      </c>
      <c r="J1227" t="s">
        <v>1306</v>
      </c>
      <c r="K1227" t="s">
        <v>2</v>
      </c>
      <c r="L1227" t="s">
        <v>1307</v>
      </c>
      <c r="M1227" t="s">
        <v>28</v>
      </c>
      <c r="N1227">
        <v>34233</v>
      </c>
      <c r="O1227" t="s">
        <v>1312</v>
      </c>
      <c r="P1227" t="s">
        <v>1946</v>
      </c>
      <c r="Q1227" t="s">
        <v>21</v>
      </c>
      <c r="R1227">
        <v>415253</v>
      </c>
      <c r="S1227" t="s">
        <v>84</v>
      </c>
      <c r="T1227" s="2">
        <v>191</v>
      </c>
      <c r="U1227">
        <v>0</v>
      </c>
      <c r="V1227" t="s">
        <v>260</v>
      </c>
      <c r="W1227">
        <v>0</v>
      </c>
      <c r="X1227">
        <v>0</v>
      </c>
      <c r="Y1227">
        <v>0</v>
      </c>
      <c r="Z1227" t="s">
        <v>88</v>
      </c>
      <c r="AA1227" t="s">
        <v>2068</v>
      </c>
      <c r="AB1227" t="s">
        <v>10</v>
      </c>
      <c r="AC1227">
        <v>0</v>
      </c>
      <c r="AD1227">
        <v>0</v>
      </c>
      <c r="AE1227">
        <v>726182084082</v>
      </c>
      <c r="AF1227">
        <v>431.1</v>
      </c>
      <c r="AG1227">
        <v>0</v>
      </c>
      <c r="AH1227">
        <v>18.66</v>
      </c>
      <c r="AI1227">
        <v>449.76</v>
      </c>
      <c r="AJ1227" t="s">
        <v>2</v>
      </c>
      <c r="AK1227" t="s">
        <v>11</v>
      </c>
    </row>
    <row r="1228" spans="1:37">
      <c r="A1228">
        <v>257848</v>
      </c>
      <c r="B1228" s="1">
        <v>45366</v>
      </c>
      <c r="C1228" t="s">
        <v>1305</v>
      </c>
      <c r="D1228" t="s">
        <v>1306</v>
      </c>
      <c r="E1228" t="s">
        <v>2</v>
      </c>
      <c r="F1228" t="s">
        <v>1307</v>
      </c>
      <c r="G1228" t="s">
        <v>28</v>
      </c>
      <c r="H1228">
        <v>34233</v>
      </c>
      <c r="I1228" t="s">
        <v>1305</v>
      </c>
      <c r="J1228" t="s">
        <v>1306</v>
      </c>
      <c r="K1228" t="s">
        <v>2</v>
      </c>
      <c r="L1228" t="s">
        <v>1307</v>
      </c>
      <c r="M1228" t="s">
        <v>28</v>
      </c>
      <c r="N1228">
        <v>34233</v>
      </c>
      <c r="O1228" t="s">
        <v>1312</v>
      </c>
      <c r="P1228" t="s">
        <v>1946</v>
      </c>
      <c r="Q1228" t="s">
        <v>21</v>
      </c>
      <c r="R1228">
        <v>415253</v>
      </c>
      <c r="S1228" t="s">
        <v>84</v>
      </c>
      <c r="T1228" s="2">
        <v>191</v>
      </c>
      <c r="U1228">
        <v>0</v>
      </c>
      <c r="V1228" t="s">
        <v>260</v>
      </c>
      <c r="W1228">
        <v>3</v>
      </c>
      <c r="X1228">
        <v>3</v>
      </c>
      <c r="Y1228">
        <v>0</v>
      </c>
      <c r="Z1228" t="s">
        <v>2075</v>
      </c>
      <c r="AA1228" t="s">
        <v>2076</v>
      </c>
      <c r="AB1228" t="s">
        <v>14</v>
      </c>
      <c r="AC1228">
        <v>2.4496000000000002</v>
      </c>
      <c r="AD1228">
        <v>7.35</v>
      </c>
      <c r="AE1228">
        <v>726182084082</v>
      </c>
      <c r="AF1228">
        <v>431.1</v>
      </c>
      <c r="AG1228">
        <v>0</v>
      </c>
      <c r="AH1228">
        <v>18.66</v>
      </c>
      <c r="AI1228">
        <v>449.76</v>
      </c>
      <c r="AJ1228" t="s">
        <v>2</v>
      </c>
      <c r="AK1228" t="s">
        <v>11</v>
      </c>
    </row>
    <row r="1229" spans="1:37">
      <c r="A1229">
        <v>257848</v>
      </c>
      <c r="B1229" s="1">
        <v>45366</v>
      </c>
      <c r="C1229" t="s">
        <v>1305</v>
      </c>
      <c r="D1229" t="s">
        <v>1306</v>
      </c>
      <c r="E1229" t="s">
        <v>2</v>
      </c>
      <c r="F1229" t="s">
        <v>1307</v>
      </c>
      <c r="G1229" t="s">
        <v>28</v>
      </c>
      <c r="H1229">
        <v>34233</v>
      </c>
      <c r="I1229" t="s">
        <v>1305</v>
      </c>
      <c r="J1229" t="s">
        <v>1306</v>
      </c>
      <c r="K1229" t="s">
        <v>2</v>
      </c>
      <c r="L1229" t="s">
        <v>1307</v>
      </c>
      <c r="M1229" t="s">
        <v>28</v>
      </c>
      <c r="N1229">
        <v>34233</v>
      </c>
      <c r="O1229" t="s">
        <v>1312</v>
      </c>
      <c r="P1229" t="s">
        <v>1946</v>
      </c>
      <c r="Q1229" t="s">
        <v>21</v>
      </c>
      <c r="R1229">
        <v>415253</v>
      </c>
      <c r="S1229" t="s">
        <v>84</v>
      </c>
      <c r="T1229" s="2">
        <v>191</v>
      </c>
      <c r="U1229">
        <v>0</v>
      </c>
      <c r="V1229" t="s">
        <v>260</v>
      </c>
      <c r="W1229">
        <v>0</v>
      </c>
      <c r="X1229">
        <v>0</v>
      </c>
      <c r="Y1229">
        <v>0</v>
      </c>
      <c r="Z1229" t="s">
        <v>88</v>
      </c>
      <c r="AA1229" t="s">
        <v>2068</v>
      </c>
      <c r="AB1229" t="s">
        <v>10</v>
      </c>
      <c r="AC1229">
        <v>0</v>
      </c>
      <c r="AD1229">
        <v>0</v>
      </c>
      <c r="AE1229">
        <v>726182084082</v>
      </c>
      <c r="AF1229">
        <v>431.1</v>
      </c>
      <c r="AG1229">
        <v>0</v>
      </c>
      <c r="AH1229">
        <v>18.66</v>
      </c>
      <c r="AI1229">
        <v>449.76</v>
      </c>
      <c r="AJ1229" t="s">
        <v>2</v>
      </c>
      <c r="AK1229" t="s">
        <v>11</v>
      </c>
    </row>
    <row r="1230" spans="1:37">
      <c r="A1230">
        <v>257848</v>
      </c>
      <c r="B1230" s="1">
        <v>45366</v>
      </c>
      <c r="C1230" t="s">
        <v>1305</v>
      </c>
      <c r="D1230" t="s">
        <v>1306</v>
      </c>
      <c r="E1230" t="s">
        <v>2</v>
      </c>
      <c r="F1230" t="s">
        <v>1307</v>
      </c>
      <c r="G1230" t="s">
        <v>28</v>
      </c>
      <c r="H1230">
        <v>34233</v>
      </c>
      <c r="I1230" t="s">
        <v>1305</v>
      </c>
      <c r="J1230" t="s">
        <v>1306</v>
      </c>
      <c r="K1230" t="s">
        <v>2</v>
      </c>
      <c r="L1230" t="s">
        <v>1307</v>
      </c>
      <c r="M1230" t="s">
        <v>28</v>
      </c>
      <c r="N1230">
        <v>34233</v>
      </c>
      <c r="O1230" t="s">
        <v>1312</v>
      </c>
      <c r="P1230" t="s">
        <v>1946</v>
      </c>
      <c r="Q1230" t="s">
        <v>21</v>
      </c>
      <c r="R1230">
        <v>415253</v>
      </c>
      <c r="S1230" t="s">
        <v>84</v>
      </c>
      <c r="T1230" s="2">
        <v>191</v>
      </c>
      <c r="U1230">
        <v>0</v>
      </c>
      <c r="V1230" t="s">
        <v>260</v>
      </c>
      <c r="W1230">
        <v>3</v>
      </c>
      <c r="X1230">
        <v>3</v>
      </c>
      <c r="Y1230">
        <v>0</v>
      </c>
      <c r="Z1230" t="s">
        <v>2077</v>
      </c>
      <c r="AA1230" t="s">
        <v>2078</v>
      </c>
      <c r="AB1230" t="s">
        <v>14</v>
      </c>
      <c r="AC1230">
        <v>2.4496000000000002</v>
      </c>
      <c r="AD1230">
        <v>7.35</v>
      </c>
      <c r="AE1230">
        <v>726182084082</v>
      </c>
      <c r="AF1230">
        <v>431.1</v>
      </c>
      <c r="AG1230">
        <v>0</v>
      </c>
      <c r="AH1230">
        <v>18.66</v>
      </c>
      <c r="AI1230">
        <v>449.76</v>
      </c>
      <c r="AJ1230" t="s">
        <v>2</v>
      </c>
      <c r="AK1230" t="s">
        <v>11</v>
      </c>
    </row>
    <row r="1231" spans="1:37">
      <c r="A1231">
        <v>257848</v>
      </c>
      <c r="B1231" s="1">
        <v>45366</v>
      </c>
      <c r="C1231" t="s">
        <v>1305</v>
      </c>
      <c r="D1231" t="s">
        <v>1306</v>
      </c>
      <c r="E1231" t="s">
        <v>2</v>
      </c>
      <c r="F1231" t="s">
        <v>1307</v>
      </c>
      <c r="G1231" t="s">
        <v>28</v>
      </c>
      <c r="H1231">
        <v>34233</v>
      </c>
      <c r="I1231" t="s">
        <v>1305</v>
      </c>
      <c r="J1231" t="s">
        <v>1306</v>
      </c>
      <c r="K1231" t="s">
        <v>2</v>
      </c>
      <c r="L1231" t="s">
        <v>1307</v>
      </c>
      <c r="M1231" t="s">
        <v>28</v>
      </c>
      <c r="N1231">
        <v>34233</v>
      </c>
      <c r="O1231" t="s">
        <v>1312</v>
      </c>
      <c r="P1231" t="s">
        <v>1946</v>
      </c>
      <c r="Q1231" t="s">
        <v>21</v>
      </c>
      <c r="R1231">
        <v>415253</v>
      </c>
      <c r="S1231" t="s">
        <v>84</v>
      </c>
      <c r="T1231" s="2">
        <v>191</v>
      </c>
      <c r="U1231">
        <v>0</v>
      </c>
      <c r="V1231" t="s">
        <v>260</v>
      </c>
      <c r="W1231">
        <v>0</v>
      </c>
      <c r="X1231">
        <v>0</v>
      </c>
      <c r="Y1231">
        <v>0</v>
      </c>
      <c r="Z1231" t="s">
        <v>88</v>
      </c>
      <c r="AA1231" t="s">
        <v>2068</v>
      </c>
      <c r="AB1231" t="s">
        <v>10</v>
      </c>
      <c r="AC1231">
        <v>0</v>
      </c>
      <c r="AD1231">
        <v>0</v>
      </c>
      <c r="AE1231">
        <v>726182084082</v>
      </c>
      <c r="AF1231">
        <v>431.1</v>
      </c>
      <c r="AG1231">
        <v>0</v>
      </c>
      <c r="AH1231">
        <v>18.66</v>
      </c>
      <c r="AI1231">
        <v>449.76</v>
      </c>
      <c r="AJ1231" t="s">
        <v>2</v>
      </c>
      <c r="AK1231" t="s">
        <v>11</v>
      </c>
    </row>
    <row r="1232" spans="1:37">
      <c r="A1232">
        <v>257848</v>
      </c>
      <c r="B1232" s="1">
        <v>45366</v>
      </c>
      <c r="C1232" t="s">
        <v>1305</v>
      </c>
      <c r="D1232" t="s">
        <v>1306</v>
      </c>
      <c r="E1232" t="s">
        <v>2</v>
      </c>
      <c r="F1232" t="s">
        <v>1307</v>
      </c>
      <c r="G1232" t="s">
        <v>28</v>
      </c>
      <c r="H1232">
        <v>34233</v>
      </c>
      <c r="I1232" t="s">
        <v>1305</v>
      </c>
      <c r="J1232" t="s">
        <v>1306</v>
      </c>
      <c r="K1232" t="s">
        <v>2</v>
      </c>
      <c r="L1232" t="s">
        <v>1307</v>
      </c>
      <c r="M1232" t="s">
        <v>28</v>
      </c>
      <c r="N1232">
        <v>34233</v>
      </c>
      <c r="O1232" t="s">
        <v>1312</v>
      </c>
      <c r="P1232" t="s">
        <v>1946</v>
      </c>
      <c r="Q1232" t="s">
        <v>21</v>
      </c>
      <c r="R1232">
        <v>415253</v>
      </c>
      <c r="S1232" t="s">
        <v>84</v>
      </c>
      <c r="T1232" s="2">
        <v>191</v>
      </c>
      <c r="U1232">
        <v>0</v>
      </c>
      <c r="V1232" t="s">
        <v>260</v>
      </c>
      <c r="W1232">
        <v>3</v>
      </c>
      <c r="X1232">
        <v>3</v>
      </c>
      <c r="Y1232">
        <v>0</v>
      </c>
      <c r="Z1232" t="s">
        <v>2079</v>
      </c>
      <c r="AA1232" t="s">
        <v>2080</v>
      </c>
      <c r="AB1232" t="s">
        <v>14</v>
      </c>
      <c r="AC1232">
        <v>2.4496000000000002</v>
      </c>
      <c r="AD1232">
        <v>7.35</v>
      </c>
      <c r="AE1232">
        <v>726182084082</v>
      </c>
      <c r="AF1232">
        <v>431.1</v>
      </c>
      <c r="AG1232">
        <v>0</v>
      </c>
      <c r="AH1232">
        <v>18.66</v>
      </c>
      <c r="AI1232">
        <v>449.76</v>
      </c>
      <c r="AJ1232" t="s">
        <v>2</v>
      </c>
      <c r="AK1232" t="s">
        <v>11</v>
      </c>
    </row>
    <row r="1233" spans="1:37">
      <c r="A1233">
        <v>257848</v>
      </c>
      <c r="B1233" s="1">
        <v>45366</v>
      </c>
      <c r="C1233" t="s">
        <v>1305</v>
      </c>
      <c r="D1233" t="s">
        <v>1306</v>
      </c>
      <c r="E1233" t="s">
        <v>2</v>
      </c>
      <c r="F1233" t="s">
        <v>1307</v>
      </c>
      <c r="G1233" t="s">
        <v>28</v>
      </c>
      <c r="H1233">
        <v>34233</v>
      </c>
      <c r="I1233" t="s">
        <v>1305</v>
      </c>
      <c r="J1233" t="s">
        <v>1306</v>
      </c>
      <c r="K1233" t="s">
        <v>2</v>
      </c>
      <c r="L1233" t="s">
        <v>1307</v>
      </c>
      <c r="M1233" t="s">
        <v>28</v>
      </c>
      <c r="N1233">
        <v>34233</v>
      </c>
      <c r="O1233" t="s">
        <v>1312</v>
      </c>
      <c r="P1233" t="s">
        <v>1946</v>
      </c>
      <c r="Q1233" t="s">
        <v>21</v>
      </c>
      <c r="R1233">
        <v>415253</v>
      </c>
      <c r="S1233" t="s">
        <v>84</v>
      </c>
      <c r="T1233" s="2">
        <v>191</v>
      </c>
      <c r="U1233">
        <v>0</v>
      </c>
      <c r="V1233" t="s">
        <v>260</v>
      </c>
      <c r="W1233">
        <v>0</v>
      </c>
      <c r="X1233">
        <v>0</v>
      </c>
      <c r="Y1233">
        <v>0</v>
      </c>
      <c r="Z1233" t="s">
        <v>88</v>
      </c>
      <c r="AA1233" t="s">
        <v>2068</v>
      </c>
      <c r="AB1233" t="s">
        <v>10</v>
      </c>
      <c r="AC1233">
        <v>0</v>
      </c>
      <c r="AD1233">
        <v>0</v>
      </c>
      <c r="AE1233">
        <v>726182084082</v>
      </c>
      <c r="AF1233">
        <v>431.1</v>
      </c>
      <c r="AG1233">
        <v>0</v>
      </c>
      <c r="AH1233">
        <v>18.66</v>
      </c>
      <c r="AI1233">
        <v>449.76</v>
      </c>
      <c r="AJ1233" t="s">
        <v>2</v>
      </c>
      <c r="AK1233" t="s">
        <v>11</v>
      </c>
    </row>
    <row r="1234" spans="1:37">
      <c r="A1234">
        <v>257848</v>
      </c>
      <c r="B1234" s="1">
        <v>45366</v>
      </c>
      <c r="C1234" t="s">
        <v>1305</v>
      </c>
      <c r="D1234" t="s">
        <v>1306</v>
      </c>
      <c r="E1234" t="s">
        <v>2</v>
      </c>
      <c r="F1234" t="s">
        <v>1307</v>
      </c>
      <c r="G1234" t="s">
        <v>28</v>
      </c>
      <c r="H1234">
        <v>34233</v>
      </c>
      <c r="I1234" t="s">
        <v>1305</v>
      </c>
      <c r="J1234" t="s">
        <v>1306</v>
      </c>
      <c r="K1234" t="s">
        <v>2</v>
      </c>
      <c r="L1234" t="s">
        <v>1307</v>
      </c>
      <c r="M1234" t="s">
        <v>28</v>
      </c>
      <c r="N1234">
        <v>34233</v>
      </c>
      <c r="O1234" t="s">
        <v>1312</v>
      </c>
      <c r="P1234" t="s">
        <v>1946</v>
      </c>
      <c r="Q1234" t="s">
        <v>21</v>
      </c>
      <c r="R1234">
        <v>415253</v>
      </c>
      <c r="S1234" t="s">
        <v>84</v>
      </c>
      <c r="T1234" s="2">
        <v>191</v>
      </c>
      <c r="U1234">
        <v>0</v>
      </c>
      <c r="V1234" t="s">
        <v>260</v>
      </c>
      <c r="W1234">
        <v>3</v>
      </c>
      <c r="X1234">
        <v>3</v>
      </c>
      <c r="Y1234">
        <v>0</v>
      </c>
      <c r="Z1234" t="s">
        <v>2081</v>
      </c>
      <c r="AA1234" t="s">
        <v>2082</v>
      </c>
      <c r="AB1234" t="s">
        <v>14</v>
      </c>
      <c r="AC1234">
        <v>2.4496000000000002</v>
      </c>
      <c r="AD1234">
        <v>7.35</v>
      </c>
      <c r="AE1234">
        <v>726182084082</v>
      </c>
      <c r="AF1234">
        <v>431.1</v>
      </c>
      <c r="AG1234">
        <v>0</v>
      </c>
      <c r="AH1234">
        <v>18.66</v>
      </c>
      <c r="AI1234">
        <v>449.76</v>
      </c>
      <c r="AJ1234" t="s">
        <v>2</v>
      </c>
      <c r="AK1234" t="s">
        <v>11</v>
      </c>
    </row>
    <row r="1235" spans="1:37">
      <c r="A1235">
        <v>257848</v>
      </c>
      <c r="B1235" s="1">
        <v>45366</v>
      </c>
      <c r="C1235" t="s">
        <v>1305</v>
      </c>
      <c r="D1235" t="s">
        <v>1306</v>
      </c>
      <c r="E1235" t="s">
        <v>2</v>
      </c>
      <c r="F1235" t="s">
        <v>1307</v>
      </c>
      <c r="G1235" t="s">
        <v>28</v>
      </c>
      <c r="H1235">
        <v>34233</v>
      </c>
      <c r="I1235" t="s">
        <v>1305</v>
      </c>
      <c r="J1235" t="s">
        <v>1306</v>
      </c>
      <c r="K1235" t="s">
        <v>2</v>
      </c>
      <c r="L1235" t="s">
        <v>1307</v>
      </c>
      <c r="M1235" t="s">
        <v>28</v>
      </c>
      <c r="N1235">
        <v>34233</v>
      </c>
      <c r="O1235" t="s">
        <v>1312</v>
      </c>
      <c r="P1235" t="s">
        <v>1946</v>
      </c>
      <c r="Q1235" t="s">
        <v>21</v>
      </c>
      <c r="R1235">
        <v>415253</v>
      </c>
      <c r="S1235" t="s">
        <v>84</v>
      </c>
      <c r="T1235" s="2">
        <v>191</v>
      </c>
      <c r="U1235">
        <v>0</v>
      </c>
      <c r="V1235" t="s">
        <v>260</v>
      </c>
      <c r="W1235">
        <v>0</v>
      </c>
      <c r="X1235">
        <v>0</v>
      </c>
      <c r="Y1235">
        <v>0</v>
      </c>
      <c r="Z1235" t="s">
        <v>88</v>
      </c>
      <c r="AA1235" t="s">
        <v>2068</v>
      </c>
      <c r="AB1235" t="s">
        <v>10</v>
      </c>
      <c r="AC1235">
        <v>0</v>
      </c>
      <c r="AD1235">
        <v>0</v>
      </c>
      <c r="AE1235">
        <v>726182084082</v>
      </c>
      <c r="AF1235">
        <v>431.1</v>
      </c>
      <c r="AG1235">
        <v>0</v>
      </c>
      <c r="AH1235">
        <v>18.66</v>
      </c>
      <c r="AI1235">
        <v>449.76</v>
      </c>
      <c r="AJ1235" t="s">
        <v>2</v>
      </c>
      <c r="AK1235" t="s">
        <v>11</v>
      </c>
    </row>
    <row r="1236" spans="1:37">
      <c r="A1236">
        <v>257848</v>
      </c>
      <c r="B1236" s="1">
        <v>45366</v>
      </c>
      <c r="C1236" t="s">
        <v>1305</v>
      </c>
      <c r="D1236" t="s">
        <v>1306</v>
      </c>
      <c r="E1236" t="s">
        <v>2</v>
      </c>
      <c r="F1236" t="s">
        <v>1307</v>
      </c>
      <c r="G1236" t="s">
        <v>28</v>
      </c>
      <c r="H1236">
        <v>34233</v>
      </c>
      <c r="I1236" t="s">
        <v>1305</v>
      </c>
      <c r="J1236" t="s">
        <v>1306</v>
      </c>
      <c r="K1236" t="s">
        <v>2</v>
      </c>
      <c r="L1236" t="s">
        <v>1307</v>
      </c>
      <c r="M1236" t="s">
        <v>28</v>
      </c>
      <c r="N1236">
        <v>34233</v>
      </c>
      <c r="O1236" t="s">
        <v>1312</v>
      </c>
      <c r="P1236" t="s">
        <v>1946</v>
      </c>
      <c r="Q1236" t="s">
        <v>21</v>
      </c>
      <c r="R1236">
        <v>415253</v>
      </c>
      <c r="S1236" t="s">
        <v>84</v>
      </c>
      <c r="T1236" s="2">
        <v>191</v>
      </c>
      <c r="U1236">
        <v>0</v>
      </c>
      <c r="V1236" t="s">
        <v>260</v>
      </c>
      <c r="W1236">
        <v>3</v>
      </c>
      <c r="X1236">
        <v>3</v>
      </c>
      <c r="Y1236">
        <v>0</v>
      </c>
      <c r="Z1236" t="s">
        <v>2083</v>
      </c>
      <c r="AA1236" t="s">
        <v>2084</v>
      </c>
      <c r="AB1236" t="s">
        <v>14</v>
      </c>
      <c r="AC1236">
        <v>2.4496000000000002</v>
      </c>
      <c r="AD1236">
        <v>7.35</v>
      </c>
      <c r="AE1236">
        <v>726182084082</v>
      </c>
      <c r="AF1236">
        <v>431.1</v>
      </c>
      <c r="AG1236">
        <v>0</v>
      </c>
      <c r="AH1236">
        <v>18.66</v>
      </c>
      <c r="AI1236">
        <v>449.76</v>
      </c>
      <c r="AJ1236" t="s">
        <v>2</v>
      </c>
      <c r="AK1236" t="s">
        <v>11</v>
      </c>
    </row>
    <row r="1237" spans="1:37">
      <c r="A1237">
        <v>257848</v>
      </c>
      <c r="B1237" s="1">
        <v>45366</v>
      </c>
      <c r="C1237" t="s">
        <v>1305</v>
      </c>
      <c r="D1237" t="s">
        <v>1306</v>
      </c>
      <c r="E1237" t="s">
        <v>2</v>
      </c>
      <c r="F1237" t="s">
        <v>1307</v>
      </c>
      <c r="G1237" t="s">
        <v>28</v>
      </c>
      <c r="H1237">
        <v>34233</v>
      </c>
      <c r="I1237" t="s">
        <v>1305</v>
      </c>
      <c r="J1237" t="s">
        <v>1306</v>
      </c>
      <c r="K1237" t="s">
        <v>2</v>
      </c>
      <c r="L1237" t="s">
        <v>1307</v>
      </c>
      <c r="M1237" t="s">
        <v>28</v>
      </c>
      <c r="N1237">
        <v>34233</v>
      </c>
      <c r="O1237" t="s">
        <v>1312</v>
      </c>
      <c r="P1237" t="s">
        <v>1946</v>
      </c>
      <c r="Q1237" t="s">
        <v>21</v>
      </c>
      <c r="R1237">
        <v>415253</v>
      </c>
      <c r="S1237" t="s">
        <v>84</v>
      </c>
      <c r="T1237" s="2">
        <v>191</v>
      </c>
      <c r="U1237">
        <v>0</v>
      </c>
      <c r="V1237" t="s">
        <v>260</v>
      </c>
      <c r="W1237">
        <v>0</v>
      </c>
      <c r="X1237">
        <v>0</v>
      </c>
      <c r="Y1237">
        <v>0</v>
      </c>
      <c r="Z1237" t="s">
        <v>88</v>
      </c>
      <c r="AA1237" t="s">
        <v>2068</v>
      </c>
      <c r="AB1237" t="s">
        <v>10</v>
      </c>
      <c r="AC1237">
        <v>0</v>
      </c>
      <c r="AD1237">
        <v>0</v>
      </c>
      <c r="AE1237">
        <v>726182084082</v>
      </c>
      <c r="AF1237">
        <v>431.1</v>
      </c>
      <c r="AG1237">
        <v>0</v>
      </c>
      <c r="AH1237">
        <v>18.66</v>
      </c>
      <c r="AI1237">
        <v>449.76</v>
      </c>
      <c r="AJ1237" t="s">
        <v>2</v>
      </c>
      <c r="AK1237" t="s">
        <v>11</v>
      </c>
    </row>
    <row r="1238" spans="1:37">
      <c r="A1238">
        <v>257848</v>
      </c>
      <c r="B1238" s="1">
        <v>45366</v>
      </c>
      <c r="C1238" t="s">
        <v>1305</v>
      </c>
      <c r="D1238" t="s">
        <v>1306</v>
      </c>
      <c r="E1238" t="s">
        <v>2</v>
      </c>
      <c r="F1238" t="s">
        <v>1307</v>
      </c>
      <c r="G1238" t="s">
        <v>28</v>
      </c>
      <c r="H1238">
        <v>34233</v>
      </c>
      <c r="I1238" t="s">
        <v>1305</v>
      </c>
      <c r="J1238" t="s">
        <v>1306</v>
      </c>
      <c r="K1238" t="s">
        <v>2</v>
      </c>
      <c r="L1238" t="s">
        <v>1307</v>
      </c>
      <c r="M1238" t="s">
        <v>28</v>
      </c>
      <c r="N1238">
        <v>34233</v>
      </c>
      <c r="O1238" t="s">
        <v>1312</v>
      </c>
      <c r="P1238" t="s">
        <v>1946</v>
      </c>
      <c r="Q1238" t="s">
        <v>21</v>
      </c>
      <c r="R1238">
        <v>415253</v>
      </c>
      <c r="S1238" t="s">
        <v>84</v>
      </c>
      <c r="T1238" s="2">
        <v>191</v>
      </c>
      <c r="U1238">
        <v>0</v>
      </c>
      <c r="V1238" t="s">
        <v>260</v>
      </c>
      <c r="W1238">
        <v>3</v>
      </c>
      <c r="X1238">
        <v>3</v>
      </c>
      <c r="Y1238">
        <v>0</v>
      </c>
      <c r="Z1238" t="s">
        <v>2085</v>
      </c>
      <c r="AA1238" t="s">
        <v>2086</v>
      </c>
      <c r="AB1238" t="s">
        <v>14</v>
      </c>
      <c r="AC1238">
        <v>2.4496000000000002</v>
      </c>
      <c r="AD1238">
        <v>7.35</v>
      </c>
      <c r="AE1238">
        <v>726182084082</v>
      </c>
      <c r="AF1238">
        <v>431.1</v>
      </c>
      <c r="AG1238">
        <v>0</v>
      </c>
      <c r="AH1238">
        <v>18.66</v>
      </c>
      <c r="AI1238">
        <v>449.76</v>
      </c>
      <c r="AJ1238" t="s">
        <v>2</v>
      </c>
      <c r="AK1238" t="s">
        <v>11</v>
      </c>
    </row>
    <row r="1239" spans="1:37">
      <c r="A1239">
        <v>257848</v>
      </c>
      <c r="B1239" s="1">
        <v>45366</v>
      </c>
      <c r="C1239" t="s">
        <v>1305</v>
      </c>
      <c r="D1239" t="s">
        <v>1306</v>
      </c>
      <c r="E1239" t="s">
        <v>2</v>
      </c>
      <c r="F1239" t="s">
        <v>1307</v>
      </c>
      <c r="G1239" t="s">
        <v>28</v>
      </c>
      <c r="H1239">
        <v>34233</v>
      </c>
      <c r="I1239" t="s">
        <v>1305</v>
      </c>
      <c r="J1239" t="s">
        <v>1306</v>
      </c>
      <c r="K1239" t="s">
        <v>2</v>
      </c>
      <c r="L1239" t="s">
        <v>1307</v>
      </c>
      <c r="M1239" t="s">
        <v>28</v>
      </c>
      <c r="N1239">
        <v>34233</v>
      </c>
      <c r="O1239" t="s">
        <v>1312</v>
      </c>
      <c r="P1239" t="s">
        <v>1946</v>
      </c>
      <c r="Q1239" t="s">
        <v>21</v>
      </c>
      <c r="R1239">
        <v>415253</v>
      </c>
      <c r="S1239" t="s">
        <v>84</v>
      </c>
      <c r="T1239" s="2">
        <v>191</v>
      </c>
      <c r="U1239">
        <v>0</v>
      </c>
      <c r="V1239" t="s">
        <v>260</v>
      </c>
      <c r="W1239">
        <v>0</v>
      </c>
      <c r="X1239">
        <v>0</v>
      </c>
      <c r="Y1239">
        <v>0</v>
      </c>
      <c r="Z1239" t="s">
        <v>88</v>
      </c>
      <c r="AA1239" t="s">
        <v>2068</v>
      </c>
      <c r="AB1239" t="s">
        <v>10</v>
      </c>
      <c r="AC1239">
        <v>0</v>
      </c>
      <c r="AD1239">
        <v>0</v>
      </c>
      <c r="AE1239">
        <v>726182084082</v>
      </c>
      <c r="AF1239">
        <v>431.1</v>
      </c>
      <c r="AG1239">
        <v>0</v>
      </c>
      <c r="AH1239">
        <v>18.66</v>
      </c>
      <c r="AI1239">
        <v>449.76</v>
      </c>
      <c r="AJ1239" t="s">
        <v>2</v>
      </c>
      <c r="AK1239" t="s">
        <v>11</v>
      </c>
    </row>
    <row r="1240" spans="1:37">
      <c r="A1240">
        <v>257848</v>
      </c>
      <c r="B1240" s="1">
        <v>45366</v>
      </c>
      <c r="C1240" t="s">
        <v>1305</v>
      </c>
      <c r="D1240" t="s">
        <v>1306</v>
      </c>
      <c r="E1240" t="s">
        <v>2</v>
      </c>
      <c r="F1240" t="s">
        <v>1307</v>
      </c>
      <c r="G1240" t="s">
        <v>28</v>
      </c>
      <c r="H1240">
        <v>34233</v>
      </c>
      <c r="I1240" t="s">
        <v>1305</v>
      </c>
      <c r="J1240" t="s">
        <v>1306</v>
      </c>
      <c r="K1240" t="s">
        <v>2</v>
      </c>
      <c r="L1240" t="s">
        <v>1307</v>
      </c>
      <c r="M1240" t="s">
        <v>28</v>
      </c>
      <c r="N1240">
        <v>34233</v>
      </c>
      <c r="O1240" t="s">
        <v>1312</v>
      </c>
      <c r="P1240" t="s">
        <v>1946</v>
      </c>
      <c r="Q1240" t="s">
        <v>21</v>
      </c>
      <c r="R1240">
        <v>415253</v>
      </c>
      <c r="S1240" t="s">
        <v>84</v>
      </c>
      <c r="T1240" s="2">
        <v>191</v>
      </c>
      <c r="U1240">
        <v>0</v>
      </c>
      <c r="V1240" t="s">
        <v>260</v>
      </c>
      <c r="W1240">
        <v>3</v>
      </c>
      <c r="X1240">
        <v>3</v>
      </c>
      <c r="Y1240">
        <v>0</v>
      </c>
      <c r="Z1240" t="s">
        <v>2087</v>
      </c>
      <c r="AA1240" t="s">
        <v>2088</v>
      </c>
      <c r="AB1240" t="s">
        <v>14</v>
      </c>
      <c r="AC1240">
        <v>2.4496000000000002</v>
      </c>
      <c r="AD1240">
        <v>7.35</v>
      </c>
      <c r="AE1240">
        <v>726182084082</v>
      </c>
      <c r="AF1240">
        <v>431.1</v>
      </c>
      <c r="AG1240">
        <v>0</v>
      </c>
      <c r="AH1240">
        <v>18.66</v>
      </c>
      <c r="AI1240">
        <v>449.76</v>
      </c>
      <c r="AJ1240" t="s">
        <v>2</v>
      </c>
      <c r="AK1240" t="s">
        <v>11</v>
      </c>
    </row>
    <row r="1241" spans="1:37">
      <c r="A1241">
        <v>257848</v>
      </c>
      <c r="B1241" s="1">
        <v>45366</v>
      </c>
      <c r="C1241" t="s">
        <v>1305</v>
      </c>
      <c r="D1241" t="s">
        <v>1306</v>
      </c>
      <c r="E1241" t="s">
        <v>2</v>
      </c>
      <c r="F1241" t="s">
        <v>1307</v>
      </c>
      <c r="G1241" t="s">
        <v>28</v>
      </c>
      <c r="H1241">
        <v>34233</v>
      </c>
      <c r="I1241" t="s">
        <v>1305</v>
      </c>
      <c r="J1241" t="s">
        <v>1306</v>
      </c>
      <c r="K1241" t="s">
        <v>2</v>
      </c>
      <c r="L1241" t="s">
        <v>1307</v>
      </c>
      <c r="M1241" t="s">
        <v>28</v>
      </c>
      <c r="N1241">
        <v>34233</v>
      </c>
      <c r="O1241" t="s">
        <v>1312</v>
      </c>
      <c r="P1241" t="s">
        <v>1946</v>
      </c>
      <c r="Q1241" t="s">
        <v>21</v>
      </c>
      <c r="R1241">
        <v>415253</v>
      </c>
      <c r="S1241" t="s">
        <v>84</v>
      </c>
      <c r="T1241" s="2">
        <v>191</v>
      </c>
      <c r="U1241">
        <v>0</v>
      </c>
      <c r="V1241" t="s">
        <v>260</v>
      </c>
      <c r="W1241">
        <v>0</v>
      </c>
      <c r="X1241">
        <v>0</v>
      </c>
      <c r="Y1241">
        <v>0</v>
      </c>
      <c r="Z1241" t="s">
        <v>88</v>
      </c>
      <c r="AA1241" t="s">
        <v>2068</v>
      </c>
      <c r="AB1241" t="s">
        <v>10</v>
      </c>
      <c r="AC1241">
        <v>0</v>
      </c>
      <c r="AD1241">
        <v>0</v>
      </c>
      <c r="AE1241">
        <v>726182084082</v>
      </c>
      <c r="AF1241">
        <v>431.1</v>
      </c>
      <c r="AG1241">
        <v>0</v>
      </c>
      <c r="AH1241">
        <v>18.66</v>
      </c>
      <c r="AI1241">
        <v>449.76</v>
      </c>
      <c r="AJ1241" t="s">
        <v>2</v>
      </c>
      <c r="AK1241" t="s">
        <v>11</v>
      </c>
    </row>
    <row r="1242" spans="1:37">
      <c r="A1242">
        <v>257848</v>
      </c>
      <c r="B1242" s="1">
        <v>45366</v>
      </c>
      <c r="C1242" t="s">
        <v>1305</v>
      </c>
      <c r="D1242" t="s">
        <v>1306</v>
      </c>
      <c r="E1242" t="s">
        <v>2</v>
      </c>
      <c r="F1242" t="s">
        <v>1307</v>
      </c>
      <c r="G1242" t="s">
        <v>28</v>
      </c>
      <c r="H1242">
        <v>34233</v>
      </c>
      <c r="I1242" t="s">
        <v>1305</v>
      </c>
      <c r="J1242" t="s">
        <v>1306</v>
      </c>
      <c r="K1242" t="s">
        <v>2</v>
      </c>
      <c r="L1242" t="s">
        <v>1307</v>
      </c>
      <c r="M1242" t="s">
        <v>28</v>
      </c>
      <c r="N1242">
        <v>34233</v>
      </c>
      <c r="O1242" t="s">
        <v>1312</v>
      </c>
      <c r="P1242" t="s">
        <v>1946</v>
      </c>
      <c r="Q1242" t="s">
        <v>21</v>
      </c>
      <c r="R1242">
        <v>415253</v>
      </c>
      <c r="S1242" t="s">
        <v>84</v>
      </c>
      <c r="T1242" s="2">
        <v>191</v>
      </c>
      <c r="U1242">
        <v>0</v>
      </c>
      <c r="V1242" t="s">
        <v>260</v>
      </c>
      <c r="W1242">
        <v>3</v>
      </c>
      <c r="X1242">
        <v>3</v>
      </c>
      <c r="Y1242">
        <v>0</v>
      </c>
      <c r="Z1242" t="s">
        <v>2089</v>
      </c>
      <c r="AA1242" t="s">
        <v>2090</v>
      </c>
      <c r="AB1242" t="s">
        <v>14</v>
      </c>
      <c r="AC1242">
        <v>2.4496000000000002</v>
      </c>
      <c r="AD1242">
        <v>7.35</v>
      </c>
      <c r="AE1242">
        <v>726182084082</v>
      </c>
      <c r="AF1242">
        <v>431.1</v>
      </c>
      <c r="AG1242">
        <v>0</v>
      </c>
      <c r="AH1242">
        <v>18.66</v>
      </c>
      <c r="AI1242">
        <v>449.76</v>
      </c>
      <c r="AJ1242" t="s">
        <v>2</v>
      </c>
      <c r="AK1242" t="s">
        <v>11</v>
      </c>
    </row>
    <row r="1243" spans="1:37">
      <c r="A1243">
        <v>257848</v>
      </c>
      <c r="B1243" s="1">
        <v>45366</v>
      </c>
      <c r="C1243" t="s">
        <v>1305</v>
      </c>
      <c r="D1243" t="s">
        <v>1306</v>
      </c>
      <c r="E1243" t="s">
        <v>2</v>
      </c>
      <c r="F1243" t="s">
        <v>1307</v>
      </c>
      <c r="G1243" t="s">
        <v>28</v>
      </c>
      <c r="H1243">
        <v>34233</v>
      </c>
      <c r="I1243" t="s">
        <v>1305</v>
      </c>
      <c r="J1243" t="s">
        <v>1306</v>
      </c>
      <c r="K1243" t="s">
        <v>2</v>
      </c>
      <c r="L1243" t="s">
        <v>1307</v>
      </c>
      <c r="M1243" t="s">
        <v>28</v>
      </c>
      <c r="N1243">
        <v>34233</v>
      </c>
      <c r="O1243" t="s">
        <v>1312</v>
      </c>
      <c r="P1243" t="s">
        <v>1946</v>
      </c>
      <c r="Q1243" t="s">
        <v>21</v>
      </c>
      <c r="R1243">
        <v>415253</v>
      </c>
      <c r="S1243" t="s">
        <v>84</v>
      </c>
      <c r="T1243" s="2">
        <v>191</v>
      </c>
      <c r="U1243">
        <v>0</v>
      </c>
      <c r="V1243" t="s">
        <v>260</v>
      </c>
      <c r="W1243">
        <v>0</v>
      </c>
      <c r="X1243">
        <v>0</v>
      </c>
      <c r="Y1243">
        <v>0</v>
      </c>
      <c r="Z1243" t="s">
        <v>88</v>
      </c>
      <c r="AA1243" t="s">
        <v>2068</v>
      </c>
      <c r="AB1243" t="s">
        <v>10</v>
      </c>
      <c r="AC1243">
        <v>0</v>
      </c>
      <c r="AD1243">
        <v>0</v>
      </c>
      <c r="AE1243">
        <v>726182084082</v>
      </c>
      <c r="AF1243">
        <v>431.1</v>
      </c>
      <c r="AG1243">
        <v>0</v>
      </c>
      <c r="AH1243">
        <v>18.66</v>
      </c>
      <c r="AI1243">
        <v>449.76</v>
      </c>
      <c r="AJ1243" t="s">
        <v>2</v>
      </c>
      <c r="AK1243" t="s">
        <v>11</v>
      </c>
    </row>
    <row r="1244" spans="1:37">
      <c r="A1244">
        <v>257848</v>
      </c>
      <c r="B1244" s="1">
        <v>45366</v>
      </c>
      <c r="C1244" t="s">
        <v>1305</v>
      </c>
      <c r="D1244" t="s">
        <v>1306</v>
      </c>
      <c r="E1244" t="s">
        <v>2</v>
      </c>
      <c r="F1244" t="s">
        <v>1307</v>
      </c>
      <c r="G1244" t="s">
        <v>28</v>
      </c>
      <c r="H1244">
        <v>34233</v>
      </c>
      <c r="I1244" t="s">
        <v>1305</v>
      </c>
      <c r="J1244" t="s">
        <v>1306</v>
      </c>
      <c r="K1244" t="s">
        <v>2</v>
      </c>
      <c r="L1244" t="s">
        <v>1307</v>
      </c>
      <c r="M1244" t="s">
        <v>28</v>
      </c>
      <c r="N1244">
        <v>34233</v>
      </c>
      <c r="O1244" t="s">
        <v>1312</v>
      </c>
      <c r="P1244" t="s">
        <v>1946</v>
      </c>
      <c r="Q1244" t="s">
        <v>21</v>
      </c>
      <c r="R1244">
        <v>415253</v>
      </c>
      <c r="S1244" t="s">
        <v>84</v>
      </c>
      <c r="T1244" s="2">
        <v>191</v>
      </c>
      <c r="U1244">
        <v>0</v>
      </c>
      <c r="V1244" t="s">
        <v>260</v>
      </c>
      <c r="W1244">
        <v>3</v>
      </c>
      <c r="X1244">
        <v>0</v>
      </c>
      <c r="Y1244">
        <v>3</v>
      </c>
      <c r="Z1244" t="s">
        <v>2091</v>
      </c>
      <c r="AA1244" t="s">
        <v>2092</v>
      </c>
      <c r="AB1244" t="s">
        <v>14</v>
      </c>
      <c r="AC1244">
        <v>2.4496000000000002</v>
      </c>
      <c r="AD1244">
        <v>0</v>
      </c>
      <c r="AE1244">
        <v>726182084082</v>
      </c>
      <c r="AF1244">
        <v>431.1</v>
      </c>
      <c r="AG1244">
        <v>0</v>
      </c>
      <c r="AH1244">
        <v>18.66</v>
      </c>
      <c r="AI1244">
        <v>449.76</v>
      </c>
      <c r="AJ1244" t="s">
        <v>2</v>
      </c>
      <c r="AK1244" t="s">
        <v>11</v>
      </c>
    </row>
    <row r="1245" spans="1:37">
      <c r="A1245">
        <v>257848</v>
      </c>
      <c r="B1245" s="1">
        <v>45366</v>
      </c>
      <c r="C1245" t="s">
        <v>1305</v>
      </c>
      <c r="D1245" t="s">
        <v>1306</v>
      </c>
      <c r="E1245" t="s">
        <v>2</v>
      </c>
      <c r="F1245" t="s">
        <v>1307</v>
      </c>
      <c r="G1245" t="s">
        <v>28</v>
      </c>
      <c r="H1245">
        <v>34233</v>
      </c>
      <c r="I1245" t="s">
        <v>1305</v>
      </c>
      <c r="J1245" t="s">
        <v>1306</v>
      </c>
      <c r="K1245" t="s">
        <v>2</v>
      </c>
      <c r="L1245" t="s">
        <v>1307</v>
      </c>
      <c r="M1245" t="s">
        <v>28</v>
      </c>
      <c r="N1245">
        <v>34233</v>
      </c>
      <c r="O1245" t="s">
        <v>1312</v>
      </c>
      <c r="P1245" t="s">
        <v>1946</v>
      </c>
      <c r="Q1245" t="s">
        <v>21</v>
      </c>
      <c r="R1245">
        <v>415253</v>
      </c>
      <c r="S1245" t="s">
        <v>84</v>
      </c>
      <c r="T1245" s="2">
        <v>191</v>
      </c>
      <c r="U1245">
        <v>0</v>
      </c>
      <c r="V1245" t="s">
        <v>260</v>
      </c>
      <c r="W1245">
        <v>0</v>
      </c>
      <c r="X1245">
        <v>0</v>
      </c>
      <c r="Y1245">
        <v>0</v>
      </c>
      <c r="Z1245" t="s">
        <v>88</v>
      </c>
      <c r="AA1245" t="s">
        <v>2068</v>
      </c>
      <c r="AB1245" t="s">
        <v>10</v>
      </c>
      <c r="AC1245">
        <v>0</v>
      </c>
      <c r="AD1245">
        <v>0</v>
      </c>
      <c r="AE1245">
        <v>726182084082</v>
      </c>
      <c r="AF1245">
        <v>431.1</v>
      </c>
      <c r="AG1245">
        <v>0</v>
      </c>
      <c r="AH1245">
        <v>18.66</v>
      </c>
      <c r="AI1245">
        <v>449.76</v>
      </c>
      <c r="AJ1245" t="s">
        <v>2</v>
      </c>
      <c r="AK1245" t="s">
        <v>11</v>
      </c>
    </row>
    <row r="1246" spans="1:37">
      <c r="A1246">
        <v>257848</v>
      </c>
      <c r="B1246" s="1">
        <v>45366</v>
      </c>
      <c r="C1246" t="s">
        <v>1305</v>
      </c>
      <c r="D1246" t="s">
        <v>1306</v>
      </c>
      <c r="E1246" t="s">
        <v>2</v>
      </c>
      <c r="F1246" t="s">
        <v>1307</v>
      </c>
      <c r="G1246" t="s">
        <v>28</v>
      </c>
      <c r="H1246">
        <v>34233</v>
      </c>
      <c r="I1246" t="s">
        <v>1305</v>
      </c>
      <c r="J1246" t="s">
        <v>1306</v>
      </c>
      <c r="K1246" t="s">
        <v>2</v>
      </c>
      <c r="L1246" t="s">
        <v>1307</v>
      </c>
      <c r="M1246" t="s">
        <v>28</v>
      </c>
      <c r="N1246">
        <v>34233</v>
      </c>
      <c r="O1246" t="s">
        <v>1312</v>
      </c>
      <c r="P1246" t="s">
        <v>1946</v>
      </c>
      <c r="Q1246" t="s">
        <v>21</v>
      </c>
      <c r="R1246">
        <v>415253</v>
      </c>
      <c r="S1246" t="s">
        <v>84</v>
      </c>
      <c r="T1246" s="2">
        <v>191</v>
      </c>
      <c r="U1246">
        <v>0</v>
      </c>
      <c r="V1246" t="s">
        <v>260</v>
      </c>
      <c r="W1246">
        <v>3</v>
      </c>
      <c r="X1246">
        <v>0</v>
      </c>
      <c r="Y1246">
        <v>3</v>
      </c>
      <c r="Z1246" t="s">
        <v>2093</v>
      </c>
      <c r="AA1246" t="s">
        <v>2094</v>
      </c>
      <c r="AB1246" t="s">
        <v>14</v>
      </c>
      <c r="AC1246">
        <v>2.4496000000000002</v>
      </c>
      <c r="AD1246">
        <v>0</v>
      </c>
      <c r="AE1246">
        <v>726182084082</v>
      </c>
      <c r="AF1246">
        <v>431.1</v>
      </c>
      <c r="AG1246">
        <v>0</v>
      </c>
      <c r="AH1246">
        <v>18.66</v>
      </c>
      <c r="AI1246">
        <v>449.76</v>
      </c>
      <c r="AJ1246" t="s">
        <v>2</v>
      </c>
      <c r="AK1246" t="s">
        <v>11</v>
      </c>
    </row>
    <row r="1247" spans="1:37">
      <c r="A1247">
        <v>257848</v>
      </c>
      <c r="B1247" s="1">
        <v>45366</v>
      </c>
      <c r="C1247" t="s">
        <v>1305</v>
      </c>
      <c r="D1247" t="s">
        <v>1306</v>
      </c>
      <c r="E1247" t="s">
        <v>2</v>
      </c>
      <c r="F1247" t="s">
        <v>1307</v>
      </c>
      <c r="G1247" t="s">
        <v>28</v>
      </c>
      <c r="H1247">
        <v>34233</v>
      </c>
      <c r="I1247" t="s">
        <v>1305</v>
      </c>
      <c r="J1247" t="s">
        <v>1306</v>
      </c>
      <c r="K1247" t="s">
        <v>2</v>
      </c>
      <c r="L1247" t="s">
        <v>1307</v>
      </c>
      <c r="M1247" t="s">
        <v>28</v>
      </c>
      <c r="N1247">
        <v>34233</v>
      </c>
      <c r="O1247" t="s">
        <v>1312</v>
      </c>
      <c r="P1247" t="s">
        <v>1946</v>
      </c>
      <c r="Q1247" t="s">
        <v>21</v>
      </c>
      <c r="R1247">
        <v>415253</v>
      </c>
      <c r="S1247" t="s">
        <v>84</v>
      </c>
      <c r="T1247" s="2">
        <v>191</v>
      </c>
      <c r="U1247">
        <v>0</v>
      </c>
      <c r="V1247" t="s">
        <v>260</v>
      </c>
      <c r="W1247">
        <v>0</v>
      </c>
      <c r="X1247">
        <v>0</v>
      </c>
      <c r="Y1247">
        <v>0</v>
      </c>
      <c r="Z1247" t="s">
        <v>88</v>
      </c>
      <c r="AA1247" t="s">
        <v>2068</v>
      </c>
      <c r="AB1247" t="s">
        <v>10</v>
      </c>
      <c r="AC1247">
        <v>0</v>
      </c>
      <c r="AD1247">
        <v>0</v>
      </c>
      <c r="AE1247">
        <v>726182084082</v>
      </c>
      <c r="AF1247">
        <v>431.1</v>
      </c>
      <c r="AG1247">
        <v>0</v>
      </c>
      <c r="AH1247">
        <v>18.66</v>
      </c>
      <c r="AI1247">
        <v>449.76</v>
      </c>
      <c r="AJ1247" t="s">
        <v>2</v>
      </c>
      <c r="AK1247" t="s">
        <v>11</v>
      </c>
    </row>
    <row r="1248" spans="1:37">
      <c r="A1248">
        <v>257848</v>
      </c>
      <c r="B1248" s="1">
        <v>45366</v>
      </c>
      <c r="C1248" t="s">
        <v>1305</v>
      </c>
      <c r="D1248" t="s">
        <v>1306</v>
      </c>
      <c r="E1248" t="s">
        <v>2</v>
      </c>
      <c r="F1248" t="s">
        <v>1307</v>
      </c>
      <c r="G1248" t="s">
        <v>28</v>
      </c>
      <c r="H1248">
        <v>34233</v>
      </c>
      <c r="I1248" t="s">
        <v>1305</v>
      </c>
      <c r="J1248" t="s">
        <v>1306</v>
      </c>
      <c r="K1248" t="s">
        <v>2</v>
      </c>
      <c r="L1248" t="s">
        <v>1307</v>
      </c>
      <c r="M1248" t="s">
        <v>28</v>
      </c>
      <c r="N1248">
        <v>34233</v>
      </c>
      <c r="O1248" t="s">
        <v>1312</v>
      </c>
      <c r="P1248" t="s">
        <v>1946</v>
      </c>
      <c r="Q1248" t="s">
        <v>21</v>
      </c>
      <c r="R1248">
        <v>415253</v>
      </c>
      <c r="S1248" t="s">
        <v>84</v>
      </c>
      <c r="T1248" s="2">
        <v>191</v>
      </c>
      <c r="U1248">
        <v>0</v>
      </c>
      <c r="V1248" t="s">
        <v>260</v>
      </c>
      <c r="W1248">
        <v>3</v>
      </c>
      <c r="X1248">
        <v>3</v>
      </c>
      <c r="Y1248">
        <v>0</v>
      </c>
      <c r="Z1248" t="s">
        <v>2095</v>
      </c>
      <c r="AA1248" t="s">
        <v>2096</v>
      </c>
      <c r="AB1248" t="s">
        <v>14</v>
      </c>
      <c r="AC1248">
        <v>2.4496000000000002</v>
      </c>
      <c r="AD1248">
        <v>7.35</v>
      </c>
      <c r="AE1248">
        <v>726182084082</v>
      </c>
      <c r="AF1248">
        <v>431.1</v>
      </c>
      <c r="AG1248">
        <v>0</v>
      </c>
      <c r="AH1248">
        <v>18.66</v>
      </c>
      <c r="AI1248">
        <v>449.76</v>
      </c>
      <c r="AJ1248" t="s">
        <v>2</v>
      </c>
      <c r="AK1248" t="s">
        <v>11</v>
      </c>
    </row>
    <row r="1249" spans="1:37">
      <c r="A1249">
        <v>257848</v>
      </c>
      <c r="B1249" s="1">
        <v>45366</v>
      </c>
      <c r="C1249" t="s">
        <v>1305</v>
      </c>
      <c r="D1249" t="s">
        <v>1306</v>
      </c>
      <c r="E1249" t="s">
        <v>2</v>
      </c>
      <c r="F1249" t="s">
        <v>1307</v>
      </c>
      <c r="G1249" t="s">
        <v>28</v>
      </c>
      <c r="H1249">
        <v>34233</v>
      </c>
      <c r="I1249" t="s">
        <v>1305</v>
      </c>
      <c r="J1249" t="s">
        <v>1306</v>
      </c>
      <c r="K1249" t="s">
        <v>2</v>
      </c>
      <c r="L1249" t="s">
        <v>1307</v>
      </c>
      <c r="M1249" t="s">
        <v>28</v>
      </c>
      <c r="N1249">
        <v>34233</v>
      </c>
      <c r="O1249" t="s">
        <v>1312</v>
      </c>
      <c r="P1249" t="s">
        <v>1946</v>
      </c>
      <c r="Q1249" t="s">
        <v>21</v>
      </c>
      <c r="R1249">
        <v>415253</v>
      </c>
      <c r="S1249" t="s">
        <v>84</v>
      </c>
      <c r="T1249" s="2">
        <v>191</v>
      </c>
      <c r="U1249">
        <v>0</v>
      </c>
      <c r="V1249" t="s">
        <v>260</v>
      </c>
      <c r="W1249">
        <v>0</v>
      </c>
      <c r="X1249">
        <v>0</v>
      </c>
      <c r="Y1249">
        <v>0</v>
      </c>
      <c r="Z1249" t="s">
        <v>88</v>
      </c>
      <c r="AA1249" t="s">
        <v>2068</v>
      </c>
      <c r="AB1249" t="s">
        <v>10</v>
      </c>
      <c r="AC1249">
        <v>0</v>
      </c>
      <c r="AD1249">
        <v>0</v>
      </c>
      <c r="AE1249">
        <v>726182084082</v>
      </c>
      <c r="AF1249">
        <v>431.1</v>
      </c>
      <c r="AG1249">
        <v>0</v>
      </c>
      <c r="AH1249">
        <v>18.66</v>
      </c>
      <c r="AI1249">
        <v>449.76</v>
      </c>
      <c r="AJ1249" t="s">
        <v>2</v>
      </c>
      <c r="AK1249" t="s">
        <v>11</v>
      </c>
    </row>
    <row r="1250" spans="1:37">
      <c r="A1250">
        <v>257848</v>
      </c>
      <c r="B1250" s="1">
        <v>45366</v>
      </c>
      <c r="C1250" t="s">
        <v>1305</v>
      </c>
      <c r="D1250" t="s">
        <v>1306</v>
      </c>
      <c r="E1250" t="s">
        <v>2</v>
      </c>
      <c r="F1250" t="s">
        <v>1307</v>
      </c>
      <c r="G1250" t="s">
        <v>28</v>
      </c>
      <c r="H1250">
        <v>34233</v>
      </c>
      <c r="I1250" t="s">
        <v>1305</v>
      </c>
      <c r="J1250" t="s">
        <v>1306</v>
      </c>
      <c r="K1250" t="s">
        <v>2</v>
      </c>
      <c r="L1250" t="s">
        <v>1307</v>
      </c>
      <c r="M1250" t="s">
        <v>28</v>
      </c>
      <c r="N1250">
        <v>34233</v>
      </c>
      <c r="O1250" t="s">
        <v>1312</v>
      </c>
      <c r="P1250" t="s">
        <v>1946</v>
      </c>
      <c r="Q1250" t="s">
        <v>21</v>
      </c>
      <c r="R1250">
        <v>415253</v>
      </c>
      <c r="S1250" t="s">
        <v>84</v>
      </c>
      <c r="T1250" s="2">
        <v>191</v>
      </c>
      <c r="U1250">
        <v>0</v>
      </c>
      <c r="V1250" t="s">
        <v>260</v>
      </c>
      <c r="W1250">
        <v>3</v>
      </c>
      <c r="X1250">
        <v>3</v>
      </c>
      <c r="Y1250">
        <v>0</v>
      </c>
      <c r="Z1250" t="s">
        <v>2097</v>
      </c>
      <c r="AA1250" t="s">
        <v>2098</v>
      </c>
      <c r="AB1250" t="s">
        <v>14</v>
      </c>
      <c r="AC1250">
        <v>2.4496000000000002</v>
      </c>
      <c r="AD1250">
        <v>7.35</v>
      </c>
      <c r="AE1250">
        <v>726182084082</v>
      </c>
      <c r="AF1250">
        <v>431.1</v>
      </c>
      <c r="AG1250">
        <v>0</v>
      </c>
      <c r="AH1250">
        <v>18.66</v>
      </c>
      <c r="AI1250">
        <v>449.76</v>
      </c>
      <c r="AJ1250" t="s">
        <v>2</v>
      </c>
      <c r="AK1250" t="s">
        <v>11</v>
      </c>
    </row>
    <row r="1251" spans="1:37">
      <c r="A1251">
        <v>257848</v>
      </c>
      <c r="B1251" s="1">
        <v>45366</v>
      </c>
      <c r="C1251" t="s">
        <v>1305</v>
      </c>
      <c r="D1251" t="s">
        <v>1306</v>
      </c>
      <c r="E1251" t="s">
        <v>2</v>
      </c>
      <c r="F1251" t="s">
        <v>1307</v>
      </c>
      <c r="G1251" t="s">
        <v>28</v>
      </c>
      <c r="H1251">
        <v>34233</v>
      </c>
      <c r="I1251" t="s">
        <v>1305</v>
      </c>
      <c r="J1251" t="s">
        <v>1306</v>
      </c>
      <c r="K1251" t="s">
        <v>2</v>
      </c>
      <c r="L1251" t="s">
        <v>1307</v>
      </c>
      <c r="M1251" t="s">
        <v>28</v>
      </c>
      <c r="N1251">
        <v>34233</v>
      </c>
      <c r="O1251" t="s">
        <v>1312</v>
      </c>
      <c r="P1251" t="s">
        <v>1946</v>
      </c>
      <c r="Q1251" t="s">
        <v>21</v>
      </c>
      <c r="R1251">
        <v>415253</v>
      </c>
      <c r="S1251" t="s">
        <v>84</v>
      </c>
      <c r="T1251" s="2">
        <v>191</v>
      </c>
      <c r="U1251">
        <v>0</v>
      </c>
      <c r="V1251" t="s">
        <v>260</v>
      </c>
      <c r="W1251">
        <v>0</v>
      </c>
      <c r="X1251">
        <v>0</v>
      </c>
      <c r="Y1251">
        <v>0</v>
      </c>
      <c r="Z1251" t="s">
        <v>88</v>
      </c>
      <c r="AA1251" t="s">
        <v>2068</v>
      </c>
      <c r="AB1251" t="s">
        <v>10</v>
      </c>
      <c r="AC1251">
        <v>0</v>
      </c>
      <c r="AD1251">
        <v>0</v>
      </c>
      <c r="AE1251">
        <v>726182084082</v>
      </c>
      <c r="AF1251">
        <v>431.1</v>
      </c>
      <c r="AG1251">
        <v>0</v>
      </c>
      <c r="AH1251">
        <v>18.66</v>
      </c>
      <c r="AI1251">
        <v>449.76</v>
      </c>
      <c r="AJ1251" t="s">
        <v>2</v>
      </c>
      <c r="AK1251" t="s">
        <v>11</v>
      </c>
    </row>
    <row r="1252" spans="1:37">
      <c r="A1252">
        <v>257848</v>
      </c>
      <c r="B1252" s="1">
        <v>45366</v>
      </c>
      <c r="C1252" t="s">
        <v>1305</v>
      </c>
      <c r="D1252" t="s">
        <v>1306</v>
      </c>
      <c r="E1252" t="s">
        <v>2</v>
      </c>
      <c r="F1252" t="s">
        <v>1307</v>
      </c>
      <c r="G1252" t="s">
        <v>28</v>
      </c>
      <c r="H1252">
        <v>34233</v>
      </c>
      <c r="I1252" t="s">
        <v>1305</v>
      </c>
      <c r="J1252" t="s">
        <v>1306</v>
      </c>
      <c r="K1252" t="s">
        <v>2</v>
      </c>
      <c r="L1252" t="s">
        <v>1307</v>
      </c>
      <c r="M1252" t="s">
        <v>28</v>
      </c>
      <c r="N1252">
        <v>34233</v>
      </c>
      <c r="O1252" t="s">
        <v>1312</v>
      </c>
      <c r="P1252" t="s">
        <v>1946</v>
      </c>
      <c r="Q1252" t="s">
        <v>21</v>
      </c>
      <c r="R1252">
        <v>415253</v>
      </c>
      <c r="S1252" t="s">
        <v>84</v>
      </c>
      <c r="T1252" s="2">
        <v>191</v>
      </c>
      <c r="U1252">
        <v>0</v>
      </c>
      <c r="V1252" t="s">
        <v>260</v>
      </c>
      <c r="W1252">
        <v>3</v>
      </c>
      <c r="X1252">
        <v>3</v>
      </c>
      <c r="Y1252">
        <v>0</v>
      </c>
      <c r="Z1252" t="s">
        <v>2099</v>
      </c>
      <c r="AA1252" t="s">
        <v>2100</v>
      </c>
      <c r="AB1252" t="s">
        <v>14</v>
      </c>
      <c r="AC1252">
        <v>2.4496000000000002</v>
      </c>
      <c r="AD1252">
        <v>7.35</v>
      </c>
      <c r="AE1252">
        <v>726182084082</v>
      </c>
      <c r="AF1252">
        <v>431.1</v>
      </c>
      <c r="AG1252">
        <v>0</v>
      </c>
      <c r="AH1252">
        <v>18.66</v>
      </c>
      <c r="AI1252">
        <v>449.76</v>
      </c>
      <c r="AJ1252" t="s">
        <v>2</v>
      </c>
      <c r="AK1252" t="s">
        <v>11</v>
      </c>
    </row>
    <row r="1253" spans="1:37">
      <c r="A1253">
        <v>257848</v>
      </c>
      <c r="B1253" s="1">
        <v>45366</v>
      </c>
      <c r="C1253" t="s">
        <v>1305</v>
      </c>
      <c r="D1253" t="s">
        <v>1306</v>
      </c>
      <c r="E1253" t="s">
        <v>2</v>
      </c>
      <c r="F1253" t="s">
        <v>1307</v>
      </c>
      <c r="G1253" t="s">
        <v>28</v>
      </c>
      <c r="H1253">
        <v>34233</v>
      </c>
      <c r="I1253" t="s">
        <v>1305</v>
      </c>
      <c r="J1253" t="s">
        <v>1306</v>
      </c>
      <c r="K1253" t="s">
        <v>2</v>
      </c>
      <c r="L1253" t="s">
        <v>1307</v>
      </c>
      <c r="M1253" t="s">
        <v>28</v>
      </c>
      <c r="N1253">
        <v>34233</v>
      </c>
      <c r="O1253" t="s">
        <v>1312</v>
      </c>
      <c r="P1253" t="s">
        <v>1946</v>
      </c>
      <c r="Q1253" t="s">
        <v>21</v>
      </c>
      <c r="R1253">
        <v>415253</v>
      </c>
      <c r="S1253" t="s">
        <v>84</v>
      </c>
      <c r="T1253" s="2">
        <v>191</v>
      </c>
      <c r="U1253">
        <v>0</v>
      </c>
      <c r="V1253" t="s">
        <v>260</v>
      </c>
      <c r="W1253">
        <v>0</v>
      </c>
      <c r="X1253">
        <v>0</v>
      </c>
      <c r="Y1253">
        <v>0</v>
      </c>
      <c r="Z1253" t="s">
        <v>88</v>
      </c>
      <c r="AA1253" t="s">
        <v>2068</v>
      </c>
      <c r="AB1253" t="s">
        <v>10</v>
      </c>
      <c r="AC1253">
        <v>0</v>
      </c>
      <c r="AD1253">
        <v>0</v>
      </c>
      <c r="AE1253">
        <v>726182084082</v>
      </c>
      <c r="AF1253">
        <v>431.1</v>
      </c>
      <c r="AG1253">
        <v>0</v>
      </c>
      <c r="AH1253">
        <v>18.66</v>
      </c>
      <c r="AI1253">
        <v>449.76</v>
      </c>
      <c r="AJ1253" t="s">
        <v>2</v>
      </c>
      <c r="AK1253" t="s">
        <v>11</v>
      </c>
    </row>
    <row r="1254" spans="1:37">
      <c r="A1254">
        <v>257848</v>
      </c>
      <c r="B1254" s="1">
        <v>45366</v>
      </c>
      <c r="C1254" t="s">
        <v>1305</v>
      </c>
      <c r="D1254" t="s">
        <v>1306</v>
      </c>
      <c r="E1254" t="s">
        <v>2</v>
      </c>
      <c r="F1254" t="s">
        <v>1307</v>
      </c>
      <c r="G1254" t="s">
        <v>28</v>
      </c>
      <c r="H1254">
        <v>34233</v>
      </c>
      <c r="I1254" t="s">
        <v>1305</v>
      </c>
      <c r="J1254" t="s">
        <v>1306</v>
      </c>
      <c r="K1254" t="s">
        <v>2</v>
      </c>
      <c r="L1254" t="s">
        <v>1307</v>
      </c>
      <c r="M1254" t="s">
        <v>28</v>
      </c>
      <c r="N1254">
        <v>34233</v>
      </c>
      <c r="O1254" t="s">
        <v>1312</v>
      </c>
      <c r="P1254" t="s">
        <v>1946</v>
      </c>
      <c r="Q1254" t="s">
        <v>21</v>
      </c>
      <c r="R1254">
        <v>415253</v>
      </c>
      <c r="S1254" t="s">
        <v>84</v>
      </c>
      <c r="T1254" s="2">
        <v>191</v>
      </c>
      <c r="U1254">
        <v>0</v>
      </c>
      <c r="V1254" t="s">
        <v>260</v>
      </c>
      <c r="W1254">
        <v>3</v>
      </c>
      <c r="X1254">
        <v>3</v>
      </c>
      <c r="Y1254">
        <v>0</v>
      </c>
      <c r="Z1254" t="s">
        <v>2101</v>
      </c>
      <c r="AA1254" t="s">
        <v>2102</v>
      </c>
      <c r="AB1254" t="s">
        <v>14</v>
      </c>
      <c r="AC1254">
        <v>2.4496000000000002</v>
      </c>
      <c r="AD1254">
        <v>7.35</v>
      </c>
      <c r="AE1254">
        <v>726182084082</v>
      </c>
      <c r="AF1254">
        <v>431.1</v>
      </c>
      <c r="AG1254">
        <v>0</v>
      </c>
      <c r="AH1254">
        <v>18.66</v>
      </c>
      <c r="AI1254">
        <v>449.76</v>
      </c>
      <c r="AJ1254" t="s">
        <v>2</v>
      </c>
      <c r="AK1254" t="s">
        <v>11</v>
      </c>
    </row>
    <row r="1255" spans="1:37">
      <c r="A1255">
        <v>257848</v>
      </c>
      <c r="B1255" s="1">
        <v>45366</v>
      </c>
      <c r="C1255" t="s">
        <v>1305</v>
      </c>
      <c r="D1255" t="s">
        <v>1306</v>
      </c>
      <c r="E1255" t="s">
        <v>2</v>
      </c>
      <c r="F1255" t="s">
        <v>1307</v>
      </c>
      <c r="G1255" t="s">
        <v>28</v>
      </c>
      <c r="H1255">
        <v>34233</v>
      </c>
      <c r="I1255" t="s">
        <v>1305</v>
      </c>
      <c r="J1255" t="s">
        <v>1306</v>
      </c>
      <c r="K1255" t="s">
        <v>2</v>
      </c>
      <c r="L1255" t="s">
        <v>1307</v>
      </c>
      <c r="M1255" t="s">
        <v>28</v>
      </c>
      <c r="N1255">
        <v>34233</v>
      </c>
      <c r="O1255" t="s">
        <v>1312</v>
      </c>
      <c r="P1255" t="s">
        <v>1946</v>
      </c>
      <c r="Q1255" t="s">
        <v>21</v>
      </c>
      <c r="R1255">
        <v>415253</v>
      </c>
      <c r="S1255" t="s">
        <v>84</v>
      </c>
      <c r="T1255" s="2">
        <v>191</v>
      </c>
      <c r="U1255">
        <v>0</v>
      </c>
      <c r="V1255" t="s">
        <v>260</v>
      </c>
      <c r="W1255">
        <v>0</v>
      </c>
      <c r="X1255">
        <v>0</v>
      </c>
      <c r="Y1255">
        <v>0</v>
      </c>
      <c r="Z1255" t="s">
        <v>88</v>
      </c>
      <c r="AA1255" t="s">
        <v>2068</v>
      </c>
      <c r="AB1255" t="s">
        <v>10</v>
      </c>
      <c r="AC1255">
        <v>0</v>
      </c>
      <c r="AD1255">
        <v>0</v>
      </c>
      <c r="AE1255">
        <v>726182084082</v>
      </c>
      <c r="AF1255">
        <v>431.1</v>
      </c>
      <c r="AG1255">
        <v>0</v>
      </c>
      <c r="AH1255">
        <v>18.66</v>
      </c>
      <c r="AI1255">
        <v>449.76</v>
      </c>
      <c r="AJ1255" t="s">
        <v>2</v>
      </c>
      <c r="AK1255" t="s">
        <v>11</v>
      </c>
    </row>
    <row r="1256" spans="1:37">
      <c r="A1256">
        <v>257848</v>
      </c>
      <c r="B1256" s="1">
        <v>45366</v>
      </c>
      <c r="C1256" t="s">
        <v>1305</v>
      </c>
      <c r="D1256" t="s">
        <v>1306</v>
      </c>
      <c r="E1256" t="s">
        <v>2</v>
      </c>
      <c r="F1256" t="s">
        <v>1307</v>
      </c>
      <c r="G1256" t="s">
        <v>28</v>
      </c>
      <c r="H1256">
        <v>34233</v>
      </c>
      <c r="I1256" t="s">
        <v>1305</v>
      </c>
      <c r="J1256" t="s">
        <v>1306</v>
      </c>
      <c r="K1256" t="s">
        <v>2</v>
      </c>
      <c r="L1256" t="s">
        <v>1307</v>
      </c>
      <c r="M1256" t="s">
        <v>28</v>
      </c>
      <c r="N1256">
        <v>34233</v>
      </c>
      <c r="O1256" t="s">
        <v>1312</v>
      </c>
      <c r="P1256" t="s">
        <v>1946</v>
      </c>
      <c r="Q1256" t="s">
        <v>21</v>
      </c>
      <c r="R1256">
        <v>415253</v>
      </c>
      <c r="S1256" t="s">
        <v>84</v>
      </c>
      <c r="T1256" s="2">
        <v>191</v>
      </c>
      <c r="U1256">
        <v>0</v>
      </c>
      <c r="V1256" t="s">
        <v>260</v>
      </c>
      <c r="W1256">
        <v>3</v>
      </c>
      <c r="X1256">
        <v>0</v>
      </c>
      <c r="Y1256">
        <v>3</v>
      </c>
      <c r="Z1256" t="s">
        <v>2103</v>
      </c>
      <c r="AA1256" t="s">
        <v>2104</v>
      </c>
      <c r="AB1256" t="s">
        <v>14</v>
      </c>
      <c r="AC1256">
        <v>2.4496000000000002</v>
      </c>
      <c r="AD1256">
        <v>0</v>
      </c>
      <c r="AE1256">
        <v>726182084082</v>
      </c>
      <c r="AF1256">
        <v>431.1</v>
      </c>
      <c r="AG1256">
        <v>0</v>
      </c>
      <c r="AH1256">
        <v>18.66</v>
      </c>
      <c r="AI1256">
        <v>449.76</v>
      </c>
      <c r="AJ1256" t="s">
        <v>2</v>
      </c>
      <c r="AK1256" t="s">
        <v>11</v>
      </c>
    </row>
    <row r="1257" spans="1:37">
      <c r="A1257">
        <v>257848</v>
      </c>
      <c r="B1257" s="1">
        <v>45366</v>
      </c>
      <c r="C1257" t="s">
        <v>1305</v>
      </c>
      <c r="D1257" t="s">
        <v>1306</v>
      </c>
      <c r="E1257" t="s">
        <v>2</v>
      </c>
      <c r="F1257" t="s">
        <v>1307</v>
      </c>
      <c r="G1257" t="s">
        <v>28</v>
      </c>
      <c r="H1257">
        <v>34233</v>
      </c>
      <c r="I1257" t="s">
        <v>1305</v>
      </c>
      <c r="J1257" t="s">
        <v>1306</v>
      </c>
      <c r="K1257" t="s">
        <v>2</v>
      </c>
      <c r="L1257" t="s">
        <v>1307</v>
      </c>
      <c r="M1257" t="s">
        <v>28</v>
      </c>
      <c r="N1257">
        <v>34233</v>
      </c>
      <c r="O1257" t="s">
        <v>1312</v>
      </c>
      <c r="P1257" t="s">
        <v>1946</v>
      </c>
      <c r="Q1257" t="s">
        <v>21</v>
      </c>
      <c r="R1257">
        <v>415253</v>
      </c>
      <c r="S1257" t="s">
        <v>84</v>
      </c>
      <c r="T1257" s="2">
        <v>191</v>
      </c>
      <c r="U1257">
        <v>0</v>
      </c>
      <c r="V1257" t="s">
        <v>260</v>
      </c>
      <c r="W1257">
        <v>0</v>
      </c>
      <c r="X1257">
        <v>0</v>
      </c>
      <c r="Y1257">
        <v>0</v>
      </c>
      <c r="Z1257" t="s">
        <v>88</v>
      </c>
      <c r="AA1257" t="s">
        <v>2068</v>
      </c>
      <c r="AB1257" t="s">
        <v>10</v>
      </c>
      <c r="AC1257">
        <v>0</v>
      </c>
      <c r="AD1257">
        <v>0</v>
      </c>
      <c r="AE1257">
        <v>726182084082</v>
      </c>
      <c r="AF1257">
        <v>431.1</v>
      </c>
      <c r="AG1257">
        <v>0</v>
      </c>
      <c r="AH1257">
        <v>18.66</v>
      </c>
      <c r="AI1257">
        <v>449.76</v>
      </c>
      <c r="AJ1257" t="s">
        <v>2</v>
      </c>
      <c r="AK1257" t="s">
        <v>11</v>
      </c>
    </row>
    <row r="1258" spans="1:37">
      <c r="A1258">
        <v>257848</v>
      </c>
      <c r="B1258" s="1">
        <v>45366</v>
      </c>
      <c r="C1258" t="s">
        <v>1305</v>
      </c>
      <c r="D1258" t="s">
        <v>1306</v>
      </c>
      <c r="E1258" t="s">
        <v>2</v>
      </c>
      <c r="F1258" t="s">
        <v>1307</v>
      </c>
      <c r="G1258" t="s">
        <v>28</v>
      </c>
      <c r="H1258">
        <v>34233</v>
      </c>
      <c r="I1258" t="s">
        <v>1305</v>
      </c>
      <c r="J1258" t="s">
        <v>1306</v>
      </c>
      <c r="K1258" t="s">
        <v>2</v>
      </c>
      <c r="L1258" t="s">
        <v>1307</v>
      </c>
      <c r="M1258" t="s">
        <v>28</v>
      </c>
      <c r="N1258">
        <v>34233</v>
      </c>
      <c r="O1258" t="s">
        <v>1312</v>
      </c>
      <c r="P1258" t="s">
        <v>1946</v>
      </c>
      <c r="Q1258" t="s">
        <v>21</v>
      </c>
      <c r="R1258">
        <v>415253</v>
      </c>
      <c r="S1258" t="s">
        <v>84</v>
      </c>
      <c r="T1258" s="2">
        <v>191</v>
      </c>
      <c r="U1258">
        <v>0</v>
      </c>
      <c r="V1258" t="s">
        <v>260</v>
      </c>
      <c r="W1258">
        <v>3</v>
      </c>
      <c r="X1258">
        <v>3</v>
      </c>
      <c r="Y1258">
        <v>0</v>
      </c>
      <c r="Z1258" t="s">
        <v>2105</v>
      </c>
      <c r="AA1258" t="s">
        <v>2106</v>
      </c>
      <c r="AB1258" t="s">
        <v>14</v>
      </c>
      <c r="AC1258">
        <v>2.4496000000000002</v>
      </c>
      <c r="AD1258">
        <v>7.35</v>
      </c>
      <c r="AE1258">
        <v>726182084082</v>
      </c>
      <c r="AF1258">
        <v>431.1</v>
      </c>
      <c r="AG1258">
        <v>0</v>
      </c>
      <c r="AH1258">
        <v>18.66</v>
      </c>
      <c r="AI1258">
        <v>449.76</v>
      </c>
      <c r="AJ1258" t="s">
        <v>2</v>
      </c>
      <c r="AK1258" t="s">
        <v>11</v>
      </c>
    </row>
    <row r="1259" spans="1:37">
      <c r="A1259">
        <v>257848</v>
      </c>
      <c r="B1259" s="1">
        <v>45366</v>
      </c>
      <c r="C1259" t="s">
        <v>1305</v>
      </c>
      <c r="D1259" t="s">
        <v>1306</v>
      </c>
      <c r="E1259" t="s">
        <v>2</v>
      </c>
      <c r="F1259" t="s">
        <v>1307</v>
      </c>
      <c r="G1259" t="s">
        <v>28</v>
      </c>
      <c r="H1259">
        <v>34233</v>
      </c>
      <c r="I1259" t="s">
        <v>1305</v>
      </c>
      <c r="J1259" t="s">
        <v>1306</v>
      </c>
      <c r="K1259" t="s">
        <v>2</v>
      </c>
      <c r="L1259" t="s">
        <v>1307</v>
      </c>
      <c r="M1259" t="s">
        <v>28</v>
      </c>
      <c r="N1259">
        <v>34233</v>
      </c>
      <c r="O1259" t="s">
        <v>1312</v>
      </c>
      <c r="P1259" t="s">
        <v>1946</v>
      </c>
      <c r="Q1259" t="s">
        <v>21</v>
      </c>
      <c r="R1259">
        <v>415253</v>
      </c>
      <c r="S1259" t="s">
        <v>84</v>
      </c>
      <c r="T1259" s="2">
        <v>191</v>
      </c>
      <c r="U1259">
        <v>0</v>
      </c>
      <c r="V1259" t="s">
        <v>260</v>
      </c>
      <c r="W1259">
        <v>0</v>
      </c>
      <c r="X1259">
        <v>0</v>
      </c>
      <c r="Y1259">
        <v>0</v>
      </c>
      <c r="Z1259" t="s">
        <v>88</v>
      </c>
      <c r="AA1259" t="s">
        <v>2068</v>
      </c>
      <c r="AB1259" t="s">
        <v>10</v>
      </c>
      <c r="AC1259">
        <v>0</v>
      </c>
      <c r="AD1259">
        <v>0</v>
      </c>
      <c r="AE1259">
        <v>726182084082</v>
      </c>
      <c r="AF1259">
        <v>431.1</v>
      </c>
      <c r="AG1259">
        <v>0</v>
      </c>
      <c r="AH1259">
        <v>18.66</v>
      </c>
      <c r="AI1259">
        <v>449.76</v>
      </c>
      <c r="AJ1259" t="s">
        <v>2</v>
      </c>
      <c r="AK1259" t="s">
        <v>11</v>
      </c>
    </row>
    <row r="1260" spans="1:37">
      <c r="A1260">
        <v>257848</v>
      </c>
      <c r="B1260" s="1">
        <v>45366</v>
      </c>
      <c r="C1260" t="s">
        <v>1305</v>
      </c>
      <c r="D1260" t="s">
        <v>1306</v>
      </c>
      <c r="E1260" t="s">
        <v>2</v>
      </c>
      <c r="F1260" t="s">
        <v>1307</v>
      </c>
      <c r="G1260" t="s">
        <v>28</v>
      </c>
      <c r="H1260">
        <v>34233</v>
      </c>
      <c r="I1260" t="s">
        <v>1305</v>
      </c>
      <c r="J1260" t="s">
        <v>1306</v>
      </c>
      <c r="K1260" t="s">
        <v>2</v>
      </c>
      <c r="L1260" t="s">
        <v>1307</v>
      </c>
      <c r="M1260" t="s">
        <v>28</v>
      </c>
      <c r="N1260">
        <v>34233</v>
      </c>
      <c r="O1260" t="s">
        <v>1312</v>
      </c>
      <c r="P1260" t="s">
        <v>1946</v>
      </c>
      <c r="Q1260" t="s">
        <v>21</v>
      </c>
      <c r="R1260">
        <v>415253</v>
      </c>
      <c r="S1260" t="s">
        <v>84</v>
      </c>
      <c r="T1260" s="2">
        <v>191</v>
      </c>
      <c r="U1260">
        <v>0</v>
      </c>
      <c r="V1260" t="s">
        <v>260</v>
      </c>
      <c r="W1260">
        <v>3</v>
      </c>
      <c r="X1260">
        <v>0</v>
      </c>
      <c r="Y1260">
        <v>3</v>
      </c>
      <c r="Z1260" t="s">
        <v>2107</v>
      </c>
      <c r="AA1260" t="s">
        <v>2108</v>
      </c>
      <c r="AB1260" t="s">
        <v>14</v>
      </c>
      <c r="AC1260">
        <v>2.4496000000000002</v>
      </c>
      <c r="AD1260">
        <v>0</v>
      </c>
      <c r="AE1260">
        <v>726182084082</v>
      </c>
      <c r="AF1260">
        <v>431.1</v>
      </c>
      <c r="AG1260">
        <v>0</v>
      </c>
      <c r="AH1260">
        <v>18.66</v>
      </c>
      <c r="AI1260">
        <v>449.76</v>
      </c>
      <c r="AJ1260" t="s">
        <v>2</v>
      </c>
      <c r="AK1260" t="s">
        <v>11</v>
      </c>
    </row>
    <row r="1261" spans="1:37">
      <c r="A1261">
        <v>257848</v>
      </c>
      <c r="B1261" s="1">
        <v>45366</v>
      </c>
      <c r="C1261" t="s">
        <v>1305</v>
      </c>
      <c r="D1261" t="s">
        <v>1306</v>
      </c>
      <c r="E1261" t="s">
        <v>2</v>
      </c>
      <c r="F1261" t="s">
        <v>1307</v>
      </c>
      <c r="G1261" t="s">
        <v>28</v>
      </c>
      <c r="H1261">
        <v>34233</v>
      </c>
      <c r="I1261" t="s">
        <v>1305</v>
      </c>
      <c r="J1261" t="s">
        <v>1306</v>
      </c>
      <c r="K1261" t="s">
        <v>2</v>
      </c>
      <c r="L1261" t="s">
        <v>1307</v>
      </c>
      <c r="M1261" t="s">
        <v>28</v>
      </c>
      <c r="N1261">
        <v>34233</v>
      </c>
      <c r="O1261" t="s">
        <v>1312</v>
      </c>
      <c r="P1261" t="s">
        <v>1946</v>
      </c>
      <c r="Q1261" t="s">
        <v>21</v>
      </c>
      <c r="R1261">
        <v>415253</v>
      </c>
      <c r="S1261" t="s">
        <v>84</v>
      </c>
      <c r="T1261" s="2">
        <v>191</v>
      </c>
      <c r="U1261">
        <v>0</v>
      </c>
      <c r="V1261" t="s">
        <v>260</v>
      </c>
      <c r="W1261">
        <v>0</v>
      </c>
      <c r="X1261">
        <v>0</v>
      </c>
      <c r="Y1261">
        <v>0</v>
      </c>
      <c r="Z1261" t="s">
        <v>88</v>
      </c>
      <c r="AA1261" t="s">
        <v>2068</v>
      </c>
      <c r="AB1261" t="s">
        <v>10</v>
      </c>
      <c r="AC1261">
        <v>0</v>
      </c>
      <c r="AD1261">
        <v>0</v>
      </c>
      <c r="AE1261">
        <v>726182084082</v>
      </c>
      <c r="AF1261">
        <v>431.1</v>
      </c>
      <c r="AG1261">
        <v>0</v>
      </c>
      <c r="AH1261">
        <v>18.66</v>
      </c>
      <c r="AI1261">
        <v>449.76</v>
      </c>
      <c r="AJ1261" t="s">
        <v>2</v>
      </c>
      <c r="AK1261" t="s">
        <v>11</v>
      </c>
    </row>
    <row r="1262" spans="1:37">
      <c r="A1262">
        <v>257848</v>
      </c>
      <c r="B1262" s="1">
        <v>45366</v>
      </c>
      <c r="C1262" t="s">
        <v>1305</v>
      </c>
      <c r="D1262" t="s">
        <v>1306</v>
      </c>
      <c r="E1262" t="s">
        <v>2</v>
      </c>
      <c r="F1262" t="s">
        <v>1307</v>
      </c>
      <c r="G1262" t="s">
        <v>28</v>
      </c>
      <c r="H1262">
        <v>34233</v>
      </c>
      <c r="I1262" t="s">
        <v>1305</v>
      </c>
      <c r="J1262" t="s">
        <v>1306</v>
      </c>
      <c r="K1262" t="s">
        <v>2</v>
      </c>
      <c r="L1262" t="s">
        <v>1307</v>
      </c>
      <c r="M1262" t="s">
        <v>28</v>
      </c>
      <c r="N1262">
        <v>34233</v>
      </c>
      <c r="O1262" t="s">
        <v>1312</v>
      </c>
      <c r="P1262" t="s">
        <v>1946</v>
      </c>
      <c r="Q1262" t="s">
        <v>21</v>
      </c>
      <c r="R1262">
        <v>415253</v>
      </c>
      <c r="S1262" t="s">
        <v>84</v>
      </c>
      <c r="T1262" s="2">
        <v>191</v>
      </c>
      <c r="U1262">
        <v>0</v>
      </c>
      <c r="V1262" t="s">
        <v>260</v>
      </c>
      <c r="W1262">
        <v>3</v>
      </c>
      <c r="X1262">
        <v>0</v>
      </c>
      <c r="Y1262">
        <v>3</v>
      </c>
      <c r="Z1262" t="s">
        <v>2109</v>
      </c>
      <c r="AA1262" t="s">
        <v>2110</v>
      </c>
      <c r="AB1262" t="s">
        <v>14</v>
      </c>
      <c r="AC1262">
        <v>2.4496000000000002</v>
      </c>
      <c r="AD1262">
        <v>0</v>
      </c>
      <c r="AE1262">
        <v>726182084082</v>
      </c>
      <c r="AF1262">
        <v>431.1</v>
      </c>
      <c r="AG1262">
        <v>0</v>
      </c>
      <c r="AH1262">
        <v>18.66</v>
      </c>
      <c r="AI1262">
        <v>449.76</v>
      </c>
      <c r="AJ1262" t="s">
        <v>2</v>
      </c>
      <c r="AK1262" t="s">
        <v>11</v>
      </c>
    </row>
    <row r="1263" spans="1:37">
      <c r="A1263">
        <v>257848</v>
      </c>
      <c r="B1263" s="1">
        <v>45366</v>
      </c>
      <c r="C1263" t="s">
        <v>1305</v>
      </c>
      <c r="D1263" t="s">
        <v>1306</v>
      </c>
      <c r="E1263" t="s">
        <v>2</v>
      </c>
      <c r="F1263" t="s">
        <v>1307</v>
      </c>
      <c r="G1263" t="s">
        <v>28</v>
      </c>
      <c r="H1263">
        <v>34233</v>
      </c>
      <c r="I1263" t="s">
        <v>1305</v>
      </c>
      <c r="J1263" t="s">
        <v>1306</v>
      </c>
      <c r="K1263" t="s">
        <v>2</v>
      </c>
      <c r="L1263" t="s">
        <v>1307</v>
      </c>
      <c r="M1263" t="s">
        <v>28</v>
      </c>
      <c r="N1263">
        <v>34233</v>
      </c>
      <c r="O1263" t="s">
        <v>1312</v>
      </c>
      <c r="P1263" t="s">
        <v>1946</v>
      </c>
      <c r="Q1263" t="s">
        <v>21</v>
      </c>
      <c r="R1263">
        <v>415253</v>
      </c>
      <c r="S1263" t="s">
        <v>84</v>
      </c>
      <c r="T1263" s="2">
        <v>191</v>
      </c>
      <c r="U1263">
        <v>0</v>
      </c>
      <c r="V1263" t="s">
        <v>260</v>
      </c>
      <c r="W1263">
        <v>0</v>
      </c>
      <c r="X1263">
        <v>0</v>
      </c>
      <c r="Y1263">
        <v>0</v>
      </c>
      <c r="Z1263" t="s">
        <v>88</v>
      </c>
      <c r="AA1263" t="s">
        <v>2068</v>
      </c>
      <c r="AB1263" t="s">
        <v>10</v>
      </c>
      <c r="AC1263">
        <v>0</v>
      </c>
      <c r="AD1263">
        <v>0</v>
      </c>
      <c r="AE1263">
        <v>726182084082</v>
      </c>
      <c r="AF1263">
        <v>431.1</v>
      </c>
      <c r="AG1263">
        <v>0</v>
      </c>
      <c r="AH1263">
        <v>18.66</v>
      </c>
      <c r="AI1263">
        <v>449.76</v>
      </c>
      <c r="AJ1263" t="s">
        <v>2</v>
      </c>
      <c r="AK1263" t="s">
        <v>11</v>
      </c>
    </row>
    <row r="1264" spans="1:37">
      <c r="A1264">
        <v>257848</v>
      </c>
      <c r="B1264" s="1">
        <v>45366</v>
      </c>
      <c r="C1264" t="s">
        <v>1305</v>
      </c>
      <c r="D1264" t="s">
        <v>1306</v>
      </c>
      <c r="E1264" t="s">
        <v>2</v>
      </c>
      <c r="F1264" t="s">
        <v>1307</v>
      </c>
      <c r="G1264" t="s">
        <v>28</v>
      </c>
      <c r="H1264">
        <v>34233</v>
      </c>
      <c r="I1264" t="s">
        <v>1305</v>
      </c>
      <c r="J1264" t="s">
        <v>1306</v>
      </c>
      <c r="K1264" t="s">
        <v>2</v>
      </c>
      <c r="L1264" t="s">
        <v>1307</v>
      </c>
      <c r="M1264" t="s">
        <v>28</v>
      </c>
      <c r="N1264">
        <v>34233</v>
      </c>
      <c r="O1264" t="s">
        <v>1312</v>
      </c>
      <c r="P1264" t="s">
        <v>1946</v>
      </c>
      <c r="Q1264" t="s">
        <v>21</v>
      </c>
      <c r="R1264">
        <v>415253</v>
      </c>
      <c r="S1264" t="s">
        <v>84</v>
      </c>
      <c r="T1264" s="2">
        <v>191</v>
      </c>
      <c r="U1264">
        <v>0</v>
      </c>
      <c r="V1264" t="s">
        <v>260</v>
      </c>
      <c r="W1264">
        <v>3</v>
      </c>
      <c r="X1264">
        <v>3</v>
      </c>
      <c r="Y1264">
        <v>0</v>
      </c>
      <c r="Z1264" t="s">
        <v>2111</v>
      </c>
      <c r="AA1264" t="s">
        <v>2112</v>
      </c>
      <c r="AB1264" t="s">
        <v>14</v>
      </c>
      <c r="AC1264">
        <v>2.4496000000000002</v>
      </c>
      <c r="AD1264">
        <v>7.35</v>
      </c>
      <c r="AE1264">
        <v>726182084082</v>
      </c>
      <c r="AF1264">
        <v>431.1</v>
      </c>
      <c r="AG1264">
        <v>0</v>
      </c>
      <c r="AH1264">
        <v>18.66</v>
      </c>
      <c r="AI1264">
        <v>449.76</v>
      </c>
      <c r="AJ1264" t="s">
        <v>2</v>
      </c>
      <c r="AK1264" t="s">
        <v>11</v>
      </c>
    </row>
    <row r="1265" spans="1:37">
      <c r="A1265">
        <v>257848</v>
      </c>
      <c r="B1265" s="1">
        <v>45366</v>
      </c>
      <c r="C1265" t="s">
        <v>1305</v>
      </c>
      <c r="D1265" t="s">
        <v>1306</v>
      </c>
      <c r="E1265" t="s">
        <v>2</v>
      </c>
      <c r="F1265" t="s">
        <v>1307</v>
      </c>
      <c r="G1265" t="s">
        <v>28</v>
      </c>
      <c r="H1265">
        <v>34233</v>
      </c>
      <c r="I1265" t="s">
        <v>1305</v>
      </c>
      <c r="J1265" t="s">
        <v>1306</v>
      </c>
      <c r="K1265" t="s">
        <v>2</v>
      </c>
      <c r="L1265" t="s">
        <v>1307</v>
      </c>
      <c r="M1265" t="s">
        <v>28</v>
      </c>
      <c r="N1265">
        <v>34233</v>
      </c>
      <c r="O1265" t="s">
        <v>1312</v>
      </c>
      <c r="P1265" t="s">
        <v>1946</v>
      </c>
      <c r="Q1265" t="s">
        <v>21</v>
      </c>
      <c r="R1265">
        <v>415253</v>
      </c>
      <c r="S1265" t="s">
        <v>84</v>
      </c>
      <c r="T1265" s="2">
        <v>191</v>
      </c>
      <c r="U1265">
        <v>0</v>
      </c>
      <c r="V1265" t="s">
        <v>260</v>
      </c>
      <c r="W1265">
        <v>0</v>
      </c>
      <c r="X1265">
        <v>0</v>
      </c>
      <c r="Y1265">
        <v>0</v>
      </c>
      <c r="Z1265" t="s">
        <v>88</v>
      </c>
      <c r="AA1265" t="s">
        <v>2068</v>
      </c>
      <c r="AB1265" t="s">
        <v>10</v>
      </c>
      <c r="AC1265">
        <v>0</v>
      </c>
      <c r="AD1265">
        <v>0</v>
      </c>
      <c r="AE1265">
        <v>726182084082</v>
      </c>
      <c r="AF1265">
        <v>431.1</v>
      </c>
      <c r="AG1265">
        <v>0</v>
      </c>
      <c r="AH1265">
        <v>18.66</v>
      </c>
      <c r="AI1265">
        <v>449.76</v>
      </c>
      <c r="AJ1265" t="s">
        <v>2</v>
      </c>
      <c r="AK1265" t="s">
        <v>11</v>
      </c>
    </row>
    <row r="1266" spans="1:37">
      <c r="A1266">
        <v>257848</v>
      </c>
      <c r="B1266" s="1">
        <v>45366</v>
      </c>
      <c r="C1266" t="s">
        <v>1305</v>
      </c>
      <c r="D1266" t="s">
        <v>1306</v>
      </c>
      <c r="E1266" t="s">
        <v>2</v>
      </c>
      <c r="F1266" t="s">
        <v>1307</v>
      </c>
      <c r="G1266" t="s">
        <v>28</v>
      </c>
      <c r="H1266">
        <v>34233</v>
      </c>
      <c r="I1266" t="s">
        <v>1305</v>
      </c>
      <c r="J1266" t="s">
        <v>1306</v>
      </c>
      <c r="K1266" t="s">
        <v>2</v>
      </c>
      <c r="L1266" t="s">
        <v>1307</v>
      </c>
      <c r="M1266" t="s">
        <v>28</v>
      </c>
      <c r="N1266">
        <v>34233</v>
      </c>
      <c r="O1266" t="s">
        <v>1312</v>
      </c>
      <c r="P1266" t="s">
        <v>1946</v>
      </c>
      <c r="Q1266" t="s">
        <v>21</v>
      </c>
      <c r="R1266">
        <v>415253</v>
      </c>
      <c r="S1266" t="s">
        <v>84</v>
      </c>
      <c r="T1266" s="2">
        <v>191</v>
      </c>
      <c r="U1266">
        <v>0</v>
      </c>
      <c r="V1266" t="s">
        <v>260</v>
      </c>
      <c r="W1266">
        <v>3</v>
      </c>
      <c r="X1266">
        <v>0</v>
      </c>
      <c r="Y1266">
        <v>3</v>
      </c>
      <c r="Z1266" t="s">
        <v>2113</v>
      </c>
      <c r="AA1266" t="s">
        <v>2114</v>
      </c>
      <c r="AB1266" t="s">
        <v>14</v>
      </c>
      <c r="AC1266">
        <v>2.4496000000000002</v>
      </c>
      <c r="AD1266">
        <v>0</v>
      </c>
      <c r="AE1266">
        <v>726182084082</v>
      </c>
      <c r="AF1266">
        <v>431.1</v>
      </c>
      <c r="AG1266">
        <v>0</v>
      </c>
      <c r="AH1266">
        <v>18.66</v>
      </c>
      <c r="AI1266">
        <v>449.76</v>
      </c>
      <c r="AJ1266" t="s">
        <v>2</v>
      </c>
      <c r="AK1266" t="s">
        <v>11</v>
      </c>
    </row>
    <row r="1267" spans="1:37">
      <c r="A1267">
        <v>257848</v>
      </c>
      <c r="B1267" s="1">
        <v>45366</v>
      </c>
      <c r="C1267" t="s">
        <v>1305</v>
      </c>
      <c r="D1267" t="s">
        <v>1306</v>
      </c>
      <c r="E1267" t="s">
        <v>2</v>
      </c>
      <c r="F1267" t="s">
        <v>1307</v>
      </c>
      <c r="G1267" t="s">
        <v>28</v>
      </c>
      <c r="H1267">
        <v>34233</v>
      </c>
      <c r="I1267" t="s">
        <v>1305</v>
      </c>
      <c r="J1267" t="s">
        <v>1306</v>
      </c>
      <c r="K1267" t="s">
        <v>2</v>
      </c>
      <c r="L1267" t="s">
        <v>1307</v>
      </c>
      <c r="M1267" t="s">
        <v>28</v>
      </c>
      <c r="N1267">
        <v>34233</v>
      </c>
      <c r="O1267" t="s">
        <v>1312</v>
      </c>
      <c r="P1267" t="s">
        <v>1946</v>
      </c>
      <c r="Q1267" t="s">
        <v>21</v>
      </c>
      <c r="R1267">
        <v>415253</v>
      </c>
      <c r="S1267" t="s">
        <v>84</v>
      </c>
      <c r="T1267" s="2">
        <v>191</v>
      </c>
      <c r="U1267">
        <v>0</v>
      </c>
      <c r="V1267" t="s">
        <v>260</v>
      </c>
      <c r="W1267">
        <v>0</v>
      </c>
      <c r="X1267">
        <v>0</v>
      </c>
      <c r="Y1267">
        <v>0</v>
      </c>
      <c r="Z1267" t="s">
        <v>88</v>
      </c>
      <c r="AA1267" t="s">
        <v>2068</v>
      </c>
      <c r="AB1267" t="s">
        <v>10</v>
      </c>
      <c r="AC1267">
        <v>0</v>
      </c>
      <c r="AD1267">
        <v>0</v>
      </c>
      <c r="AE1267">
        <v>726182084082</v>
      </c>
      <c r="AF1267">
        <v>431.1</v>
      </c>
      <c r="AG1267">
        <v>0</v>
      </c>
      <c r="AH1267">
        <v>18.66</v>
      </c>
      <c r="AI1267">
        <v>449.76</v>
      </c>
      <c r="AJ1267" t="s">
        <v>2</v>
      </c>
      <c r="AK1267" t="s">
        <v>11</v>
      </c>
    </row>
    <row r="1268" spans="1:37">
      <c r="A1268">
        <v>257848</v>
      </c>
      <c r="B1268" s="1">
        <v>45366</v>
      </c>
      <c r="C1268" t="s">
        <v>1305</v>
      </c>
      <c r="D1268" t="s">
        <v>1306</v>
      </c>
      <c r="E1268" t="s">
        <v>2</v>
      </c>
      <c r="F1268" t="s">
        <v>1307</v>
      </c>
      <c r="G1268" t="s">
        <v>28</v>
      </c>
      <c r="H1268">
        <v>34233</v>
      </c>
      <c r="I1268" t="s">
        <v>1305</v>
      </c>
      <c r="J1268" t="s">
        <v>1306</v>
      </c>
      <c r="K1268" t="s">
        <v>2</v>
      </c>
      <c r="L1268" t="s">
        <v>1307</v>
      </c>
      <c r="M1268" t="s">
        <v>28</v>
      </c>
      <c r="N1268">
        <v>34233</v>
      </c>
      <c r="O1268" t="s">
        <v>1312</v>
      </c>
      <c r="P1268" t="s">
        <v>1946</v>
      </c>
      <c r="Q1268" t="s">
        <v>21</v>
      </c>
      <c r="R1268">
        <v>415253</v>
      </c>
      <c r="S1268" t="s">
        <v>84</v>
      </c>
      <c r="T1268" s="2">
        <v>191</v>
      </c>
      <c r="U1268">
        <v>0</v>
      </c>
      <c r="V1268" t="s">
        <v>260</v>
      </c>
      <c r="W1268">
        <v>3</v>
      </c>
      <c r="X1268">
        <v>0</v>
      </c>
      <c r="Y1268">
        <v>3</v>
      </c>
      <c r="Z1268" t="s">
        <v>2115</v>
      </c>
      <c r="AA1268" t="s">
        <v>2116</v>
      </c>
      <c r="AB1268" t="s">
        <v>14</v>
      </c>
      <c r="AC1268">
        <v>2.4496000000000002</v>
      </c>
      <c r="AD1268">
        <v>0</v>
      </c>
      <c r="AE1268">
        <v>726182084082</v>
      </c>
      <c r="AF1268">
        <v>431.1</v>
      </c>
      <c r="AG1268">
        <v>0</v>
      </c>
      <c r="AH1268">
        <v>18.66</v>
      </c>
      <c r="AI1268">
        <v>449.76</v>
      </c>
      <c r="AJ1268" t="s">
        <v>2</v>
      </c>
      <c r="AK1268" t="s">
        <v>11</v>
      </c>
    </row>
    <row r="1269" spans="1:37">
      <c r="A1269">
        <v>257848</v>
      </c>
      <c r="B1269" s="1">
        <v>45366</v>
      </c>
      <c r="C1269" t="s">
        <v>1305</v>
      </c>
      <c r="D1269" t="s">
        <v>1306</v>
      </c>
      <c r="E1269" t="s">
        <v>2</v>
      </c>
      <c r="F1269" t="s">
        <v>1307</v>
      </c>
      <c r="G1269" t="s">
        <v>28</v>
      </c>
      <c r="H1269">
        <v>34233</v>
      </c>
      <c r="I1269" t="s">
        <v>1305</v>
      </c>
      <c r="J1269" t="s">
        <v>1306</v>
      </c>
      <c r="K1269" t="s">
        <v>2</v>
      </c>
      <c r="L1269" t="s">
        <v>1307</v>
      </c>
      <c r="M1269" t="s">
        <v>28</v>
      </c>
      <c r="N1269">
        <v>34233</v>
      </c>
      <c r="O1269" t="s">
        <v>1312</v>
      </c>
      <c r="P1269" t="s">
        <v>1946</v>
      </c>
      <c r="Q1269" t="s">
        <v>21</v>
      </c>
      <c r="R1269">
        <v>415253</v>
      </c>
      <c r="S1269" t="s">
        <v>84</v>
      </c>
      <c r="T1269" s="2">
        <v>191</v>
      </c>
      <c r="U1269">
        <v>0</v>
      </c>
      <c r="V1269" t="s">
        <v>260</v>
      </c>
      <c r="W1269">
        <v>0</v>
      </c>
      <c r="X1269">
        <v>0</v>
      </c>
      <c r="Y1269">
        <v>0</v>
      </c>
      <c r="Z1269" t="s">
        <v>88</v>
      </c>
      <c r="AA1269" t="s">
        <v>2068</v>
      </c>
      <c r="AB1269" t="s">
        <v>10</v>
      </c>
      <c r="AC1269">
        <v>0</v>
      </c>
      <c r="AD1269">
        <v>0</v>
      </c>
      <c r="AE1269">
        <v>726182084082</v>
      </c>
      <c r="AF1269">
        <v>431.1</v>
      </c>
      <c r="AG1269">
        <v>0</v>
      </c>
      <c r="AH1269">
        <v>18.66</v>
      </c>
      <c r="AI1269">
        <v>449.76</v>
      </c>
      <c r="AJ1269" t="s">
        <v>2</v>
      </c>
      <c r="AK1269" t="s">
        <v>11</v>
      </c>
    </row>
    <row r="1270" spans="1:37">
      <c r="A1270">
        <v>257848</v>
      </c>
      <c r="B1270" s="1">
        <v>45366</v>
      </c>
      <c r="C1270" t="s">
        <v>1305</v>
      </c>
      <c r="D1270" t="s">
        <v>1306</v>
      </c>
      <c r="E1270" t="s">
        <v>2</v>
      </c>
      <c r="F1270" t="s">
        <v>1307</v>
      </c>
      <c r="G1270" t="s">
        <v>28</v>
      </c>
      <c r="H1270">
        <v>34233</v>
      </c>
      <c r="I1270" t="s">
        <v>1305</v>
      </c>
      <c r="J1270" t="s">
        <v>1306</v>
      </c>
      <c r="K1270" t="s">
        <v>2</v>
      </c>
      <c r="L1270" t="s">
        <v>1307</v>
      </c>
      <c r="M1270" t="s">
        <v>28</v>
      </c>
      <c r="N1270">
        <v>34233</v>
      </c>
      <c r="O1270" t="s">
        <v>1312</v>
      </c>
      <c r="P1270" t="s">
        <v>1946</v>
      </c>
      <c r="Q1270" t="s">
        <v>21</v>
      </c>
      <c r="R1270">
        <v>415253</v>
      </c>
      <c r="S1270" t="s">
        <v>84</v>
      </c>
      <c r="T1270" s="2">
        <v>191</v>
      </c>
      <c r="U1270">
        <v>0</v>
      </c>
      <c r="V1270" t="s">
        <v>260</v>
      </c>
      <c r="W1270">
        <v>3</v>
      </c>
      <c r="X1270">
        <v>0</v>
      </c>
      <c r="Y1270">
        <v>3</v>
      </c>
      <c r="Z1270" t="s">
        <v>2117</v>
      </c>
      <c r="AA1270" t="s">
        <v>2118</v>
      </c>
      <c r="AB1270" t="s">
        <v>14</v>
      </c>
      <c r="AC1270">
        <v>2.4496000000000002</v>
      </c>
      <c r="AD1270">
        <v>0</v>
      </c>
      <c r="AE1270">
        <v>726182084082</v>
      </c>
      <c r="AF1270">
        <v>431.1</v>
      </c>
      <c r="AG1270">
        <v>0</v>
      </c>
      <c r="AH1270">
        <v>18.66</v>
      </c>
      <c r="AI1270">
        <v>449.76</v>
      </c>
      <c r="AJ1270" t="s">
        <v>2</v>
      </c>
      <c r="AK1270" t="s">
        <v>11</v>
      </c>
    </row>
    <row r="1271" spans="1:37">
      <c r="A1271">
        <v>257848</v>
      </c>
      <c r="B1271" s="1">
        <v>45366</v>
      </c>
      <c r="C1271" t="s">
        <v>1305</v>
      </c>
      <c r="D1271" t="s">
        <v>1306</v>
      </c>
      <c r="E1271" t="s">
        <v>2</v>
      </c>
      <c r="F1271" t="s">
        <v>1307</v>
      </c>
      <c r="G1271" t="s">
        <v>28</v>
      </c>
      <c r="H1271">
        <v>34233</v>
      </c>
      <c r="I1271" t="s">
        <v>1305</v>
      </c>
      <c r="J1271" t="s">
        <v>1306</v>
      </c>
      <c r="K1271" t="s">
        <v>2</v>
      </c>
      <c r="L1271" t="s">
        <v>1307</v>
      </c>
      <c r="M1271" t="s">
        <v>28</v>
      </c>
      <c r="N1271">
        <v>34233</v>
      </c>
      <c r="O1271" t="s">
        <v>1312</v>
      </c>
      <c r="P1271" t="s">
        <v>1946</v>
      </c>
      <c r="Q1271" t="s">
        <v>21</v>
      </c>
      <c r="R1271">
        <v>415253</v>
      </c>
      <c r="S1271" t="s">
        <v>84</v>
      </c>
      <c r="T1271" s="2">
        <v>191</v>
      </c>
      <c r="U1271">
        <v>0</v>
      </c>
      <c r="V1271" t="s">
        <v>260</v>
      </c>
      <c r="W1271">
        <v>0</v>
      </c>
      <c r="X1271">
        <v>0</v>
      </c>
      <c r="Y1271">
        <v>0</v>
      </c>
      <c r="Z1271" t="s">
        <v>88</v>
      </c>
      <c r="AA1271" t="s">
        <v>2068</v>
      </c>
      <c r="AB1271" t="s">
        <v>10</v>
      </c>
      <c r="AC1271">
        <v>0</v>
      </c>
      <c r="AD1271">
        <v>0</v>
      </c>
      <c r="AE1271">
        <v>726182084082</v>
      </c>
      <c r="AF1271">
        <v>431.1</v>
      </c>
      <c r="AG1271">
        <v>0</v>
      </c>
      <c r="AH1271">
        <v>18.66</v>
      </c>
      <c r="AI1271">
        <v>449.76</v>
      </c>
      <c r="AJ1271" t="s">
        <v>2</v>
      </c>
      <c r="AK1271" t="s">
        <v>11</v>
      </c>
    </row>
    <row r="1272" spans="1:37">
      <c r="A1272">
        <v>257848</v>
      </c>
      <c r="B1272" s="1">
        <v>45366</v>
      </c>
      <c r="C1272" t="s">
        <v>1305</v>
      </c>
      <c r="D1272" t="s">
        <v>1306</v>
      </c>
      <c r="E1272" t="s">
        <v>2</v>
      </c>
      <c r="F1272" t="s">
        <v>1307</v>
      </c>
      <c r="G1272" t="s">
        <v>28</v>
      </c>
      <c r="H1272">
        <v>34233</v>
      </c>
      <c r="I1272" t="s">
        <v>1305</v>
      </c>
      <c r="J1272" t="s">
        <v>1306</v>
      </c>
      <c r="K1272" t="s">
        <v>2</v>
      </c>
      <c r="L1272" t="s">
        <v>1307</v>
      </c>
      <c r="M1272" t="s">
        <v>28</v>
      </c>
      <c r="N1272">
        <v>34233</v>
      </c>
      <c r="O1272" t="s">
        <v>1312</v>
      </c>
      <c r="P1272" t="s">
        <v>1946</v>
      </c>
      <c r="Q1272" t="s">
        <v>21</v>
      </c>
      <c r="R1272">
        <v>415253</v>
      </c>
      <c r="S1272" t="s">
        <v>84</v>
      </c>
      <c r="T1272" s="2">
        <v>191</v>
      </c>
      <c r="U1272">
        <v>0</v>
      </c>
      <c r="V1272" t="s">
        <v>260</v>
      </c>
      <c r="W1272">
        <v>3</v>
      </c>
      <c r="X1272">
        <v>3</v>
      </c>
      <c r="Y1272">
        <v>0</v>
      </c>
      <c r="Z1272" t="s">
        <v>2119</v>
      </c>
      <c r="AA1272" t="s">
        <v>2120</v>
      </c>
      <c r="AB1272" t="s">
        <v>14</v>
      </c>
      <c r="AC1272">
        <v>2.4496000000000002</v>
      </c>
      <c r="AD1272">
        <v>7.35</v>
      </c>
      <c r="AE1272">
        <v>726182084082</v>
      </c>
      <c r="AF1272">
        <v>431.1</v>
      </c>
      <c r="AG1272">
        <v>0</v>
      </c>
      <c r="AH1272">
        <v>18.66</v>
      </c>
      <c r="AI1272">
        <v>449.76</v>
      </c>
      <c r="AJ1272" t="s">
        <v>2</v>
      </c>
      <c r="AK1272" t="s">
        <v>11</v>
      </c>
    </row>
    <row r="1273" spans="1:37">
      <c r="A1273">
        <v>257848</v>
      </c>
      <c r="B1273" s="1">
        <v>45366</v>
      </c>
      <c r="C1273" t="s">
        <v>1305</v>
      </c>
      <c r="D1273" t="s">
        <v>1306</v>
      </c>
      <c r="E1273" t="s">
        <v>2</v>
      </c>
      <c r="F1273" t="s">
        <v>1307</v>
      </c>
      <c r="G1273" t="s">
        <v>28</v>
      </c>
      <c r="H1273">
        <v>34233</v>
      </c>
      <c r="I1273" t="s">
        <v>1305</v>
      </c>
      <c r="J1273" t="s">
        <v>1306</v>
      </c>
      <c r="K1273" t="s">
        <v>2</v>
      </c>
      <c r="L1273" t="s">
        <v>1307</v>
      </c>
      <c r="M1273" t="s">
        <v>28</v>
      </c>
      <c r="N1273">
        <v>34233</v>
      </c>
      <c r="O1273" t="s">
        <v>1312</v>
      </c>
      <c r="P1273" t="s">
        <v>1946</v>
      </c>
      <c r="Q1273" t="s">
        <v>21</v>
      </c>
      <c r="R1273">
        <v>415253</v>
      </c>
      <c r="S1273" t="s">
        <v>84</v>
      </c>
      <c r="T1273" s="2">
        <v>191</v>
      </c>
      <c r="U1273">
        <v>0</v>
      </c>
      <c r="V1273" t="s">
        <v>260</v>
      </c>
      <c r="W1273">
        <v>0</v>
      </c>
      <c r="X1273">
        <v>0</v>
      </c>
      <c r="Y1273">
        <v>0</v>
      </c>
      <c r="Z1273" t="s">
        <v>88</v>
      </c>
      <c r="AA1273" t="s">
        <v>2068</v>
      </c>
      <c r="AB1273" t="s">
        <v>10</v>
      </c>
      <c r="AC1273">
        <v>0</v>
      </c>
      <c r="AD1273">
        <v>0</v>
      </c>
      <c r="AE1273">
        <v>726182084082</v>
      </c>
      <c r="AF1273">
        <v>431.1</v>
      </c>
      <c r="AG1273">
        <v>0</v>
      </c>
      <c r="AH1273">
        <v>18.66</v>
      </c>
      <c r="AI1273">
        <v>449.76</v>
      </c>
      <c r="AJ1273" t="s">
        <v>2</v>
      </c>
      <c r="AK1273" t="s">
        <v>11</v>
      </c>
    </row>
    <row r="1274" spans="1:37">
      <c r="A1274">
        <v>257848</v>
      </c>
      <c r="B1274" s="1">
        <v>45366</v>
      </c>
      <c r="C1274" t="s">
        <v>1305</v>
      </c>
      <c r="D1274" t="s">
        <v>1306</v>
      </c>
      <c r="E1274" t="s">
        <v>2</v>
      </c>
      <c r="F1274" t="s">
        <v>1307</v>
      </c>
      <c r="G1274" t="s">
        <v>28</v>
      </c>
      <c r="H1274">
        <v>34233</v>
      </c>
      <c r="I1274" t="s">
        <v>1305</v>
      </c>
      <c r="J1274" t="s">
        <v>1306</v>
      </c>
      <c r="K1274" t="s">
        <v>2</v>
      </c>
      <c r="L1274" t="s">
        <v>1307</v>
      </c>
      <c r="M1274" t="s">
        <v>28</v>
      </c>
      <c r="N1274">
        <v>34233</v>
      </c>
      <c r="O1274" t="s">
        <v>1312</v>
      </c>
      <c r="P1274" t="s">
        <v>1946</v>
      </c>
      <c r="Q1274" t="s">
        <v>21</v>
      </c>
      <c r="R1274">
        <v>415253</v>
      </c>
      <c r="S1274" t="s">
        <v>84</v>
      </c>
      <c r="T1274" s="2">
        <v>191</v>
      </c>
      <c r="U1274">
        <v>0</v>
      </c>
      <c r="V1274" t="s">
        <v>260</v>
      </c>
      <c r="W1274">
        <v>1</v>
      </c>
      <c r="X1274">
        <v>1</v>
      </c>
      <c r="Y1274">
        <v>0</v>
      </c>
      <c r="Z1274" t="s">
        <v>2121</v>
      </c>
      <c r="AA1274" t="s">
        <v>2122</v>
      </c>
      <c r="AB1274" t="s">
        <v>14</v>
      </c>
      <c r="AC1274">
        <v>3.4971000000000001</v>
      </c>
      <c r="AD1274">
        <v>3.5</v>
      </c>
      <c r="AE1274">
        <v>726182084082</v>
      </c>
      <c r="AF1274">
        <v>431.1</v>
      </c>
      <c r="AG1274">
        <v>0</v>
      </c>
      <c r="AH1274">
        <v>18.66</v>
      </c>
      <c r="AI1274">
        <v>449.76</v>
      </c>
      <c r="AJ1274" t="s">
        <v>2</v>
      </c>
      <c r="AK1274" t="s">
        <v>11</v>
      </c>
    </row>
    <row r="1275" spans="1:37">
      <c r="A1275">
        <v>257848</v>
      </c>
      <c r="B1275" s="1">
        <v>45366</v>
      </c>
      <c r="C1275" t="s">
        <v>1305</v>
      </c>
      <c r="D1275" t="s">
        <v>1306</v>
      </c>
      <c r="E1275" t="s">
        <v>2</v>
      </c>
      <c r="F1275" t="s">
        <v>1307</v>
      </c>
      <c r="G1275" t="s">
        <v>28</v>
      </c>
      <c r="H1275">
        <v>34233</v>
      </c>
      <c r="I1275" t="s">
        <v>1305</v>
      </c>
      <c r="J1275" t="s">
        <v>1306</v>
      </c>
      <c r="K1275" t="s">
        <v>2</v>
      </c>
      <c r="L1275" t="s">
        <v>1307</v>
      </c>
      <c r="M1275" t="s">
        <v>28</v>
      </c>
      <c r="N1275">
        <v>34233</v>
      </c>
      <c r="O1275" t="s">
        <v>1312</v>
      </c>
      <c r="P1275" t="s">
        <v>1946</v>
      </c>
      <c r="Q1275" t="s">
        <v>21</v>
      </c>
      <c r="R1275">
        <v>415253</v>
      </c>
      <c r="S1275" t="s">
        <v>84</v>
      </c>
      <c r="T1275" s="2">
        <v>191</v>
      </c>
      <c r="U1275">
        <v>0</v>
      </c>
      <c r="V1275" t="s">
        <v>260</v>
      </c>
      <c r="W1275">
        <v>0</v>
      </c>
      <c r="X1275">
        <v>0</v>
      </c>
      <c r="Y1275">
        <v>0</v>
      </c>
      <c r="Z1275" t="s">
        <v>88</v>
      </c>
      <c r="AA1275" t="s">
        <v>2123</v>
      </c>
      <c r="AB1275" t="s">
        <v>10</v>
      </c>
      <c r="AC1275">
        <v>0</v>
      </c>
      <c r="AD1275">
        <v>0</v>
      </c>
      <c r="AE1275">
        <v>726182084082</v>
      </c>
      <c r="AF1275">
        <v>431.1</v>
      </c>
      <c r="AG1275">
        <v>0</v>
      </c>
      <c r="AH1275">
        <v>18.66</v>
      </c>
      <c r="AI1275">
        <v>449.76</v>
      </c>
      <c r="AJ1275" t="s">
        <v>2</v>
      </c>
      <c r="AK1275" t="s">
        <v>11</v>
      </c>
    </row>
    <row r="1276" spans="1:37">
      <c r="A1276">
        <v>257848</v>
      </c>
      <c r="B1276" s="1">
        <v>45366</v>
      </c>
      <c r="C1276" t="s">
        <v>1305</v>
      </c>
      <c r="D1276" t="s">
        <v>1306</v>
      </c>
      <c r="E1276" t="s">
        <v>2</v>
      </c>
      <c r="F1276" t="s">
        <v>1307</v>
      </c>
      <c r="G1276" t="s">
        <v>28</v>
      </c>
      <c r="H1276">
        <v>34233</v>
      </c>
      <c r="I1276" t="s">
        <v>1305</v>
      </c>
      <c r="J1276" t="s">
        <v>1306</v>
      </c>
      <c r="K1276" t="s">
        <v>2</v>
      </c>
      <c r="L1276" t="s">
        <v>1307</v>
      </c>
      <c r="M1276" t="s">
        <v>28</v>
      </c>
      <c r="N1276">
        <v>34233</v>
      </c>
      <c r="O1276" t="s">
        <v>1312</v>
      </c>
      <c r="P1276" t="s">
        <v>1946</v>
      </c>
      <c r="Q1276" t="s">
        <v>21</v>
      </c>
      <c r="R1276">
        <v>415253</v>
      </c>
      <c r="S1276" t="s">
        <v>84</v>
      </c>
      <c r="T1276" s="2">
        <v>191</v>
      </c>
      <c r="U1276">
        <v>0</v>
      </c>
      <c r="V1276" t="s">
        <v>260</v>
      </c>
      <c r="W1276">
        <v>1</v>
      </c>
      <c r="X1276">
        <v>1</v>
      </c>
      <c r="Y1276">
        <v>0</v>
      </c>
      <c r="Z1276" t="s">
        <v>2124</v>
      </c>
      <c r="AA1276" t="s">
        <v>2125</v>
      </c>
      <c r="AB1276" t="s">
        <v>14</v>
      </c>
      <c r="AC1276">
        <v>3.4971000000000001</v>
      </c>
      <c r="AD1276">
        <v>3.5</v>
      </c>
      <c r="AE1276">
        <v>726182084082</v>
      </c>
      <c r="AF1276">
        <v>431.1</v>
      </c>
      <c r="AG1276">
        <v>0</v>
      </c>
      <c r="AH1276">
        <v>18.66</v>
      </c>
      <c r="AI1276">
        <v>449.76</v>
      </c>
      <c r="AJ1276" t="s">
        <v>2</v>
      </c>
      <c r="AK1276" t="s">
        <v>11</v>
      </c>
    </row>
    <row r="1277" spans="1:37">
      <c r="A1277">
        <v>257848</v>
      </c>
      <c r="B1277" s="1">
        <v>45366</v>
      </c>
      <c r="C1277" t="s">
        <v>1305</v>
      </c>
      <c r="D1277" t="s">
        <v>1306</v>
      </c>
      <c r="E1277" t="s">
        <v>2</v>
      </c>
      <c r="F1277" t="s">
        <v>1307</v>
      </c>
      <c r="G1277" t="s">
        <v>28</v>
      </c>
      <c r="H1277">
        <v>34233</v>
      </c>
      <c r="I1277" t="s">
        <v>1305</v>
      </c>
      <c r="J1277" t="s">
        <v>1306</v>
      </c>
      <c r="K1277" t="s">
        <v>2</v>
      </c>
      <c r="L1277" t="s">
        <v>1307</v>
      </c>
      <c r="M1277" t="s">
        <v>28</v>
      </c>
      <c r="N1277">
        <v>34233</v>
      </c>
      <c r="O1277" t="s">
        <v>1312</v>
      </c>
      <c r="P1277" t="s">
        <v>1946</v>
      </c>
      <c r="Q1277" t="s">
        <v>21</v>
      </c>
      <c r="R1277">
        <v>415253</v>
      </c>
      <c r="S1277" t="s">
        <v>84</v>
      </c>
      <c r="T1277" s="2">
        <v>191</v>
      </c>
      <c r="U1277">
        <v>0</v>
      </c>
      <c r="V1277" t="s">
        <v>260</v>
      </c>
      <c r="W1277">
        <v>0</v>
      </c>
      <c r="X1277">
        <v>0</v>
      </c>
      <c r="Y1277">
        <v>0</v>
      </c>
      <c r="Z1277" t="s">
        <v>88</v>
      </c>
      <c r="AA1277" t="s">
        <v>2123</v>
      </c>
      <c r="AB1277" t="s">
        <v>10</v>
      </c>
      <c r="AC1277">
        <v>0</v>
      </c>
      <c r="AD1277">
        <v>0</v>
      </c>
      <c r="AE1277">
        <v>726182084082</v>
      </c>
      <c r="AF1277">
        <v>431.1</v>
      </c>
      <c r="AG1277">
        <v>0</v>
      </c>
      <c r="AH1277">
        <v>18.66</v>
      </c>
      <c r="AI1277">
        <v>449.76</v>
      </c>
      <c r="AJ1277" t="s">
        <v>2</v>
      </c>
      <c r="AK1277" t="s">
        <v>11</v>
      </c>
    </row>
    <row r="1278" spans="1:37">
      <c r="A1278">
        <v>257848</v>
      </c>
      <c r="B1278" s="1">
        <v>45366</v>
      </c>
      <c r="C1278" t="s">
        <v>1305</v>
      </c>
      <c r="D1278" t="s">
        <v>1306</v>
      </c>
      <c r="E1278" t="s">
        <v>2</v>
      </c>
      <c r="F1278" t="s">
        <v>1307</v>
      </c>
      <c r="G1278" t="s">
        <v>28</v>
      </c>
      <c r="H1278">
        <v>34233</v>
      </c>
      <c r="I1278" t="s">
        <v>1305</v>
      </c>
      <c r="J1278" t="s">
        <v>1306</v>
      </c>
      <c r="K1278" t="s">
        <v>2</v>
      </c>
      <c r="L1278" t="s">
        <v>1307</v>
      </c>
      <c r="M1278" t="s">
        <v>28</v>
      </c>
      <c r="N1278">
        <v>34233</v>
      </c>
      <c r="O1278" t="s">
        <v>1312</v>
      </c>
      <c r="P1278" t="s">
        <v>1946</v>
      </c>
      <c r="Q1278" t="s">
        <v>21</v>
      </c>
      <c r="R1278">
        <v>415253</v>
      </c>
      <c r="S1278" t="s">
        <v>84</v>
      </c>
      <c r="T1278" s="2">
        <v>191</v>
      </c>
      <c r="U1278">
        <v>0</v>
      </c>
      <c r="V1278" t="s">
        <v>260</v>
      </c>
      <c r="W1278">
        <v>1</v>
      </c>
      <c r="X1278">
        <v>1</v>
      </c>
      <c r="Y1278">
        <v>0</v>
      </c>
      <c r="Z1278" t="s">
        <v>2126</v>
      </c>
      <c r="AA1278" t="s">
        <v>2127</v>
      </c>
      <c r="AB1278" t="s">
        <v>14</v>
      </c>
      <c r="AC1278">
        <v>2.04</v>
      </c>
      <c r="AD1278">
        <v>2.04</v>
      </c>
      <c r="AE1278">
        <v>726182084082</v>
      </c>
      <c r="AF1278">
        <v>431.1</v>
      </c>
      <c r="AG1278">
        <v>0</v>
      </c>
      <c r="AH1278">
        <v>18.66</v>
      </c>
      <c r="AI1278">
        <v>449.76</v>
      </c>
      <c r="AJ1278" t="s">
        <v>2</v>
      </c>
      <c r="AK1278" t="s">
        <v>11</v>
      </c>
    </row>
    <row r="1279" spans="1:37">
      <c r="A1279">
        <v>257848</v>
      </c>
      <c r="B1279" s="1">
        <v>45366</v>
      </c>
      <c r="C1279" t="s">
        <v>1305</v>
      </c>
      <c r="D1279" t="s">
        <v>1306</v>
      </c>
      <c r="E1279" t="s">
        <v>2</v>
      </c>
      <c r="F1279" t="s">
        <v>1307</v>
      </c>
      <c r="G1279" t="s">
        <v>28</v>
      </c>
      <c r="H1279">
        <v>34233</v>
      </c>
      <c r="I1279" t="s">
        <v>1305</v>
      </c>
      <c r="J1279" t="s">
        <v>1306</v>
      </c>
      <c r="K1279" t="s">
        <v>2</v>
      </c>
      <c r="L1279" t="s">
        <v>1307</v>
      </c>
      <c r="M1279" t="s">
        <v>28</v>
      </c>
      <c r="N1279">
        <v>34233</v>
      </c>
      <c r="O1279" t="s">
        <v>1312</v>
      </c>
      <c r="P1279" t="s">
        <v>1946</v>
      </c>
      <c r="Q1279" t="s">
        <v>21</v>
      </c>
      <c r="R1279">
        <v>415253</v>
      </c>
      <c r="S1279" t="s">
        <v>84</v>
      </c>
      <c r="T1279" s="2">
        <v>191</v>
      </c>
      <c r="U1279">
        <v>0</v>
      </c>
      <c r="V1279" t="s">
        <v>260</v>
      </c>
      <c r="W1279">
        <v>0</v>
      </c>
      <c r="X1279">
        <v>0</v>
      </c>
      <c r="Y1279">
        <v>0</v>
      </c>
      <c r="Z1279" t="s">
        <v>88</v>
      </c>
      <c r="AA1279" t="s">
        <v>2128</v>
      </c>
      <c r="AB1279" t="s">
        <v>10</v>
      </c>
      <c r="AC1279">
        <v>0</v>
      </c>
      <c r="AD1279">
        <v>0</v>
      </c>
      <c r="AE1279">
        <v>726182084082</v>
      </c>
      <c r="AF1279">
        <v>431.1</v>
      </c>
      <c r="AG1279">
        <v>0</v>
      </c>
      <c r="AH1279">
        <v>18.66</v>
      </c>
      <c r="AI1279">
        <v>449.76</v>
      </c>
      <c r="AJ1279" t="s">
        <v>2</v>
      </c>
      <c r="AK1279" t="s">
        <v>11</v>
      </c>
    </row>
    <row r="1280" spans="1:37">
      <c r="A1280">
        <v>257848</v>
      </c>
      <c r="B1280" s="1">
        <v>45366</v>
      </c>
      <c r="C1280" t="s">
        <v>1305</v>
      </c>
      <c r="D1280" t="s">
        <v>1306</v>
      </c>
      <c r="E1280" t="s">
        <v>2</v>
      </c>
      <c r="F1280" t="s">
        <v>1307</v>
      </c>
      <c r="G1280" t="s">
        <v>28</v>
      </c>
      <c r="H1280">
        <v>34233</v>
      </c>
      <c r="I1280" t="s">
        <v>1305</v>
      </c>
      <c r="J1280" t="s">
        <v>1306</v>
      </c>
      <c r="K1280" t="s">
        <v>2</v>
      </c>
      <c r="L1280" t="s">
        <v>1307</v>
      </c>
      <c r="M1280" t="s">
        <v>28</v>
      </c>
      <c r="N1280">
        <v>34233</v>
      </c>
      <c r="O1280" t="s">
        <v>1312</v>
      </c>
      <c r="P1280" t="s">
        <v>1946</v>
      </c>
      <c r="Q1280" t="s">
        <v>21</v>
      </c>
      <c r="R1280">
        <v>415253</v>
      </c>
      <c r="S1280" t="s">
        <v>84</v>
      </c>
      <c r="T1280" s="2">
        <v>191</v>
      </c>
      <c r="U1280">
        <v>0</v>
      </c>
      <c r="V1280" t="s">
        <v>260</v>
      </c>
      <c r="W1280">
        <v>2</v>
      </c>
      <c r="X1280">
        <v>2</v>
      </c>
      <c r="Y1280">
        <v>0</v>
      </c>
      <c r="Z1280" t="s">
        <v>2129</v>
      </c>
      <c r="AA1280" t="s">
        <v>2130</v>
      </c>
      <c r="AB1280" t="s">
        <v>14</v>
      </c>
      <c r="AC1280">
        <v>2.04</v>
      </c>
      <c r="AD1280">
        <v>4.08</v>
      </c>
      <c r="AE1280">
        <v>726182084082</v>
      </c>
      <c r="AF1280">
        <v>431.1</v>
      </c>
      <c r="AG1280">
        <v>0</v>
      </c>
      <c r="AH1280">
        <v>18.66</v>
      </c>
      <c r="AI1280">
        <v>449.76</v>
      </c>
      <c r="AJ1280" t="s">
        <v>2</v>
      </c>
      <c r="AK1280" t="s">
        <v>11</v>
      </c>
    </row>
    <row r="1281" spans="1:37">
      <c r="A1281">
        <v>257848</v>
      </c>
      <c r="B1281" s="1">
        <v>45366</v>
      </c>
      <c r="C1281" t="s">
        <v>1305</v>
      </c>
      <c r="D1281" t="s">
        <v>1306</v>
      </c>
      <c r="E1281" t="s">
        <v>2</v>
      </c>
      <c r="F1281" t="s">
        <v>1307</v>
      </c>
      <c r="G1281" t="s">
        <v>28</v>
      </c>
      <c r="H1281">
        <v>34233</v>
      </c>
      <c r="I1281" t="s">
        <v>1305</v>
      </c>
      <c r="J1281" t="s">
        <v>1306</v>
      </c>
      <c r="K1281" t="s">
        <v>2</v>
      </c>
      <c r="L1281" t="s">
        <v>1307</v>
      </c>
      <c r="M1281" t="s">
        <v>28</v>
      </c>
      <c r="N1281">
        <v>34233</v>
      </c>
      <c r="O1281" t="s">
        <v>1312</v>
      </c>
      <c r="P1281" t="s">
        <v>1946</v>
      </c>
      <c r="Q1281" t="s">
        <v>21</v>
      </c>
      <c r="R1281">
        <v>415253</v>
      </c>
      <c r="S1281" t="s">
        <v>84</v>
      </c>
      <c r="T1281" s="2">
        <v>191</v>
      </c>
      <c r="U1281">
        <v>0</v>
      </c>
      <c r="V1281" t="s">
        <v>260</v>
      </c>
      <c r="W1281">
        <v>0</v>
      </c>
      <c r="X1281">
        <v>0</v>
      </c>
      <c r="Y1281">
        <v>0</v>
      </c>
      <c r="Z1281" t="s">
        <v>88</v>
      </c>
      <c r="AA1281" t="s">
        <v>2128</v>
      </c>
      <c r="AB1281" t="s">
        <v>10</v>
      </c>
      <c r="AC1281">
        <v>0</v>
      </c>
      <c r="AD1281">
        <v>0</v>
      </c>
      <c r="AE1281">
        <v>726182084082</v>
      </c>
      <c r="AF1281">
        <v>431.1</v>
      </c>
      <c r="AG1281">
        <v>0</v>
      </c>
      <c r="AH1281">
        <v>18.66</v>
      </c>
      <c r="AI1281">
        <v>449.76</v>
      </c>
      <c r="AJ1281" t="s">
        <v>2</v>
      </c>
      <c r="AK1281" t="s">
        <v>11</v>
      </c>
    </row>
    <row r="1282" spans="1:37">
      <c r="A1282">
        <v>257848</v>
      </c>
      <c r="B1282" s="1">
        <v>45366</v>
      </c>
      <c r="C1282" t="s">
        <v>1305</v>
      </c>
      <c r="D1282" t="s">
        <v>1306</v>
      </c>
      <c r="E1282" t="s">
        <v>2</v>
      </c>
      <c r="F1282" t="s">
        <v>1307</v>
      </c>
      <c r="G1282" t="s">
        <v>28</v>
      </c>
      <c r="H1282">
        <v>34233</v>
      </c>
      <c r="I1282" t="s">
        <v>1305</v>
      </c>
      <c r="J1282" t="s">
        <v>1306</v>
      </c>
      <c r="K1282" t="s">
        <v>2</v>
      </c>
      <c r="L1282" t="s">
        <v>1307</v>
      </c>
      <c r="M1282" t="s">
        <v>28</v>
      </c>
      <c r="N1282">
        <v>34233</v>
      </c>
      <c r="O1282" t="s">
        <v>1312</v>
      </c>
      <c r="P1282" t="s">
        <v>1946</v>
      </c>
      <c r="Q1282" t="s">
        <v>21</v>
      </c>
      <c r="R1282">
        <v>415253</v>
      </c>
      <c r="S1282" t="s">
        <v>84</v>
      </c>
      <c r="T1282" s="2">
        <v>191</v>
      </c>
      <c r="U1282">
        <v>0</v>
      </c>
      <c r="V1282" t="s">
        <v>260</v>
      </c>
      <c r="W1282">
        <v>3</v>
      </c>
      <c r="X1282">
        <v>3</v>
      </c>
      <c r="Y1282">
        <v>0</v>
      </c>
      <c r="Z1282" t="s">
        <v>2131</v>
      </c>
      <c r="AA1282" t="s">
        <v>2132</v>
      </c>
      <c r="AB1282" t="s">
        <v>14</v>
      </c>
      <c r="AC1282">
        <v>2.04</v>
      </c>
      <c r="AD1282">
        <v>6.12</v>
      </c>
      <c r="AE1282">
        <v>726182084082</v>
      </c>
      <c r="AF1282">
        <v>431.1</v>
      </c>
      <c r="AG1282">
        <v>0</v>
      </c>
      <c r="AH1282">
        <v>18.66</v>
      </c>
      <c r="AI1282">
        <v>449.76</v>
      </c>
      <c r="AJ1282" t="s">
        <v>2</v>
      </c>
      <c r="AK1282" t="s">
        <v>11</v>
      </c>
    </row>
    <row r="1283" spans="1:37">
      <c r="A1283">
        <v>257848</v>
      </c>
      <c r="B1283" s="1">
        <v>45366</v>
      </c>
      <c r="C1283" t="s">
        <v>1305</v>
      </c>
      <c r="D1283" t="s">
        <v>1306</v>
      </c>
      <c r="E1283" t="s">
        <v>2</v>
      </c>
      <c r="F1283" t="s">
        <v>1307</v>
      </c>
      <c r="G1283" t="s">
        <v>28</v>
      </c>
      <c r="H1283">
        <v>34233</v>
      </c>
      <c r="I1283" t="s">
        <v>1305</v>
      </c>
      <c r="J1283" t="s">
        <v>1306</v>
      </c>
      <c r="K1283" t="s">
        <v>2</v>
      </c>
      <c r="L1283" t="s">
        <v>1307</v>
      </c>
      <c r="M1283" t="s">
        <v>28</v>
      </c>
      <c r="N1283">
        <v>34233</v>
      </c>
      <c r="O1283" t="s">
        <v>1312</v>
      </c>
      <c r="P1283" t="s">
        <v>1946</v>
      </c>
      <c r="Q1283" t="s">
        <v>21</v>
      </c>
      <c r="R1283">
        <v>415253</v>
      </c>
      <c r="S1283" t="s">
        <v>84</v>
      </c>
      <c r="T1283" s="2">
        <v>191</v>
      </c>
      <c r="U1283">
        <v>0</v>
      </c>
      <c r="V1283" t="s">
        <v>260</v>
      </c>
      <c r="W1283">
        <v>0</v>
      </c>
      <c r="X1283">
        <v>0</v>
      </c>
      <c r="Y1283">
        <v>0</v>
      </c>
      <c r="Z1283" t="s">
        <v>88</v>
      </c>
      <c r="AA1283" t="s">
        <v>2128</v>
      </c>
      <c r="AB1283" t="s">
        <v>10</v>
      </c>
      <c r="AC1283">
        <v>0</v>
      </c>
      <c r="AD1283">
        <v>0</v>
      </c>
      <c r="AE1283">
        <v>726182084082</v>
      </c>
      <c r="AF1283">
        <v>431.1</v>
      </c>
      <c r="AG1283">
        <v>0</v>
      </c>
      <c r="AH1283">
        <v>18.66</v>
      </c>
      <c r="AI1283">
        <v>449.76</v>
      </c>
      <c r="AJ1283" t="s">
        <v>2</v>
      </c>
      <c r="AK1283" t="s">
        <v>11</v>
      </c>
    </row>
    <row r="1284" spans="1:37">
      <c r="A1284">
        <v>257848</v>
      </c>
      <c r="B1284" s="1">
        <v>45366</v>
      </c>
      <c r="C1284" t="s">
        <v>1305</v>
      </c>
      <c r="D1284" t="s">
        <v>1306</v>
      </c>
      <c r="E1284" t="s">
        <v>2</v>
      </c>
      <c r="F1284" t="s">
        <v>1307</v>
      </c>
      <c r="G1284" t="s">
        <v>28</v>
      </c>
      <c r="H1284">
        <v>34233</v>
      </c>
      <c r="I1284" t="s">
        <v>1305</v>
      </c>
      <c r="J1284" t="s">
        <v>1306</v>
      </c>
      <c r="K1284" t="s">
        <v>2</v>
      </c>
      <c r="L1284" t="s">
        <v>1307</v>
      </c>
      <c r="M1284" t="s">
        <v>28</v>
      </c>
      <c r="N1284">
        <v>34233</v>
      </c>
      <c r="O1284" t="s">
        <v>1312</v>
      </c>
      <c r="P1284" t="s">
        <v>1946</v>
      </c>
      <c r="Q1284" t="s">
        <v>21</v>
      </c>
      <c r="R1284">
        <v>415253</v>
      </c>
      <c r="S1284" t="s">
        <v>84</v>
      </c>
      <c r="T1284" s="2">
        <v>191</v>
      </c>
      <c r="U1284">
        <v>0</v>
      </c>
      <c r="V1284" t="s">
        <v>260</v>
      </c>
      <c r="W1284">
        <v>3</v>
      </c>
      <c r="X1284">
        <v>3</v>
      </c>
      <c r="Y1284">
        <v>0</v>
      </c>
      <c r="Z1284" t="s">
        <v>2133</v>
      </c>
      <c r="AA1284" t="s">
        <v>2134</v>
      </c>
      <c r="AB1284" t="s">
        <v>14</v>
      </c>
      <c r="AC1284">
        <v>2.2288000000000001</v>
      </c>
      <c r="AD1284">
        <v>6.69</v>
      </c>
      <c r="AE1284">
        <v>726182084082</v>
      </c>
      <c r="AF1284">
        <v>431.1</v>
      </c>
      <c r="AG1284">
        <v>0</v>
      </c>
      <c r="AH1284">
        <v>18.66</v>
      </c>
      <c r="AI1284">
        <v>449.76</v>
      </c>
      <c r="AJ1284" t="s">
        <v>2</v>
      </c>
      <c r="AK1284" t="s">
        <v>11</v>
      </c>
    </row>
    <row r="1285" spans="1:37">
      <c r="A1285">
        <v>257848</v>
      </c>
      <c r="B1285" s="1">
        <v>45366</v>
      </c>
      <c r="C1285" t="s">
        <v>1305</v>
      </c>
      <c r="D1285" t="s">
        <v>1306</v>
      </c>
      <c r="E1285" t="s">
        <v>2</v>
      </c>
      <c r="F1285" t="s">
        <v>1307</v>
      </c>
      <c r="G1285" t="s">
        <v>28</v>
      </c>
      <c r="H1285">
        <v>34233</v>
      </c>
      <c r="I1285" t="s">
        <v>1305</v>
      </c>
      <c r="J1285" t="s">
        <v>1306</v>
      </c>
      <c r="K1285" t="s">
        <v>2</v>
      </c>
      <c r="L1285" t="s">
        <v>1307</v>
      </c>
      <c r="M1285" t="s">
        <v>28</v>
      </c>
      <c r="N1285">
        <v>34233</v>
      </c>
      <c r="O1285" t="s">
        <v>1312</v>
      </c>
      <c r="P1285" t="s">
        <v>1946</v>
      </c>
      <c r="Q1285" t="s">
        <v>21</v>
      </c>
      <c r="R1285">
        <v>415253</v>
      </c>
      <c r="S1285" t="s">
        <v>84</v>
      </c>
      <c r="T1285" s="2">
        <v>191</v>
      </c>
      <c r="U1285">
        <v>0</v>
      </c>
      <c r="V1285" t="s">
        <v>260</v>
      </c>
      <c r="W1285">
        <v>0</v>
      </c>
      <c r="X1285">
        <v>0</v>
      </c>
      <c r="Y1285">
        <v>0</v>
      </c>
      <c r="Z1285" t="s">
        <v>88</v>
      </c>
      <c r="AA1285" t="s">
        <v>2135</v>
      </c>
      <c r="AB1285" t="s">
        <v>10</v>
      </c>
      <c r="AC1285">
        <v>0</v>
      </c>
      <c r="AD1285">
        <v>0</v>
      </c>
      <c r="AE1285">
        <v>726182084082</v>
      </c>
      <c r="AF1285">
        <v>431.1</v>
      </c>
      <c r="AG1285">
        <v>0</v>
      </c>
      <c r="AH1285">
        <v>18.66</v>
      </c>
      <c r="AI1285">
        <v>449.76</v>
      </c>
      <c r="AJ1285" t="s">
        <v>2</v>
      </c>
      <c r="AK1285" t="s">
        <v>11</v>
      </c>
    </row>
    <row r="1286" spans="1:37">
      <c r="A1286">
        <v>257848</v>
      </c>
      <c r="B1286" s="1">
        <v>45366</v>
      </c>
      <c r="C1286" t="s">
        <v>1305</v>
      </c>
      <c r="D1286" t="s">
        <v>1306</v>
      </c>
      <c r="E1286" t="s">
        <v>2</v>
      </c>
      <c r="F1286" t="s">
        <v>1307</v>
      </c>
      <c r="G1286" t="s">
        <v>28</v>
      </c>
      <c r="H1286">
        <v>34233</v>
      </c>
      <c r="I1286" t="s">
        <v>1305</v>
      </c>
      <c r="J1286" t="s">
        <v>1306</v>
      </c>
      <c r="K1286" t="s">
        <v>2</v>
      </c>
      <c r="L1286" t="s">
        <v>1307</v>
      </c>
      <c r="M1286" t="s">
        <v>28</v>
      </c>
      <c r="N1286">
        <v>34233</v>
      </c>
      <c r="O1286" t="s">
        <v>1312</v>
      </c>
      <c r="P1286" t="s">
        <v>1946</v>
      </c>
      <c r="Q1286" t="s">
        <v>21</v>
      </c>
      <c r="R1286">
        <v>415253</v>
      </c>
      <c r="S1286" t="s">
        <v>84</v>
      </c>
      <c r="T1286" s="2">
        <v>191</v>
      </c>
      <c r="U1286">
        <v>0</v>
      </c>
      <c r="V1286" t="s">
        <v>260</v>
      </c>
      <c r="W1286">
        <v>1</v>
      </c>
      <c r="X1286">
        <v>1</v>
      </c>
      <c r="Y1286">
        <v>0</v>
      </c>
      <c r="Z1286" t="s">
        <v>2136</v>
      </c>
      <c r="AA1286" t="s">
        <v>2137</v>
      </c>
      <c r="AB1286" t="s">
        <v>14</v>
      </c>
      <c r="AC1286">
        <v>1.7692000000000001</v>
      </c>
      <c r="AD1286">
        <v>1.77</v>
      </c>
      <c r="AE1286">
        <v>726182084082</v>
      </c>
      <c r="AF1286">
        <v>431.1</v>
      </c>
      <c r="AG1286">
        <v>0</v>
      </c>
      <c r="AH1286">
        <v>18.66</v>
      </c>
      <c r="AI1286">
        <v>449.76</v>
      </c>
      <c r="AJ1286" t="s">
        <v>2</v>
      </c>
      <c r="AK1286" t="s">
        <v>11</v>
      </c>
    </row>
    <row r="1287" spans="1:37">
      <c r="A1287">
        <v>257848</v>
      </c>
      <c r="B1287" s="1">
        <v>45366</v>
      </c>
      <c r="C1287" t="s">
        <v>1305</v>
      </c>
      <c r="D1287" t="s">
        <v>1306</v>
      </c>
      <c r="E1287" t="s">
        <v>2</v>
      </c>
      <c r="F1287" t="s">
        <v>1307</v>
      </c>
      <c r="G1287" t="s">
        <v>28</v>
      </c>
      <c r="H1287">
        <v>34233</v>
      </c>
      <c r="I1287" t="s">
        <v>1305</v>
      </c>
      <c r="J1287" t="s">
        <v>1306</v>
      </c>
      <c r="K1287" t="s">
        <v>2</v>
      </c>
      <c r="L1287" t="s">
        <v>1307</v>
      </c>
      <c r="M1287" t="s">
        <v>28</v>
      </c>
      <c r="N1287">
        <v>34233</v>
      </c>
      <c r="O1287" t="s">
        <v>1312</v>
      </c>
      <c r="P1287" t="s">
        <v>1946</v>
      </c>
      <c r="Q1287" t="s">
        <v>21</v>
      </c>
      <c r="R1287">
        <v>415253</v>
      </c>
      <c r="S1287" t="s">
        <v>84</v>
      </c>
      <c r="T1287" s="2">
        <v>191</v>
      </c>
      <c r="U1287">
        <v>0</v>
      </c>
      <c r="V1287" t="s">
        <v>260</v>
      </c>
      <c r="W1287">
        <v>0</v>
      </c>
      <c r="X1287">
        <v>0</v>
      </c>
      <c r="Y1287">
        <v>0</v>
      </c>
      <c r="Z1287" t="s">
        <v>88</v>
      </c>
      <c r="AA1287" t="s">
        <v>1798</v>
      </c>
      <c r="AB1287" t="s">
        <v>10</v>
      </c>
      <c r="AC1287">
        <v>0</v>
      </c>
      <c r="AD1287">
        <v>0</v>
      </c>
      <c r="AE1287">
        <v>726182084082</v>
      </c>
      <c r="AF1287">
        <v>431.1</v>
      </c>
      <c r="AG1287">
        <v>0</v>
      </c>
      <c r="AH1287">
        <v>18.66</v>
      </c>
      <c r="AI1287">
        <v>449.76</v>
      </c>
      <c r="AJ1287" t="s">
        <v>2</v>
      </c>
      <c r="AK1287" t="s">
        <v>11</v>
      </c>
    </row>
    <row r="1288" spans="1:37">
      <c r="A1288">
        <v>257848</v>
      </c>
      <c r="B1288" s="1">
        <v>45366</v>
      </c>
      <c r="C1288" t="s">
        <v>1305</v>
      </c>
      <c r="D1288" t="s">
        <v>1306</v>
      </c>
      <c r="E1288" t="s">
        <v>2</v>
      </c>
      <c r="F1288" t="s">
        <v>1307</v>
      </c>
      <c r="G1288" t="s">
        <v>28</v>
      </c>
      <c r="H1288">
        <v>34233</v>
      </c>
      <c r="I1288" t="s">
        <v>1305</v>
      </c>
      <c r="J1288" t="s">
        <v>1306</v>
      </c>
      <c r="K1288" t="s">
        <v>2</v>
      </c>
      <c r="L1288" t="s">
        <v>1307</v>
      </c>
      <c r="M1288" t="s">
        <v>28</v>
      </c>
      <c r="N1288">
        <v>34233</v>
      </c>
      <c r="O1288" t="s">
        <v>1312</v>
      </c>
      <c r="P1288" t="s">
        <v>1946</v>
      </c>
      <c r="Q1288" t="s">
        <v>21</v>
      </c>
      <c r="R1288">
        <v>415253</v>
      </c>
      <c r="S1288" t="s">
        <v>84</v>
      </c>
      <c r="T1288" s="2">
        <v>191</v>
      </c>
      <c r="U1288">
        <v>0</v>
      </c>
      <c r="V1288" t="s">
        <v>260</v>
      </c>
      <c r="W1288">
        <v>1</v>
      </c>
      <c r="X1288">
        <v>1</v>
      </c>
      <c r="Y1288">
        <v>0</v>
      </c>
      <c r="Z1288" t="s">
        <v>2138</v>
      </c>
      <c r="AA1288" t="s">
        <v>2139</v>
      </c>
      <c r="AB1288" t="s">
        <v>14</v>
      </c>
      <c r="AC1288">
        <v>1.7692000000000001</v>
      </c>
      <c r="AD1288">
        <v>1.77</v>
      </c>
      <c r="AE1288">
        <v>726182084082</v>
      </c>
      <c r="AF1288">
        <v>431.1</v>
      </c>
      <c r="AG1288">
        <v>0</v>
      </c>
      <c r="AH1288">
        <v>18.66</v>
      </c>
      <c r="AI1288">
        <v>449.76</v>
      </c>
      <c r="AJ1288" t="s">
        <v>2</v>
      </c>
      <c r="AK1288" t="s">
        <v>11</v>
      </c>
    </row>
    <row r="1289" spans="1:37">
      <c r="A1289">
        <v>257848</v>
      </c>
      <c r="B1289" s="1">
        <v>45366</v>
      </c>
      <c r="C1289" t="s">
        <v>1305</v>
      </c>
      <c r="D1289" t="s">
        <v>1306</v>
      </c>
      <c r="E1289" t="s">
        <v>2</v>
      </c>
      <c r="F1289" t="s">
        <v>1307</v>
      </c>
      <c r="G1289" t="s">
        <v>28</v>
      </c>
      <c r="H1289">
        <v>34233</v>
      </c>
      <c r="I1289" t="s">
        <v>1305</v>
      </c>
      <c r="J1289" t="s">
        <v>1306</v>
      </c>
      <c r="K1289" t="s">
        <v>2</v>
      </c>
      <c r="L1289" t="s">
        <v>1307</v>
      </c>
      <c r="M1289" t="s">
        <v>28</v>
      </c>
      <c r="N1289">
        <v>34233</v>
      </c>
      <c r="O1289" t="s">
        <v>1312</v>
      </c>
      <c r="P1289" t="s">
        <v>1946</v>
      </c>
      <c r="Q1289" t="s">
        <v>21</v>
      </c>
      <c r="R1289">
        <v>415253</v>
      </c>
      <c r="S1289" t="s">
        <v>84</v>
      </c>
      <c r="T1289" s="2">
        <v>191</v>
      </c>
      <c r="U1289">
        <v>0</v>
      </c>
      <c r="V1289" t="s">
        <v>260</v>
      </c>
      <c r="W1289">
        <v>0</v>
      </c>
      <c r="X1289">
        <v>0</v>
      </c>
      <c r="Y1289">
        <v>0</v>
      </c>
      <c r="Z1289" t="s">
        <v>88</v>
      </c>
      <c r="AA1289" t="s">
        <v>1798</v>
      </c>
      <c r="AB1289" t="s">
        <v>10</v>
      </c>
      <c r="AC1289">
        <v>0</v>
      </c>
      <c r="AD1289">
        <v>0</v>
      </c>
      <c r="AE1289">
        <v>726182084082</v>
      </c>
      <c r="AF1289">
        <v>431.1</v>
      </c>
      <c r="AG1289">
        <v>0</v>
      </c>
      <c r="AH1289">
        <v>18.66</v>
      </c>
      <c r="AI1289">
        <v>449.76</v>
      </c>
      <c r="AJ1289" t="s">
        <v>2</v>
      </c>
      <c r="AK1289" t="s">
        <v>11</v>
      </c>
    </row>
    <row r="1290" spans="1:37">
      <c r="A1290">
        <v>257848</v>
      </c>
      <c r="B1290" s="1">
        <v>45366</v>
      </c>
      <c r="C1290" t="s">
        <v>1305</v>
      </c>
      <c r="D1290" t="s">
        <v>1306</v>
      </c>
      <c r="E1290" t="s">
        <v>2</v>
      </c>
      <c r="F1290" t="s">
        <v>1307</v>
      </c>
      <c r="G1290" t="s">
        <v>28</v>
      </c>
      <c r="H1290">
        <v>34233</v>
      </c>
      <c r="I1290" t="s">
        <v>1305</v>
      </c>
      <c r="J1290" t="s">
        <v>1306</v>
      </c>
      <c r="K1290" t="s">
        <v>2</v>
      </c>
      <c r="L1290" t="s">
        <v>1307</v>
      </c>
      <c r="M1290" t="s">
        <v>28</v>
      </c>
      <c r="N1290">
        <v>34233</v>
      </c>
      <c r="O1290" t="s">
        <v>1312</v>
      </c>
      <c r="P1290" t="s">
        <v>1946</v>
      </c>
      <c r="Q1290" t="s">
        <v>21</v>
      </c>
      <c r="R1290">
        <v>415253</v>
      </c>
      <c r="S1290" t="s">
        <v>84</v>
      </c>
      <c r="T1290" s="2">
        <v>191</v>
      </c>
      <c r="U1290">
        <v>0</v>
      </c>
      <c r="V1290" t="s">
        <v>260</v>
      </c>
      <c r="W1290">
        <v>2</v>
      </c>
      <c r="X1290">
        <v>2</v>
      </c>
      <c r="Y1290">
        <v>0</v>
      </c>
      <c r="Z1290" t="s">
        <v>2140</v>
      </c>
      <c r="AA1290" t="s">
        <v>2141</v>
      </c>
      <c r="AB1290" t="s">
        <v>14</v>
      </c>
      <c r="AC1290">
        <v>1.9067000000000001</v>
      </c>
      <c r="AD1290">
        <v>3.81</v>
      </c>
      <c r="AE1290">
        <v>726182084082</v>
      </c>
      <c r="AF1290">
        <v>431.1</v>
      </c>
      <c r="AG1290">
        <v>0</v>
      </c>
      <c r="AH1290">
        <v>18.66</v>
      </c>
      <c r="AI1290">
        <v>449.76</v>
      </c>
      <c r="AJ1290" t="s">
        <v>2</v>
      </c>
      <c r="AK1290" t="s">
        <v>11</v>
      </c>
    </row>
    <row r="1291" spans="1:37">
      <c r="A1291">
        <v>257848</v>
      </c>
      <c r="B1291" s="1">
        <v>45366</v>
      </c>
      <c r="C1291" t="s">
        <v>1305</v>
      </c>
      <c r="D1291" t="s">
        <v>1306</v>
      </c>
      <c r="E1291" t="s">
        <v>2</v>
      </c>
      <c r="F1291" t="s">
        <v>1307</v>
      </c>
      <c r="G1291" t="s">
        <v>28</v>
      </c>
      <c r="H1291">
        <v>34233</v>
      </c>
      <c r="I1291" t="s">
        <v>1305</v>
      </c>
      <c r="J1291" t="s">
        <v>1306</v>
      </c>
      <c r="K1291" t="s">
        <v>2</v>
      </c>
      <c r="L1291" t="s">
        <v>1307</v>
      </c>
      <c r="M1291" t="s">
        <v>28</v>
      </c>
      <c r="N1291">
        <v>34233</v>
      </c>
      <c r="O1291" t="s">
        <v>1312</v>
      </c>
      <c r="P1291" t="s">
        <v>1946</v>
      </c>
      <c r="Q1291" t="s">
        <v>21</v>
      </c>
      <c r="R1291">
        <v>415253</v>
      </c>
      <c r="S1291" t="s">
        <v>84</v>
      </c>
      <c r="T1291" s="2">
        <v>191</v>
      </c>
      <c r="U1291">
        <v>0</v>
      </c>
      <c r="V1291" t="s">
        <v>260</v>
      </c>
      <c r="W1291">
        <v>0</v>
      </c>
      <c r="X1291">
        <v>0</v>
      </c>
      <c r="Y1291">
        <v>0</v>
      </c>
      <c r="Z1291" t="s">
        <v>88</v>
      </c>
      <c r="AA1291" t="s">
        <v>1765</v>
      </c>
      <c r="AB1291" t="s">
        <v>10</v>
      </c>
      <c r="AC1291">
        <v>0</v>
      </c>
      <c r="AD1291">
        <v>0</v>
      </c>
      <c r="AE1291">
        <v>726182084082</v>
      </c>
      <c r="AF1291">
        <v>431.1</v>
      </c>
      <c r="AG1291">
        <v>0</v>
      </c>
      <c r="AH1291">
        <v>18.66</v>
      </c>
      <c r="AI1291">
        <v>449.76</v>
      </c>
      <c r="AJ1291" t="s">
        <v>2</v>
      </c>
      <c r="AK1291" t="s">
        <v>11</v>
      </c>
    </row>
    <row r="1292" spans="1:37">
      <c r="A1292">
        <v>257848</v>
      </c>
      <c r="B1292" s="1">
        <v>45366</v>
      </c>
      <c r="C1292" t="s">
        <v>1305</v>
      </c>
      <c r="D1292" t="s">
        <v>1306</v>
      </c>
      <c r="E1292" t="s">
        <v>2</v>
      </c>
      <c r="F1292" t="s">
        <v>1307</v>
      </c>
      <c r="G1292" t="s">
        <v>28</v>
      </c>
      <c r="H1292">
        <v>34233</v>
      </c>
      <c r="I1292" t="s">
        <v>1305</v>
      </c>
      <c r="J1292" t="s">
        <v>1306</v>
      </c>
      <c r="K1292" t="s">
        <v>2</v>
      </c>
      <c r="L1292" t="s">
        <v>1307</v>
      </c>
      <c r="M1292" t="s">
        <v>28</v>
      </c>
      <c r="N1292">
        <v>34233</v>
      </c>
      <c r="O1292" t="s">
        <v>1312</v>
      </c>
      <c r="P1292" t="s">
        <v>1946</v>
      </c>
      <c r="Q1292" t="s">
        <v>21</v>
      </c>
      <c r="R1292">
        <v>415253</v>
      </c>
      <c r="S1292" t="s">
        <v>84</v>
      </c>
      <c r="T1292" s="2">
        <v>191</v>
      </c>
      <c r="U1292">
        <v>0</v>
      </c>
      <c r="V1292" t="s">
        <v>260</v>
      </c>
      <c r="W1292">
        <v>1</v>
      </c>
      <c r="X1292">
        <v>1</v>
      </c>
      <c r="Y1292">
        <v>0</v>
      </c>
      <c r="Z1292" t="s">
        <v>2142</v>
      </c>
      <c r="AA1292" t="s">
        <v>2143</v>
      </c>
      <c r="AB1292" t="s">
        <v>14</v>
      </c>
      <c r="AC1292">
        <v>2.1520999999999999</v>
      </c>
      <c r="AD1292">
        <v>2.15</v>
      </c>
      <c r="AE1292">
        <v>726182084082</v>
      </c>
      <c r="AF1292">
        <v>431.1</v>
      </c>
      <c r="AG1292">
        <v>0</v>
      </c>
      <c r="AH1292">
        <v>18.66</v>
      </c>
      <c r="AI1292">
        <v>449.76</v>
      </c>
      <c r="AJ1292" t="s">
        <v>2</v>
      </c>
      <c r="AK1292" t="s">
        <v>11</v>
      </c>
    </row>
    <row r="1293" spans="1:37">
      <c r="A1293">
        <v>257848</v>
      </c>
      <c r="B1293" s="1">
        <v>45366</v>
      </c>
      <c r="C1293" t="s">
        <v>1305</v>
      </c>
      <c r="D1293" t="s">
        <v>1306</v>
      </c>
      <c r="E1293" t="s">
        <v>2</v>
      </c>
      <c r="F1293" t="s">
        <v>1307</v>
      </c>
      <c r="G1293" t="s">
        <v>28</v>
      </c>
      <c r="H1293">
        <v>34233</v>
      </c>
      <c r="I1293" t="s">
        <v>1305</v>
      </c>
      <c r="J1293" t="s">
        <v>1306</v>
      </c>
      <c r="K1293" t="s">
        <v>2</v>
      </c>
      <c r="L1293" t="s">
        <v>1307</v>
      </c>
      <c r="M1293" t="s">
        <v>28</v>
      </c>
      <c r="N1293">
        <v>34233</v>
      </c>
      <c r="O1293" t="s">
        <v>1312</v>
      </c>
      <c r="P1293" t="s">
        <v>1946</v>
      </c>
      <c r="Q1293" t="s">
        <v>21</v>
      </c>
      <c r="R1293">
        <v>415253</v>
      </c>
      <c r="S1293" t="s">
        <v>84</v>
      </c>
      <c r="T1293" s="2">
        <v>191</v>
      </c>
      <c r="U1293">
        <v>0</v>
      </c>
      <c r="V1293" t="s">
        <v>260</v>
      </c>
      <c r="W1293">
        <v>0</v>
      </c>
      <c r="X1293">
        <v>0</v>
      </c>
      <c r="Y1293">
        <v>0</v>
      </c>
      <c r="Z1293" t="s">
        <v>88</v>
      </c>
      <c r="AA1293" t="s">
        <v>1702</v>
      </c>
      <c r="AB1293" t="s">
        <v>10</v>
      </c>
      <c r="AC1293">
        <v>0</v>
      </c>
      <c r="AD1293">
        <v>0</v>
      </c>
      <c r="AE1293">
        <v>726182084082</v>
      </c>
      <c r="AF1293">
        <v>431.1</v>
      </c>
      <c r="AG1293">
        <v>0</v>
      </c>
      <c r="AH1293">
        <v>18.66</v>
      </c>
      <c r="AI1293">
        <v>449.76</v>
      </c>
      <c r="AJ1293" t="s">
        <v>2</v>
      </c>
      <c r="AK1293" t="s">
        <v>11</v>
      </c>
    </row>
    <row r="1294" spans="1:37">
      <c r="A1294">
        <v>257848</v>
      </c>
      <c r="B1294" s="1">
        <v>45366</v>
      </c>
      <c r="C1294" t="s">
        <v>1305</v>
      </c>
      <c r="D1294" t="s">
        <v>1306</v>
      </c>
      <c r="E1294" t="s">
        <v>2</v>
      </c>
      <c r="F1294" t="s">
        <v>1307</v>
      </c>
      <c r="G1294" t="s">
        <v>28</v>
      </c>
      <c r="H1294">
        <v>34233</v>
      </c>
      <c r="I1294" t="s">
        <v>1305</v>
      </c>
      <c r="J1294" t="s">
        <v>1306</v>
      </c>
      <c r="K1294" t="s">
        <v>2</v>
      </c>
      <c r="L1294" t="s">
        <v>1307</v>
      </c>
      <c r="M1294" t="s">
        <v>28</v>
      </c>
      <c r="N1294">
        <v>34233</v>
      </c>
      <c r="O1294" t="s">
        <v>1312</v>
      </c>
      <c r="P1294" t="s">
        <v>1946</v>
      </c>
      <c r="Q1294" t="s">
        <v>21</v>
      </c>
      <c r="R1294">
        <v>415253</v>
      </c>
      <c r="S1294" t="s">
        <v>84</v>
      </c>
      <c r="T1294" s="2">
        <v>191</v>
      </c>
      <c r="U1294">
        <v>0</v>
      </c>
      <c r="V1294" t="s">
        <v>260</v>
      </c>
      <c r="W1294">
        <v>1</v>
      </c>
      <c r="X1294">
        <v>1</v>
      </c>
      <c r="Y1294">
        <v>0</v>
      </c>
      <c r="Z1294" t="s">
        <v>2144</v>
      </c>
      <c r="AA1294" t="s">
        <v>2145</v>
      </c>
      <c r="AB1294" t="s">
        <v>14</v>
      </c>
      <c r="AC1294">
        <v>2.1520999999999999</v>
      </c>
      <c r="AD1294">
        <v>2.15</v>
      </c>
      <c r="AE1294">
        <v>726182084082</v>
      </c>
      <c r="AF1294">
        <v>431.1</v>
      </c>
      <c r="AG1294">
        <v>0</v>
      </c>
      <c r="AH1294">
        <v>18.66</v>
      </c>
      <c r="AI1294">
        <v>449.76</v>
      </c>
      <c r="AJ1294" t="s">
        <v>2</v>
      </c>
      <c r="AK1294" t="s">
        <v>11</v>
      </c>
    </row>
    <row r="1295" spans="1:37">
      <c r="A1295">
        <v>257848</v>
      </c>
      <c r="B1295" s="1">
        <v>45366</v>
      </c>
      <c r="C1295" t="s">
        <v>1305</v>
      </c>
      <c r="D1295" t="s">
        <v>1306</v>
      </c>
      <c r="E1295" t="s">
        <v>2</v>
      </c>
      <c r="F1295" t="s">
        <v>1307</v>
      </c>
      <c r="G1295" t="s">
        <v>28</v>
      </c>
      <c r="H1295">
        <v>34233</v>
      </c>
      <c r="I1295" t="s">
        <v>1305</v>
      </c>
      <c r="J1295" t="s">
        <v>1306</v>
      </c>
      <c r="K1295" t="s">
        <v>2</v>
      </c>
      <c r="L1295" t="s">
        <v>1307</v>
      </c>
      <c r="M1295" t="s">
        <v>28</v>
      </c>
      <c r="N1295">
        <v>34233</v>
      </c>
      <c r="O1295" t="s">
        <v>1312</v>
      </c>
      <c r="P1295" t="s">
        <v>1946</v>
      </c>
      <c r="Q1295" t="s">
        <v>21</v>
      </c>
      <c r="R1295">
        <v>415253</v>
      </c>
      <c r="S1295" t="s">
        <v>84</v>
      </c>
      <c r="T1295" s="2">
        <v>191</v>
      </c>
      <c r="U1295">
        <v>0</v>
      </c>
      <c r="V1295" t="s">
        <v>260</v>
      </c>
      <c r="W1295">
        <v>0</v>
      </c>
      <c r="X1295">
        <v>0</v>
      </c>
      <c r="Y1295">
        <v>0</v>
      </c>
      <c r="Z1295" t="s">
        <v>88</v>
      </c>
      <c r="AA1295" t="s">
        <v>1702</v>
      </c>
      <c r="AB1295" t="s">
        <v>10</v>
      </c>
      <c r="AC1295">
        <v>0</v>
      </c>
      <c r="AD1295">
        <v>0</v>
      </c>
      <c r="AE1295">
        <v>726182084082</v>
      </c>
      <c r="AF1295">
        <v>431.1</v>
      </c>
      <c r="AG1295">
        <v>0</v>
      </c>
      <c r="AH1295">
        <v>18.66</v>
      </c>
      <c r="AI1295">
        <v>449.76</v>
      </c>
      <c r="AJ1295" t="s">
        <v>2</v>
      </c>
      <c r="AK1295" t="s">
        <v>11</v>
      </c>
    </row>
    <row r="1296" spans="1:37">
      <c r="A1296">
        <v>257848</v>
      </c>
      <c r="B1296" s="1">
        <v>45366</v>
      </c>
      <c r="C1296" t="s">
        <v>1305</v>
      </c>
      <c r="D1296" t="s">
        <v>1306</v>
      </c>
      <c r="E1296" t="s">
        <v>2</v>
      </c>
      <c r="F1296" t="s">
        <v>1307</v>
      </c>
      <c r="G1296" t="s">
        <v>28</v>
      </c>
      <c r="H1296">
        <v>34233</v>
      </c>
      <c r="I1296" t="s">
        <v>1305</v>
      </c>
      <c r="J1296" t="s">
        <v>1306</v>
      </c>
      <c r="K1296" t="s">
        <v>2</v>
      </c>
      <c r="L1296" t="s">
        <v>1307</v>
      </c>
      <c r="M1296" t="s">
        <v>28</v>
      </c>
      <c r="N1296">
        <v>34233</v>
      </c>
      <c r="O1296" t="s">
        <v>1312</v>
      </c>
      <c r="P1296" t="s">
        <v>1946</v>
      </c>
      <c r="Q1296" t="s">
        <v>21</v>
      </c>
      <c r="R1296">
        <v>415253</v>
      </c>
      <c r="S1296" t="s">
        <v>84</v>
      </c>
      <c r="T1296" s="2">
        <v>191</v>
      </c>
      <c r="U1296">
        <v>0</v>
      </c>
      <c r="V1296" t="s">
        <v>260</v>
      </c>
      <c r="W1296">
        <v>1</v>
      </c>
      <c r="X1296">
        <v>1</v>
      </c>
      <c r="Y1296">
        <v>0</v>
      </c>
      <c r="Z1296" t="s">
        <v>2146</v>
      </c>
      <c r="AA1296" t="s">
        <v>2147</v>
      </c>
      <c r="AB1296" t="s">
        <v>14</v>
      </c>
      <c r="AC1296">
        <v>2.1520999999999999</v>
      </c>
      <c r="AD1296">
        <v>2.15</v>
      </c>
      <c r="AE1296">
        <v>726182084082</v>
      </c>
      <c r="AF1296">
        <v>431.1</v>
      </c>
      <c r="AG1296">
        <v>0</v>
      </c>
      <c r="AH1296">
        <v>18.66</v>
      </c>
      <c r="AI1296">
        <v>449.76</v>
      </c>
      <c r="AJ1296" t="s">
        <v>2</v>
      </c>
      <c r="AK1296" t="s">
        <v>11</v>
      </c>
    </row>
    <row r="1297" spans="1:37">
      <c r="A1297">
        <v>257848</v>
      </c>
      <c r="B1297" s="1">
        <v>45366</v>
      </c>
      <c r="C1297" t="s">
        <v>1305</v>
      </c>
      <c r="D1297" t="s">
        <v>1306</v>
      </c>
      <c r="E1297" t="s">
        <v>2</v>
      </c>
      <c r="F1297" t="s">
        <v>1307</v>
      </c>
      <c r="G1297" t="s">
        <v>28</v>
      </c>
      <c r="H1297">
        <v>34233</v>
      </c>
      <c r="I1297" t="s">
        <v>1305</v>
      </c>
      <c r="J1297" t="s">
        <v>1306</v>
      </c>
      <c r="K1297" t="s">
        <v>2</v>
      </c>
      <c r="L1297" t="s">
        <v>1307</v>
      </c>
      <c r="M1297" t="s">
        <v>28</v>
      </c>
      <c r="N1297">
        <v>34233</v>
      </c>
      <c r="O1297" t="s">
        <v>1312</v>
      </c>
      <c r="P1297" t="s">
        <v>1946</v>
      </c>
      <c r="Q1297" t="s">
        <v>21</v>
      </c>
      <c r="R1297">
        <v>415253</v>
      </c>
      <c r="S1297" t="s">
        <v>84</v>
      </c>
      <c r="T1297" s="2">
        <v>191</v>
      </c>
      <c r="U1297">
        <v>0</v>
      </c>
      <c r="V1297" t="s">
        <v>260</v>
      </c>
      <c r="W1297">
        <v>0</v>
      </c>
      <c r="X1297">
        <v>0</v>
      </c>
      <c r="Y1297">
        <v>0</v>
      </c>
      <c r="Z1297" t="s">
        <v>88</v>
      </c>
      <c r="AA1297" t="s">
        <v>1702</v>
      </c>
      <c r="AB1297" t="s">
        <v>10</v>
      </c>
      <c r="AC1297">
        <v>0</v>
      </c>
      <c r="AD1297">
        <v>0</v>
      </c>
      <c r="AE1297">
        <v>726182084082</v>
      </c>
      <c r="AF1297">
        <v>431.1</v>
      </c>
      <c r="AG1297">
        <v>0</v>
      </c>
      <c r="AH1297">
        <v>18.66</v>
      </c>
      <c r="AI1297">
        <v>449.76</v>
      </c>
      <c r="AJ1297" t="s">
        <v>2</v>
      </c>
      <c r="AK1297" t="s">
        <v>11</v>
      </c>
    </row>
    <row r="1298" spans="1:37">
      <c r="A1298">
        <v>257848</v>
      </c>
      <c r="B1298" s="1">
        <v>45366</v>
      </c>
      <c r="C1298" t="s">
        <v>1305</v>
      </c>
      <c r="D1298" t="s">
        <v>1306</v>
      </c>
      <c r="E1298" t="s">
        <v>2</v>
      </c>
      <c r="F1298" t="s">
        <v>1307</v>
      </c>
      <c r="G1298" t="s">
        <v>28</v>
      </c>
      <c r="H1298">
        <v>34233</v>
      </c>
      <c r="I1298" t="s">
        <v>1305</v>
      </c>
      <c r="J1298" t="s">
        <v>1306</v>
      </c>
      <c r="K1298" t="s">
        <v>2</v>
      </c>
      <c r="L1298" t="s">
        <v>1307</v>
      </c>
      <c r="M1298" t="s">
        <v>28</v>
      </c>
      <c r="N1298">
        <v>34233</v>
      </c>
      <c r="O1298" t="s">
        <v>1312</v>
      </c>
      <c r="P1298" t="s">
        <v>1946</v>
      </c>
      <c r="Q1298" t="s">
        <v>21</v>
      </c>
      <c r="R1298">
        <v>415253</v>
      </c>
      <c r="S1298" t="s">
        <v>84</v>
      </c>
      <c r="T1298" s="2">
        <v>191</v>
      </c>
      <c r="U1298">
        <v>0</v>
      </c>
      <c r="V1298" t="s">
        <v>260</v>
      </c>
      <c r="W1298">
        <v>1</v>
      </c>
      <c r="X1298">
        <v>1</v>
      </c>
      <c r="Y1298">
        <v>0</v>
      </c>
      <c r="Z1298" t="s">
        <v>2148</v>
      </c>
      <c r="AA1298" t="s">
        <v>2149</v>
      </c>
      <c r="AB1298" t="s">
        <v>14</v>
      </c>
      <c r="AC1298">
        <v>2.1520999999999999</v>
      </c>
      <c r="AD1298">
        <v>2.15</v>
      </c>
      <c r="AE1298">
        <v>726182084082</v>
      </c>
      <c r="AF1298">
        <v>431.1</v>
      </c>
      <c r="AG1298">
        <v>0</v>
      </c>
      <c r="AH1298">
        <v>18.66</v>
      </c>
      <c r="AI1298">
        <v>449.76</v>
      </c>
      <c r="AJ1298" t="s">
        <v>2</v>
      </c>
      <c r="AK1298" t="s">
        <v>11</v>
      </c>
    </row>
    <row r="1299" spans="1:37">
      <c r="A1299">
        <v>257848</v>
      </c>
      <c r="B1299" s="1">
        <v>45366</v>
      </c>
      <c r="C1299" t="s">
        <v>1305</v>
      </c>
      <c r="D1299" t="s">
        <v>1306</v>
      </c>
      <c r="E1299" t="s">
        <v>2</v>
      </c>
      <c r="F1299" t="s">
        <v>1307</v>
      </c>
      <c r="G1299" t="s">
        <v>28</v>
      </c>
      <c r="H1299">
        <v>34233</v>
      </c>
      <c r="I1299" t="s">
        <v>1305</v>
      </c>
      <c r="J1299" t="s">
        <v>1306</v>
      </c>
      <c r="K1299" t="s">
        <v>2</v>
      </c>
      <c r="L1299" t="s">
        <v>1307</v>
      </c>
      <c r="M1299" t="s">
        <v>28</v>
      </c>
      <c r="N1299">
        <v>34233</v>
      </c>
      <c r="O1299" t="s">
        <v>1312</v>
      </c>
      <c r="P1299" t="s">
        <v>1946</v>
      </c>
      <c r="Q1299" t="s">
        <v>21</v>
      </c>
      <c r="R1299">
        <v>415253</v>
      </c>
      <c r="S1299" t="s">
        <v>84</v>
      </c>
      <c r="T1299" s="2">
        <v>191</v>
      </c>
      <c r="U1299">
        <v>0</v>
      </c>
      <c r="V1299" t="s">
        <v>260</v>
      </c>
      <c r="W1299">
        <v>0</v>
      </c>
      <c r="X1299">
        <v>0</v>
      </c>
      <c r="Y1299">
        <v>0</v>
      </c>
      <c r="Z1299" t="s">
        <v>88</v>
      </c>
      <c r="AA1299" t="s">
        <v>1702</v>
      </c>
      <c r="AB1299" t="s">
        <v>10</v>
      </c>
      <c r="AC1299">
        <v>0</v>
      </c>
      <c r="AD1299">
        <v>0</v>
      </c>
      <c r="AE1299">
        <v>726182084082</v>
      </c>
      <c r="AF1299">
        <v>431.1</v>
      </c>
      <c r="AG1299">
        <v>0</v>
      </c>
      <c r="AH1299">
        <v>18.66</v>
      </c>
      <c r="AI1299">
        <v>449.76</v>
      </c>
      <c r="AJ1299" t="s">
        <v>2</v>
      </c>
      <c r="AK1299" t="s">
        <v>11</v>
      </c>
    </row>
    <row r="1300" spans="1:37">
      <c r="A1300">
        <v>257848</v>
      </c>
      <c r="B1300" s="1">
        <v>45366</v>
      </c>
      <c r="C1300" t="s">
        <v>1305</v>
      </c>
      <c r="D1300" t="s">
        <v>1306</v>
      </c>
      <c r="E1300" t="s">
        <v>2</v>
      </c>
      <c r="F1300" t="s">
        <v>1307</v>
      </c>
      <c r="G1300" t="s">
        <v>28</v>
      </c>
      <c r="H1300">
        <v>34233</v>
      </c>
      <c r="I1300" t="s">
        <v>1305</v>
      </c>
      <c r="J1300" t="s">
        <v>1306</v>
      </c>
      <c r="K1300" t="s">
        <v>2</v>
      </c>
      <c r="L1300" t="s">
        <v>1307</v>
      </c>
      <c r="M1300" t="s">
        <v>28</v>
      </c>
      <c r="N1300">
        <v>34233</v>
      </c>
      <c r="O1300" t="s">
        <v>1312</v>
      </c>
      <c r="P1300" t="s">
        <v>1946</v>
      </c>
      <c r="Q1300" t="s">
        <v>21</v>
      </c>
      <c r="R1300">
        <v>415253</v>
      </c>
      <c r="S1300" t="s">
        <v>84</v>
      </c>
      <c r="T1300" s="2">
        <v>191</v>
      </c>
      <c r="U1300">
        <v>0</v>
      </c>
      <c r="V1300" t="s">
        <v>260</v>
      </c>
      <c r="W1300">
        <v>2</v>
      </c>
      <c r="X1300">
        <v>2</v>
      </c>
      <c r="Y1300">
        <v>0</v>
      </c>
      <c r="Z1300" t="s">
        <v>2150</v>
      </c>
      <c r="AA1300" t="s">
        <v>2151</v>
      </c>
      <c r="AB1300" t="s">
        <v>14</v>
      </c>
      <c r="AC1300">
        <v>2.1520999999999999</v>
      </c>
      <c r="AD1300">
        <v>4.3</v>
      </c>
      <c r="AE1300">
        <v>726182084082</v>
      </c>
      <c r="AF1300">
        <v>431.1</v>
      </c>
      <c r="AG1300">
        <v>0</v>
      </c>
      <c r="AH1300">
        <v>18.66</v>
      </c>
      <c r="AI1300">
        <v>449.76</v>
      </c>
      <c r="AJ1300" t="s">
        <v>2</v>
      </c>
      <c r="AK1300" t="s">
        <v>11</v>
      </c>
    </row>
    <row r="1301" spans="1:37">
      <c r="A1301">
        <v>257848</v>
      </c>
      <c r="B1301" s="1">
        <v>45366</v>
      </c>
      <c r="C1301" t="s">
        <v>1305</v>
      </c>
      <c r="D1301" t="s">
        <v>1306</v>
      </c>
      <c r="E1301" t="s">
        <v>2</v>
      </c>
      <c r="F1301" t="s">
        <v>1307</v>
      </c>
      <c r="G1301" t="s">
        <v>28</v>
      </c>
      <c r="H1301">
        <v>34233</v>
      </c>
      <c r="I1301" t="s">
        <v>1305</v>
      </c>
      <c r="J1301" t="s">
        <v>1306</v>
      </c>
      <c r="K1301" t="s">
        <v>2</v>
      </c>
      <c r="L1301" t="s">
        <v>1307</v>
      </c>
      <c r="M1301" t="s">
        <v>28</v>
      </c>
      <c r="N1301">
        <v>34233</v>
      </c>
      <c r="O1301" t="s">
        <v>1312</v>
      </c>
      <c r="P1301" t="s">
        <v>1946</v>
      </c>
      <c r="Q1301" t="s">
        <v>21</v>
      </c>
      <c r="R1301">
        <v>415253</v>
      </c>
      <c r="S1301" t="s">
        <v>84</v>
      </c>
      <c r="T1301" s="2">
        <v>191</v>
      </c>
      <c r="U1301">
        <v>0</v>
      </c>
      <c r="V1301" t="s">
        <v>260</v>
      </c>
      <c r="W1301">
        <v>0</v>
      </c>
      <c r="X1301">
        <v>0</v>
      </c>
      <c r="Y1301">
        <v>0</v>
      </c>
      <c r="Z1301" t="s">
        <v>88</v>
      </c>
      <c r="AA1301" t="s">
        <v>1702</v>
      </c>
      <c r="AB1301" t="s">
        <v>10</v>
      </c>
      <c r="AC1301">
        <v>0</v>
      </c>
      <c r="AD1301">
        <v>0</v>
      </c>
      <c r="AE1301">
        <v>726182084082</v>
      </c>
      <c r="AF1301">
        <v>431.1</v>
      </c>
      <c r="AG1301">
        <v>0</v>
      </c>
      <c r="AH1301">
        <v>18.66</v>
      </c>
      <c r="AI1301">
        <v>449.76</v>
      </c>
      <c r="AJ1301" t="s">
        <v>2</v>
      </c>
      <c r="AK1301" t="s">
        <v>11</v>
      </c>
    </row>
    <row r="1302" spans="1:37">
      <c r="A1302">
        <v>257848</v>
      </c>
      <c r="B1302" s="1">
        <v>45366</v>
      </c>
      <c r="C1302" t="s">
        <v>1305</v>
      </c>
      <c r="D1302" t="s">
        <v>1306</v>
      </c>
      <c r="E1302" t="s">
        <v>2</v>
      </c>
      <c r="F1302" t="s">
        <v>1307</v>
      </c>
      <c r="G1302" t="s">
        <v>28</v>
      </c>
      <c r="H1302">
        <v>34233</v>
      </c>
      <c r="I1302" t="s">
        <v>1305</v>
      </c>
      <c r="J1302" t="s">
        <v>1306</v>
      </c>
      <c r="K1302" t="s">
        <v>2</v>
      </c>
      <c r="L1302" t="s">
        <v>1307</v>
      </c>
      <c r="M1302" t="s">
        <v>28</v>
      </c>
      <c r="N1302">
        <v>34233</v>
      </c>
      <c r="O1302" t="s">
        <v>1312</v>
      </c>
      <c r="P1302" t="s">
        <v>1946</v>
      </c>
      <c r="Q1302" t="s">
        <v>21</v>
      </c>
      <c r="R1302">
        <v>415253</v>
      </c>
      <c r="S1302" t="s">
        <v>84</v>
      </c>
      <c r="T1302" s="2">
        <v>191</v>
      </c>
      <c r="U1302">
        <v>0</v>
      </c>
      <c r="V1302" t="s">
        <v>260</v>
      </c>
      <c r="W1302">
        <v>3</v>
      </c>
      <c r="X1302">
        <v>3</v>
      </c>
      <c r="Y1302">
        <v>0</v>
      </c>
      <c r="Z1302" t="s">
        <v>2152</v>
      </c>
      <c r="AA1302" t="s">
        <v>2153</v>
      </c>
      <c r="AB1302" t="s">
        <v>14</v>
      </c>
      <c r="AC1302">
        <v>2.4281999999999999</v>
      </c>
      <c r="AD1302">
        <v>7.28</v>
      </c>
      <c r="AE1302">
        <v>726182084082</v>
      </c>
      <c r="AF1302">
        <v>431.1</v>
      </c>
      <c r="AG1302">
        <v>0</v>
      </c>
      <c r="AH1302">
        <v>18.66</v>
      </c>
      <c r="AI1302">
        <v>449.76</v>
      </c>
      <c r="AJ1302" t="s">
        <v>2</v>
      </c>
      <c r="AK1302" t="s">
        <v>11</v>
      </c>
    </row>
    <row r="1303" spans="1:37">
      <c r="A1303">
        <v>257848</v>
      </c>
      <c r="B1303" s="1">
        <v>45366</v>
      </c>
      <c r="C1303" t="s">
        <v>1305</v>
      </c>
      <c r="D1303" t="s">
        <v>1306</v>
      </c>
      <c r="E1303" t="s">
        <v>2</v>
      </c>
      <c r="F1303" t="s">
        <v>1307</v>
      </c>
      <c r="G1303" t="s">
        <v>28</v>
      </c>
      <c r="H1303">
        <v>34233</v>
      </c>
      <c r="I1303" t="s">
        <v>1305</v>
      </c>
      <c r="J1303" t="s">
        <v>1306</v>
      </c>
      <c r="K1303" t="s">
        <v>2</v>
      </c>
      <c r="L1303" t="s">
        <v>1307</v>
      </c>
      <c r="M1303" t="s">
        <v>28</v>
      </c>
      <c r="N1303">
        <v>34233</v>
      </c>
      <c r="O1303" t="s">
        <v>1312</v>
      </c>
      <c r="P1303" t="s">
        <v>1946</v>
      </c>
      <c r="Q1303" t="s">
        <v>21</v>
      </c>
      <c r="R1303">
        <v>415253</v>
      </c>
      <c r="S1303" t="s">
        <v>84</v>
      </c>
      <c r="T1303" s="2">
        <v>191</v>
      </c>
      <c r="U1303">
        <v>0</v>
      </c>
      <c r="V1303" t="s">
        <v>260</v>
      </c>
      <c r="W1303">
        <v>0</v>
      </c>
      <c r="X1303">
        <v>0</v>
      </c>
      <c r="Y1303">
        <v>0</v>
      </c>
      <c r="Z1303" t="s">
        <v>88</v>
      </c>
      <c r="AA1303" t="s">
        <v>434</v>
      </c>
      <c r="AB1303" t="s">
        <v>10</v>
      </c>
      <c r="AC1303">
        <v>0</v>
      </c>
      <c r="AD1303">
        <v>0</v>
      </c>
      <c r="AE1303">
        <v>726182084082</v>
      </c>
      <c r="AF1303">
        <v>431.1</v>
      </c>
      <c r="AG1303">
        <v>0</v>
      </c>
      <c r="AH1303">
        <v>18.66</v>
      </c>
      <c r="AI1303">
        <v>449.76</v>
      </c>
      <c r="AJ1303" t="s">
        <v>2</v>
      </c>
      <c r="AK1303" t="s">
        <v>11</v>
      </c>
    </row>
    <row r="1304" spans="1:37">
      <c r="A1304">
        <v>257848</v>
      </c>
      <c r="B1304" s="1">
        <v>45366</v>
      </c>
      <c r="C1304" t="s">
        <v>1305</v>
      </c>
      <c r="D1304" t="s">
        <v>1306</v>
      </c>
      <c r="E1304" t="s">
        <v>2</v>
      </c>
      <c r="F1304" t="s">
        <v>1307</v>
      </c>
      <c r="G1304" t="s">
        <v>28</v>
      </c>
      <c r="H1304">
        <v>34233</v>
      </c>
      <c r="I1304" t="s">
        <v>1305</v>
      </c>
      <c r="J1304" t="s">
        <v>1306</v>
      </c>
      <c r="K1304" t="s">
        <v>2</v>
      </c>
      <c r="L1304" t="s">
        <v>1307</v>
      </c>
      <c r="M1304" t="s">
        <v>28</v>
      </c>
      <c r="N1304">
        <v>34233</v>
      </c>
      <c r="O1304" t="s">
        <v>1312</v>
      </c>
      <c r="P1304" t="s">
        <v>1946</v>
      </c>
      <c r="Q1304" t="s">
        <v>21</v>
      </c>
      <c r="R1304">
        <v>415253</v>
      </c>
      <c r="S1304" t="s">
        <v>84</v>
      </c>
      <c r="T1304" s="2">
        <v>191</v>
      </c>
      <c r="U1304">
        <v>0</v>
      </c>
      <c r="V1304" t="s">
        <v>260</v>
      </c>
      <c r="W1304">
        <v>5</v>
      </c>
      <c r="X1304">
        <v>5</v>
      </c>
      <c r="Y1304">
        <v>0</v>
      </c>
      <c r="Z1304" t="s">
        <v>2154</v>
      </c>
      <c r="AA1304" t="s">
        <v>2155</v>
      </c>
      <c r="AB1304" t="s">
        <v>14</v>
      </c>
      <c r="AC1304">
        <v>2.4281999999999999</v>
      </c>
      <c r="AD1304">
        <v>12.14</v>
      </c>
      <c r="AE1304">
        <v>726182084082</v>
      </c>
      <c r="AF1304">
        <v>431.1</v>
      </c>
      <c r="AG1304">
        <v>0</v>
      </c>
      <c r="AH1304">
        <v>18.66</v>
      </c>
      <c r="AI1304">
        <v>449.76</v>
      </c>
      <c r="AJ1304" t="s">
        <v>2</v>
      </c>
      <c r="AK1304" t="s">
        <v>11</v>
      </c>
    </row>
    <row r="1305" spans="1:37">
      <c r="A1305">
        <v>257848</v>
      </c>
      <c r="B1305" s="1">
        <v>45366</v>
      </c>
      <c r="C1305" t="s">
        <v>1305</v>
      </c>
      <c r="D1305" t="s">
        <v>1306</v>
      </c>
      <c r="E1305" t="s">
        <v>2</v>
      </c>
      <c r="F1305" t="s">
        <v>1307</v>
      </c>
      <c r="G1305" t="s">
        <v>28</v>
      </c>
      <c r="H1305">
        <v>34233</v>
      </c>
      <c r="I1305" t="s">
        <v>1305</v>
      </c>
      <c r="J1305" t="s">
        <v>1306</v>
      </c>
      <c r="K1305" t="s">
        <v>2</v>
      </c>
      <c r="L1305" t="s">
        <v>1307</v>
      </c>
      <c r="M1305" t="s">
        <v>28</v>
      </c>
      <c r="N1305">
        <v>34233</v>
      </c>
      <c r="O1305" t="s">
        <v>1312</v>
      </c>
      <c r="P1305" t="s">
        <v>1946</v>
      </c>
      <c r="Q1305" t="s">
        <v>21</v>
      </c>
      <c r="R1305">
        <v>415253</v>
      </c>
      <c r="S1305" t="s">
        <v>84</v>
      </c>
      <c r="T1305" s="2">
        <v>191</v>
      </c>
      <c r="U1305">
        <v>0</v>
      </c>
      <c r="V1305" t="s">
        <v>260</v>
      </c>
      <c r="W1305">
        <v>0</v>
      </c>
      <c r="X1305">
        <v>0</v>
      </c>
      <c r="Y1305">
        <v>0</v>
      </c>
      <c r="Z1305" t="s">
        <v>88</v>
      </c>
      <c r="AA1305" t="s">
        <v>434</v>
      </c>
      <c r="AB1305" t="s">
        <v>10</v>
      </c>
      <c r="AC1305">
        <v>0</v>
      </c>
      <c r="AD1305">
        <v>0</v>
      </c>
      <c r="AE1305">
        <v>726182084082</v>
      </c>
      <c r="AF1305">
        <v>431.1</v>
      </c>
      <c r="AG1305">
        <v>0</v>
      </c>
      <c r="AH1305">
        <v>18.66</v>
      </c>
      <c r="AI1305">
        <v>449.76</v>
      </c>
      <c r="AJ1305" t="s">
        <v>2</v>
      </c>
      <c r="AK1305" t="s">
        <v>11</v>
      </c>
    </row>
    <row r="1306" spans="1:37">
      <c r="A1306">
        <v>257688</v>
      </c>
      <c r="B1306" s="1">
        <v>45366</v>
      </c>
      <c r="C1306" t="s">
        <v>1305</v>
      </c>
      <c r="D1306" t="s">
        <v>1306</v>
      </c>
      <c r="E1306" t="s">
        <v>2</v>
      </c>
      <c r="F1306" t="s">
        <v>1307</v>
      </c>
      <c r="G1306" t="s">
        <v>28</v>
      </c>
      <c r="H1306">
        <v>34233</v>
      </c>
      <c r="I1306" t="s">
        <v>1305</v>
      </c>
      <c r="J1306" t="s">
        <v>1306</v>
      </c>
      <c r="K1306" t="s">
        <v>2</v>
      </c>
      <c r="L1306" t="s">
        <v>1307</v>
      </c>
      <c r="M1306" t="s">
        <v>28</v>
      </c>
      <c r="N1306">
        <v>34233</v>
      </c>
      <c r="O1306" t="s">
        <v>1312</v>
      </c>
      <c r="P1306" t="s">
        <v>2156</v>
      </c>
      <c r="Q1306" t="s">
        <v>21</v>
      </c>
      <c r="R1306">
        <v>415290</v>
      </c>
      <c r="S1306" t="s">
        <v>84</v>
      </c>
      <c r="T1306" s="2">
        <v>207</v>
      </c>
      <c r="U1306">
        <v>0</v>
      </c>
      <c r="V1306" t="s">
        <v>260</v>
      </c>
      <c r="W1306">
        <v>0</v>
      </c>
      <c r="X1306">
        <v>0</v>
      </c>
      <c r="Y1306">
        <v>0</v>
      </c>
      <c r="Z1306" t="s">
        <v>9</v>
      </c>
      <c r="AA1306" t="s">
        <v>2</v>
      </c>
      <c r="AB1306" t="s">
        <v>10</v>
      </c>
      <c r="AC1306">
        <v>0</v>
      </c>
      <c r="AD1306">
        <v>0</v>
      </c>
      <c r="AE1306">
        <v>726182084510</v>
      </c>
      <c r="AF1306">
        <v>399.61</v>
      </c>
      <c r="AG1306">
        <v>0</v>
      </c>
      <c r="AH1306">
        <v>15</v>
      </c>
      <c r="AI1306">
        <v>414.61</v>
      </c>
      <c r="AJ1306" t="s">
        <v>2</v>
      </c>
      <c r="AK1306" t="s">
        <v>11</v>
      </c>
    </row>
    <row r="1307" spans="1:37">
      <c r="A1307">
        <v>257688</v>
      </c>
      <c r="B1307" s="1">
        <v>45366</v>
      </c>
      <c r="C1307" t="s">
        <v>1305</v>
      </c>
      <c r="D1307" t="s">
        <v>1306</v>
      </c>
      <c r="E1307" t="s">
        <v>2</v>
      </c>
      <c r="F1307" t="s">
        <v>1307</v>
      </c>
      <c r="G1307" t="s">
        <v>28</v>
      </c>
      <c r="H1307">
        <v>34233</v>
      </c>
      <c r="I1307" t="s">
        <v>1305</v>
      </c>
      <c r="J1307" t="s">
        <v>1306</v>
      </c>
      <c r="K1307" t="s">
        <v>2</v>
      </c>
      <c r="L1307" t="s">
        <v>1307</v>
      </c>
      <c r="M1307" t="s">
        <v>28</v>
      </c>
      <c r="N1307">
        <v>34233</v>
      </c>
      <c r="O1307" t="s">
        <v>1312</v>
      </c>
      <c r="P1307" t="s">
        <v>2156</v>
      </c>
      <c r="Q1307" t="s">
        <v>21</v>
      </c>
      <c r="R1307">
        <v>415290</v>
      </c>
      <c r="S1307" t="s">
        <v>84</v>
      </c>
      <c r="T1307" s="2">
        <v>207</v>
      </c>
      <c r="U1307">
        <v>0</v>
      </c>
      <c r="V1307" t="s">
        <v>260</v>
      </c>
      <c r="W1307">
        <v>1</v>
      </c>
      <c r="X1307">
        <v>1</v>
      </c>
      <c r="Y1307">
        <v>0</v>
      </c>
      <c r="Z1307" t="s">
        <v>2157</v>
      </c>
      <c r="AA1307" t="s">
        <v>2158</v>
      </c>
      <c r="AB1307" t="s">
        <v>14</v>
      </c>
      <c r="AC1307">
        <v>2.1520999999999999</v>
      </c>
      <c r="AD1307">
        <v>2.15</v>
      </c>
      <c r="AE1307">
        <v>726182084510</v>
      </c>
      <c r="AF1307">
        <v>399.61</v>
      </c>
      <c r="AG1307">
        <v>0</v>
      </c>
      <c r="AH1307">
        <v>15</v>
      </c>
      <c r="AI1307">
        <v>414.61</v>
      </c>
      <c r="AJ1307" t="s">
        <v>2</v>
      </c>
      <c r="AK1307" t="s">
        <v>11</v>
      </c>
    </row>
    <row r="1308" spans="1:37">
      <c r="A1308">
        <v>257688</v>
      </c>
      <c r="B1308" s="1">
        <v>45366</v>
      </c>
      <c r="C1308" t="s">
        <v>1305</v>
      </c>
      <c r="D1308" t="s">
        <v>1306</v>
      </c>
      <c r="E1308" t="s">
        <v>2</v>
      </c>
      <c r="F1308" t="s">
        <v>1307</v>
      </c>
      <c r="G1308" t="s">
        <v>28</v>
      </c>
      <c r="H1308">
        <v>34233</v>
      </c>
      <c r="I1308" t="s">
        <v>1305</v>
      </c>
      <c r="J1308" t="s">
        <v>1306</v>
      </c>
      <c r="K1308" t="s">
        <v>2</v>
      </c>
      <c r="L1308" t="s">
        <v>1307</v>
      </c>
      <c r="M1308" t="s">
        <v>28</v>
      </c>
      <c r="N1308">
        <v>34233</v>
      </c>
      <c r="O1308" t="s">
        <v>1312</v>
      </c>
      <c r="P1308" t="s">
        <v>2156</v>
      </c>
      <c r="Q1308" t="s">
        <v>21</v>
      </c>
      <c r="R1308">
        <v>415290</v>
      </c>
      <c r="S1308" t="s">
        <v>84</v>
      </c>
      <c r="T1308" s="2">
        <v>207</v>
      </c>
      <c r="U1308">
        <v>0</v>
      </c>
      <c r="V1308" t="s">
        <v>260</v>
      </c>
      <c r="W1308">
        <v>0</v>
      </c>
      <c r="X1308">
        <v>0</v>
      </c>
      <c r="Y1308">
        <v>0</v>
      </c>
      <c r="Z1308" t="s">
        <v>88</v>
      </c>
      <c r="AA1308" t="s">
        <v>1702</v>
      </c>
      <c r="AB1308" t="s">
        <v>10</v>
      </c>
      <c r="AC1308">
        <v>0</v>
      </c>
      <c r="AD1308">
        <v>0</v>
      </c>
      <c r="AE1308">
        <v>726182084510</v>
      </c>
      <c r="AF1308">
        <v>399.61</v>
      </c>
      <c r="AG1308">
        <v>0</v>
      </c>
      <c r="AH1308">
        <v>15</v>
      </c>
      <c r="AI1308">
        <v>414.61</v>
      </c>
      <c r="AJ1308" t="s">
        <v>2</v>
      </c>
      <c r="AK1308" t="s">
        <v>11</v>
      </c>
    </row>
    <row r="1309" spans="1:37">
      <c r="A1309">
        <v>257688</v>
      </c>
      <c r="B1309" s="1">
        <v>45366</v>
      </c>
      <c r="C1309" t="s">
        <v>1305</v>
      </c>
      <c r="D1309" t="s">
        <v>1306</v>
      </c>
      <c r="E1309" t="s">
        <v>2</v>
      </c>
      <c r="F1309" t="s">
        <v>1307</v>
      </c>
      <c r="G1309" t="s">
        <v>28</v>
      </c>
      <c r="H1309">
        <v>34233</v>
      </c>
      <c r="I1309" t="s">
        <v>1305</v>
      </c>
      <c r="J1309" t="s">
        <v>1306</v>
      </c>
      <c r="K1309" t="s">
        <v>2</v>
      </c>
      <c r="L1309" t="s">
        <v>1307</v>
      </c>
      <c r="M1309" t="s">
        <v>28</v>
      </c>
      <c r="N1309">
        <v>34233</v>
      </c>
      <c r="O1309" t="s">
        <v>1312</v>
      </c>
      <c r="P1309" t="s">
        <v>2156</v>
      </c>
      <c r="Q1309" t="s">
        <v>21</v>
      </c>
      <c r="R1309">
        <v>415290</v>
      </c>
      <c r="S1309" t="s">
        <v>84</v>
      </c>
      <c r="T1309" s="2">
        <v>207</v>
      </c>
      <c r="U1309">
        <v>0</v>
      </c>
      <c r="V1309" t="s">
        <v>260</v>
      </c>
      <c r="W1309">
        <v>2</v>
      </c>
      <c r="X1309">
        <v>2</v>
      </c>
      <c r="Y1309">
        <v>0</v>
      </c>
      <c r="Z1309" t="s">
        <v>2159</v>
      </c>
      <c r="AA1309" t="s">
        <v>2160</v>
      </c>
      <c r="AB1309" t="s">
        <v>14</v>
      </c>
      <c r="AC1309">
        <v>2.1520999999999999</v>
      </c>
      <c r="AD1309">
        <v>4.3</v>
      </c>
      <c r="AE1309">
        <v>726182084510</v>
      </c>
      <c r="AF1309">
        <v>399.61</v>
      </c>
      <c r="AG1309">
        <v>0</v>
      </c>
      <c r="AH1309">
        <v>15</v>
      </c>
      <c r="AI1309">
        <v>414.61</v>
      </c>
      <c r="AJ1309" t="s">
        <v>2</v>
      </c>
      <c r="AK1309" t="s">
        <v>11</v>
      </c>
    </row>
    <row r="1310" spans="1:37">
      <c r="A1310">
        <v>257688</v>
      </c>
      <c r="B1310" s="1">
        <v>45366</v>
      </c>
      <c r="C1310" t="s">
        <v>1305</v>
      </c>
      <c r="D1310" t="s">
        <v>1306</v>
      </c>
      <c r="E1310" t="s">
        <v>2</v>
      </c>
      <c r="F1310" t="s">
        <v>1307</v>
      </c>
      <c r="G1310" t="s">
        <v>28</v>
      </c>
      <c r="H1310">
        <v>34233</v>
      </c>
      <c r="I1310" t="s">
        <v>1305</v>
      </c>
      <c r="J1310" t="s">
        <v>1306</v>
      </c>
      <c r="K1310" t="s">
        <v>2</v>
      </c>
      <c r="L1310" t="s">
        <v>1307</v>
      </c>
      <c r="M1310" t="s">
        <v>28</v>
      </c>
      <c r="N1310">
        <v>34233</v>
      </c>
      <c r="O1310" t="s">
        <v>1312</v>
      </c>
      <c r="P1310" t="s">
        <v>2156</v>
      </c>
      <c r="Q1310" t="s">
        <v>21</v>
      </c>
      <c r="R1310">
        <v>415290</v>
      </c>
      <c r="S1310" t="s">
        <v>84</v>
      </c>
      <c r="T1310" s="2">
        <v>207</v>
      </c>
      <c r="U1310">
        <v>0</v>
      </c>
      <c r="V1310" t="s">
        <v>260</v>
      </c>
      <c r="W1310">
        <v>0</v>
      </c>
      <c r="X1310">
        <v>0</v>
      </c>
      <c r="Y1310">
        <v>0</v>
      </c>
      <c r="Z1310" t="s">
        <v>88</v>
      </c>
      <c r="AA1310" t="s">
        <v>1702</v>
      </c>
      <c r="AB1310" t="s">
        <v>10</v>
      </c>
      <c r="AC1310">
        <v>0</v>
      </c>
      <c r="AD1310">
        <v>0</v>
      </c>
      <c r="AE1310">
        <v>726182084510</v>
      </c>
      <c r="AF1310">
        <v>399.61</v>
      </c>
      <c r="AG1310">
        <v>0</v>
      </c>
      <c r="AH1310">
        <v>15</v>
      </c>
      <c r="AI1310">
        <v>414.61</v>
      </c>
      <c r="AJ1310" t="s">
        <v>2</v>
      </c>
      <c r="AK1310" t="s">
        <v>11</v>
      </c>
    </row>
    <row r="1311" spans="1:37">
      <c r="A1311">
        <v>257688</v>
      </c>
      <c r="B1311" s="1">
        <v>45366</v>
      </c>
      <c r="C1311" t="s">
        <v>1305</v>
      </c>
      <c r="D1311" t="s">
        <v>1306</v>
      </c>
      <c r="E1311" t="s">
        <v>2</v>
      </c>
      <c r="F1311" t="s">
        <v>1307</v>
      </c>
      <c r="G1311" t="s">
        <v>28</v>
      </c>
      <c r="H1311">
        <v>34233</v>
      </c>
      <c r="I1311" t="s">
        <v>1305</v>
      </c>
      <c r="J1311" t="s">
        <v>1306</v>
      </c>
      <c r="K1311" t="s">
        <v>2</v>
      </c>
      <c r="L1311" t="s">
        <v>1307</v>
      </c>
      <c r="M1311" t="s">
        <v>28</v>
      </c>
      <c r="N1311">
        <v>34233</v>
      </c>
      <c r="O1311" t="s">
        <v>1312</v>
      </c>
      <c r="P1311" t="s">
        <v>2156</v>
      </c>
      <c r="Q1311" t="s">
        <v>21</v>
      </c>
      <c r="R1311">
        <v>415290</v>
      </c>
      <c r="S1311" t="s">
        <v>84</v>
      </c>
      <c r="T1311" s="2">
        <v>207</v>
      </c>
      <c r="U1311">
        <v>0</v>
      </c>
      <c r="V1311" t="s">
        <v>260</v>
      </c>
      <c r="W1311">
        <v>3</v>
      </c>
      <c r="X1311">
        <v>3</v>
      </c>
      <c r="Y1311">
        <v>0</v>
      </c>
      <c r="Z1311" t="s">
        <v>2161</v>
      </c>
      <c r="AA1311" t="s">
        <v>2162</v>
      </c>
      <c r="AB1311" t="s">
        <v>14</v>
      </c>
      <c r="AC1311">
        <v>2.1520999999999999</v>
      </c>
      <c r="AD1311">
        <v>6.46</v>
      </c>
      <c r="AE1311">
        <v>726182084510</v>
      </c>
      <c r="AF1311">
        <v>399.61</v>
      </c>
      <c r="AG1311">
        <v>0</v>
      </c>
      <c r="AH1311">
        <v>15</v>
      </c>
      <c r="AI1311">
        <v>414.61</v>
      </c>
      <c r="AJ1311" t="s">
        <v>2</v>
      </c>
      <c r="AK1311" t="s">
        <v>11</v>
      </c>
    </row>
    <row r="1312" spans="1:37">
      <c r="A1312">
        <v>257688</v>
      </c>
      <c r="B1312" s="1">
        <v>45366</v>
      </c>
      <c r="C1312" t="s">
        <v>1305</v>
      </c>
      <c r="D1312" t="s">
        <v>1306</v>
      </c>
      <c r="E1312" t="s">
        <v>2</v>
      </c>
      <c r="F1312" t="s">
        <v>1307</v>
      </c>
      <c r="G1312" t="s">
        <v>28</v>
      </c>
      <c r="H1312">
        <v>34233</v>
      </c>
      <c r="I1312" t="s">
        <v>1305</v>
      </c>
      <c r="J1312" t="s">
        <v>1306</v>
      </c>
      <c r="K1312" t="s">
        <v>2</v>
      </c>
      <c r="L1312" t="s">
        <v>1307</v>
      </c>
      <c r="M1312" t="s">
        <v>28</v>
      </c>
      <c r="N1312">
        <v>34233</v>
      </c>
      <c r="O1312" t="s">
        <v>1312</v>
      </c>
      <c r="P1312" t="s">
        <v>2156</v>
      </c>
      <c r="Q1312" t="s">
        <v>21</v>
      </c>
      <c r="R1312">
        <v>415290</v>
      </c>
      <c r="S1312" t="s">
        <v>84</v>
      </c>
      <c r="T1312" s="2">
        <v>207</v>
      </c>
      <c r="U1312">
        <v>0</v>
      </c>
      <c r="V1312" t="s">
        <v>260</v>
      </c>
      <c r="W1312">
        <v>0</v>
      </c>
      <c r="X1312">
        <v>0</v>
      </c>
      <c r="Y1312">
        <v>0</v>
      </c>
      <c r="Z1312" t="s">
        <v>88</v>
      </c>
      <c r="AA1312" t="s">
        <v>1702</v>
      </c>
      <c r="AB1312" t="s">
        <v>10</v>
      </c>
      <c r="AC1312">
        <v>0</v>
      </c>
      <c r="AD1312">
        <v>0</v>
      </c>
      <c r="AE1312">
        <v>726182084510</v>
      </c>
      <c r="AF1312">
        <v>399.61</v>
      </c>
      <c r="AG1312">
        <v>0</v>
      </c>
      <c r="AH1312">
        <v>15</v>
      </c>
      <c r="AI1312">
        <v>414.61</v>
      </c>
      <c r="AJ1312" t="s">
        <v>2</v>
      </c>
      <c r="AK1312" t="s">
        <v>11</v>
      </c>
    </row>
    <row r="1313" spans="1:37">
      <c r="A1313">
        <v>257688</v>
      </c>
      <c r="B1313" s="1">
        <v>45366</v>
      </c>
      <c r="C1313" t="s">
        <v>1305</v>
      </c>
      <c r="D1313" t="s">
        <v>1306</v>
      </c>
      <c r="E1313" t="s">
        <v>2</v>
      </c>
      <c r="F1313" t="s">
        <v>1307</v>
      </c>
      <c r="G1313" t="s">
        <v>28</v>
      </c>
      <c r="H1313">
        <v>34233</v>
      </c>
      <c r="I1313" t="s">
        <v>1305</v>
      </c>
      <c r="J1313" t="s">
        <v>1306</v>
      </c>
      <c r="K1313" t="s">
        <v>2</v>
      </c>
      <c r="L1313" t="s">
        <v>1307</v>
      </c>
      <c r="M1313" t="s">
        <v>28</v>
      </c>
      <c r="N1313">
        <v>34233</v>
      </c>
      <c r="O1313" t="s">
        <v>1312</v>
      </c>
      <c r="P1313" t="s">
        <v>2156</v>
      </c>
      <c r="Q1313" t="s">
        <v>21</v>
      </c>
      <c r="R1313">
        <v>415290</v>
      </c>
      <c r="S1313" t="s">
        <v>84</v>
      </c>
      <c r="T1313" s="2">
        <v>207</v>
      </c>
      <c r="U1313">
        <v>0</v>
      </c>
      <c r="V1313" t="s">
        <v>260</v>
      </c>
      <c r="W1313">
        <v>1</v>
      </c>
      <c r="X1313">
        <v>1</v>
      </c>
      <c r="Y1313">
        <v>0</v>
      </c>
      <c r="Z1313" t="s">
        <v>2163</v>
      </c>
      <c r="AA1313" t="s">
        <v>2164</v>
      </c>
      <c r="AB1313" t="s">
        <v>14</v>
      </c>
      <c r="AC1313">
        <v>2.1520999999999999</v>
      </c>
      <c r="AD1313">
        <v>2.15</v>
      </c>
      <c r="AE1313">
        <v>726182084510</v>
      </c>
      <c r="AF1313">
        <v>399.61</v>
      </c>
      <c r="AG1313">
        <v>0</v>
      </c>
      <c r="AH1313">
        <v>15</v>
      </c>
      <c r="AI1313">
        <v>414.61</v>
      </c>
      <c r="AJ1313" t="s">
        <v>2</v>
      </c>
      <c r="AK1313" t="s">
        <v>11</v>
      </c>
    </row>
    <row r="1314" spans="1:37">
      <c r="A1314">
        <v>257688</v>
      </c>
      <c r="B1314" s="1">
        <v>45366</v>
      </c>
      <c r="C1314" t="s">
        <v>1305</v>
      </c>
      <c r="D1314" t="s">
        <v>1306</v>
      </c>
      <c r="E1314" t="s">
        <v>2</v>
      </c>
      <c r="F1314" t="s">
        <v>1307</v>
      </c>
      <c r="G1314" t="s">
        <v>28</v>
      </c>
      <c r="H1314">
        <v>34233</v>
      </c>
      <c r="I1314" t="s">
        <v>1305</v>
      </c>
      <c r="J1314" t="s">
        <v>1306</v>
      </c>
      <c r="K1314" t="s">
        <v>2</v>
      </c>
      <c r="L1314" t="s">
        <v>1307</v>
      </c>
      <c r="M1314" t="s">
        <v>28</v>
      </c>
      <c r="N1314">
        <v>34233</v>
      </c>
      <c r="O1314" t="s">
        <v>1312</v>
      </c>
      <c r="P1314" t="s">
        <v>2156</v>
      </c>
      <c r="Q1314" t="s">
        <v>21</v>
      </c>
      <c r="R1314">
        <v>415290</v>
      </c>
      <c r="S1314" t="s">
        <v>84</v>
      </c>
      <c r="T1314" s="2">
        <v>207</v>
      </c>
      <c r="U1314">
        <v>0</v>
      </c>
      <c r="V1314" t="s">
        <v>260</v>
      </c>
      <c r="W1314">
        <v>0</v>
      </c>
      <c r="X1314">
        <v>0</v>
      </c>
      <c r="Y1314">
        <v>0</v>
      </c>
      <c r="Z1314" t="s">
        <v>88</v>
      </c>
      <c r="AA1314" t="s">
        <v>1702</v>
      </c>
      <c r="AB1314" t="s">
        <v>10</v>
      </c>
      <c r="AC1314">
        <v>0</v>
      </c>
      <c r="AD1314">
        <v>0</v>
      </c>
      <c r="AE1314">
        <v>726182084510</v>
      </c>
      <c r="AF1314">
        <v>399.61</v>
      </c>
      <c r="AG1314">
        <v>0</v>
      </c>
      <c r="AH1314">
        <v>15</v>
      </c>
      <c r="AI1314">
        <v>414.61</v>
      </c>
      <c r="AJ1314" t="s">
        <v>2</v>
      </c>
      <c r="AK1314" t="s">
        <v>11</v>
      </c>
    </row>
    <row r="1315" spans="1:37">
      <c r="A1315">
        <v>257688</v>
      </c>
      <c r="B1315" s="1">
        <v>45366</v>
      </c>
      <c r="C1315" t="s">
        <v>1305</v>
      </c>
      <c r="D1315" t="s">
        <v>1306</v>
      </c>
      <c r="E1315" t="s">
        <v>2</v>
      </c>
      <c r="F1315" t="s">
        <v>1307</v>
      </c>
      <c r="G1315" t="s">
        <v>28</v>
      </c>
      <c r="H1315">
        <v>34233</v>
      </c>
      <c r="I1315" t="s">
        <v>1305</v>
      </c>
      <c r="J1315" t="s">
        <v>1306</v>
      </c>
      <c r="K1315" t="s">
        <v>2</v>
      </c>
      <c r="L1315" t="s">
        <v>1307</v>
      </c>
      <c r="M1315" t="s">
        <v>28</v>
      </c>
      <c r="N1315">
        <v>34233</v>
      </c>
      <c r="O1315" t="s">
        <v>1312</v>
      </c>
      <c r="P1315" t="s">
        <v>2156</v>
      </c>
      <c r="Q1315" t="s">
        <v>21</v>
      </c>
      <c r="R1315">
        <v>415290</v>
      </c>
      <c r="S1315" t="s">
        <v>84</v>
      </c>
      <c r="T1315" s="2">
        <v>207</v>
      </c>
      <c r="U1315">
        <v>0</v>
      </c>
      <c r="V1315" t="s">
        <v>260</v>
      </c>
      <c r="W1315">
        <v>1</v>
      </c>
      <c r="X1315">
        <v>1</v>
      </c>
      <c r="Y1315">
        <v>0</v>
      </c>
      <c r="Z1315" t="s">
        <v>2165</v>
      </c>
      <c r="AA1315" t="s">
        <v>2166</v>
      </c>
      <c r="AB1315" t="s">
        <v>14</v>
      </c>
      <c r="AC1315">
        <v>2.1520999999999999</v>
      </c>
      <c r="AD1315">
        <v>2.15</v>
      </c>
      <c r="AE1315">
        <v>726182084510</v>
      </c>
      <c r="AF1315">
        <v>399.61</v>
      </c>
      <c r="AG1315">
        <v>0</v>
      </c>
      <c r="AH1315">
        <v>15</v>
      </c>
      <c r="AI1315">
        <v>414.61</v>
      </c>
      <c r="AJ1315" t="s">
        <v>2</v>
      </c>
      <c r="AK1315" t="s">
        <v>11</v>
      </c>
    </row>
    <row r="1316" spans="1:37">
      <c r="A1316">
        <v>257688</v>
      </c>
      <c r="B1316" s="1">
        <v>45366</v>
      </c>
      <c r="C1316" t="s">
        <v>1305</v>
      </c>
      <c r="D1316" t="s">
        <v>1306</v>
      </c>
      <c r="E1316" t="s">
        <v>2</v>
      </c>
      <c r="F1316" t="s">
        <v>1307</v>
      </c>
      <c r="G1316" t="s">
        <v>28</v>
      </c>
      <c r="H1316">
        <v>34233</v>
      </c>
      <c r="I1316" t="s">
        <v>1305</v>
      </c>
      <c r="J1316" t="s">
        <v>1306</v>
      </c>
      <c r="K1316" t="s">
        <v>2</v>
      </c>
      <c r="L1316" t="s">
        <v>1307</v>
      </c>
      <c r="M1316" t="s">
        <v>28</v>
      </c>
      <c r="N1316">
        <v>34233</v>
      </c>
      <c r="O1316" t="s">
        <v>1312</v>
      </c>
      <c r="P1316" t="s">
        <v>2156</v>
      </c>
      <c r="Q1316" t="s">
        <v>21</v>
      </c>
      <c r="R1316">
        <v>415290</v>
      </c>
      <c r="S1316" t="s">
        <v>84</v>
      </c>
      <c r="T1316" s="2">
        <v>207</v>
      </c>
      <c r="U1316">
        <v>0</v>
      </c>
      <c r="V1316" t="s">
        <v>260</v>
      </c>
      <c r="W1316">
        <v>0</v>
      </c>
      <c r="X1316">
        <v>0</v>
      </c>
      <c r="Y1316">
        <v>0</v>
      </c>
      <c r="Z1316" t="s">
        <v>88</v>
      </c>
      <c r="AA1316" t="s">
        <v>1702</v>
      </c>
      <c r="AB1316" t="s">
        <v>10</v>
      </c>
      <c r="AC1316">
        <v>0</v>
      </c>
      <c r="AD1316">
        <v>0</v>
      </c>
      <c r="AE1316">
        <v>726182084510</v>
      </c>
      <c r="AF1316">
        <v>399.61</v>
      </c>
      <c r="AG1316">
        <v>0</v>
      </c>
      <c r="AH1316">
        <v>15</v>
      </c>
      <c r="AI1316">
        <v>414.61</v>
      </c>
      <c r="AJ1316" t="s">
        <v>2</v>
      </c>
      <c r="AK1316" t="s">
        <v>11</v>
      </c>
    </row>
    <row r="1317" spans="1:37">
      <c r="A1317">
        <v>257688</v>
      </c>
      <c r="B1317" s="1">
        <v>45366</v>
      </c>
      <c r="C1317" t="s">
        <v>1305</v>
      </c>
      <c r="D1317" t="s">
        <v>1306</v>
      </c>
      <c r="E1317" t="s">
        <v>2</v>
      </c>
      <c r="F1317" t="s">
        <v>1307</v>
      </c>
      <c r="G1317" t="s">
        <v>28</v>
      </c>
      <c r="H1317">
        <v>34233</v>
      </c>
      <c r="I1317" t="s">
        <v>1305</v>
      </c>
      <c r="J1317" t="s">
        <v>1306</v>
      </c>
      <c r="K1317" t="s">
        <v>2</v>
      </c>
      <c r="L1317" t="s">
        <v>1307</v>
      </c>
      <c r="M1317" t="s">
        <v>28</v>
      </c>
      <c r="N1317">
        <v>34233</v>
      </c>
      <c r="O1317" t="s">
        <v>1312</v>
      </c>
      <c r="P1317" t="s">
        <v>2156</v>
      </c>
      <c r="Q1317" t="s">
        <v>21</v>
      </c>
      <c r="R1317">
        <v>415290</v>
      </c>
      <c r="S1317" t="s">
        <v>84</v>
      </c>
      <c r="T1317" s="2">
        <v>207</v>
      </c>
      <c r="U1317">
        <v>0</v>
      </c>
      <c r="V1317" t="s">
        <v>260</v>
      </c>
      <c r="W1317">
        <v>1</v>
      </c>
      <c r="X1317">
        <v>1</v>
      </c>
      <c r="Y1317">
        <v>0</v>
      </c>
      <c r="Z1317" t="s">
        <v>2167</v>
      </c>
      <c r="AA1317" t="s">
        <v>2168</v>
      </c>
      <c r="AB1317" t="s">
        <v>14</v>
      </c>
      <c r="AC1317">
        <v>2.1520999999999999</v>
      </c>
      <c r="AD1317">
        <v>2.15</v>
      </c>
      <c r="AE1317">
        <v>726182084510</v>
      </c>
      <c r="AF1317">
        <v>399.61</v>
      </c>
      <c r="AG1317">
        <v>0</v>
      </c>
      <c r="AH1317">
        <v>15</v>
      </c>
      <c r="AI1317">
        <v>414.61</v>
      </c>
      <c r="AJ1317" t="s">
        <v>2</v>
      </c>
      <c r="AK1317" t="s">
        <v>11</v>
      </c>
    </row>
    <row r="1318" spans="1:37">
      <c r="A1318">
        <v>257688</v>
      </c>
      <c r="B1318" s="1">
        <v>45366</v>
      </c>
      <c r="C1318" t="s">
        <v>1305</v>
      </c>
      <c r="D1318" t="s">
        <v>1306</v>
      </c>
      <c r="E1318" t="s">
        <v>2</v>
      </c>
      <c r="F1318" t="s">
        <v>1307</v>
      </c>
      <c r="G1318" t="s">
        <v>28</v>
      </c>
      <c r="H1318">
        <v>34233</v>
      </c>
      <c r="I1318" t="s">
        <v>1305</v>
      </c>
      <c r="J1318" t="s">
        <v>1306</v>
      </c>
      <c r="K1318" t="s">
        <v>2</v>
      </c>
      <c r="L1318" t="s">
        <v>1307</v>
      </c>
      <c r="M1318" t="s">
        <v>28</v>
      </c>
      <c r="N1318">
        <v>34233</v>
      </c>
      <c r="O1318" t="s">
        <v>1312</v>
      </c>
      <c r="P1318" t="s">
        <v>2156</v>
      </c>
      <c r="Q1318" t="s">
        <v>21</v>
      </c>
      <c r="R1318">
        <v>415290</v>
      </c>
      <c r="S1318" t="s">
        <v>84</v>
      </c>
      <c r="T1318" s="2">
        <v>207</v>
      </c>
      <c r="U1318">
        <v>0</v>
      </c>
      <c r="V1318" t="s">
        <v>260</v>
      </c>
      <c r="W1318">
        <v>0</v>
      </c>
      <c r="X1318">
        <v>0</v>
      </c>
      <c r="Y1318">
        <v>0</v>
      </c>
      <c r="Z1318" t="s">
        <v>88</v>
      </c>
      <c r="AA1318" t="s">
        <v>1702</v>
      </c>
      <c r="AB1318" t="s">
        <v>10</v>
      </c>
      <c r="AC1318">
        <v>0</v>
      </c>
      <c r="AD1318">
        <v>0</v>
      </c>
      <c r="AE1318">
        <v>726182084510</v>
      </c>
      <c r="AF1318">
        <v>399.61</v>
      </c>
      <c r="AG1318">
        <v>0</v>
      </c>
      <c r="AH1318">
        <v>15</v>
      </c>
      <c r="AI1318">
        <v>414.61</v>
      </c>
      <c r="AJ1318" t="s">
        <v>2</v>
      </c>
      <c r="AK1318" t="s">
        <v>11</v>
      </c>
    </row>
    <row r="1319" spans="1:37">
      <c r="A1319">
        <v>257688</v>
      </c>
      <c r="B1319" s="1">
        <v>45366</v>
      </c>
      <c r="C1319" t="s">
        <v>1305</v>
      </c>
      <c r="D1319" t="s">
        <v>1306</v>
      </c>
      <c r="E1319" t="s">
        <v>2</v>
      </c>
      <c r="F1319" t="s">
        <v>1307</v>
      </c>
      <c r="G1319" t="s">
        <v>28</v>
      </c>
      <c r="H1319">
        <v>34233</v>
      </c>
      <c r="I1319" t="s">
        <v>1305</v>
      </c>
      <c r="J1319" t="s">
        <v>1306</v>
      </c>
      <c r="K1319" t="s">
        <v>2</v>
      </c>
      <c r="L1319" t="s">
        <v>1307</v>
      </c>
      <c r="M1319" t="s">
        <v>28</v>
      </c>
      <c r="N1319">
        <v>34233</v>
      </c>
      <c r="O1319" t="s">
        <v>1312</v>
      </c>
      <c r="P1319" t="s">
        <v>2156</v>
      </c>
      <c r="Q1319" t="s">
        <v>21</v>
      </c>
      <c r="R1319">
        <v>415290</v>
      </c>
      <c r="S1319" t="s">
        <v>84</v>
      </c>
      <c r="T1319" s="2">
        <v>207</v>
      </c>
      <c r="U1319">
        <v>0</v>
      </c>
      <c r="V1319" t="s">
        <v>260</v>
      </c>
      <c r="W1319">
        <v>2</v>
      </c>
      <c r="X1319">
        <v>2</v>
      </c>
      <c r="Y1319">
        <v>0</v>
      </c>
      <c r="Z1319" t="s">
        <v>2169</v>
      </c>
      <c r="AA1319" t="s">
        <v>2170</v>
      </c>
      <c r="AB1319" t="s">
        <v>14</v>
      </c>
      <c r="AC1319">
        <v>2.1520999999999999</v>
      </c>
      <c r="AD1319">
        <v>4.3</v>
      </c>
      <c r="AE1319">
        <v>726182084510</v>
      </c>
      <c r="AF1319">
        <v>399.61</v>
      </c>
      <c r="AG1319">
        <v>0</v>
      </c>
      <c r="AH1319">
        <v>15</v>
      </c>
      <c r="AI1319">
        <v>414.61</v>
      </c>
      <c r="AJ1319" t="s">
        <v>2</v>
      </c>
      <c r="AK1319" t="s">
        <v>11</v>
      </c>
    </row>
    <row r="1320" spans="1:37">
      <c r="A1320">
        <v>257688</v>
      </c>
      <c r="B1320" s="1">
        <v>45366</v>
      </c>
      <c r="C1320" t="s">
        <v>1305</v>
      </c>
      <c r="D1320" t="s">
        <v>1306</v>
      </c>
      <c r="E1320" t="s">
        <v>2</v>
      </c>
      <c r="F1320" t="s">
        <v>1307</v>
      </c>
      <c r="G1320" t="s">
        <v>28</v>
      </c>
      <c r="H1320">
        <v>34233</v>
      </c>
      <c r="I1320" t="s">
        <v>1305</v>
      </c>
      <c r="J1320" t="s">
        <v>1306</v>
      </c>
      <c r="K1320" t="s">
        <v>2</v>
      </c>
      <c r="L1320" t="s">
        <v>1307</v>
      </c>
      <c r="M1320" t="s">
        <v>28</v>
      </c>
      <c r="N1320">
        <v>34233</v>
      </c>
      <c r="O1320" t="s">
        <v>1312</v>
      </c>
      <c r="P1320" t="s">
        <v>2156</v>
      </c>
      <c r="Q1320" t="s">
        <v>21</v>
      </c>
      <c r="R1320">
        <v>415290</v>
      </c>
      <c r="S1320" t="s">
        <v>84</v>
      </c>
      <c r="T1320" s="2">
        <v>207</v>
      </c>
      <c r="U1320">
        <v>0</v>
      </c>
      <c r="V1320" t="s">
        <v>260</v>
      </c>
      <c r="W1320">
        <v>0</v>
      </c>
      <c r="X1320">
        <v>0</v>
      </c>
      <c r="Y1320">
        <v>0</v>
      </c>
      <c r="Z1320" t="s">
        <v>88</v>
      </c>
      <c r="AA1320" t="s">
        <v>1702</v>
      </c>
      <c r="AB1320" t="s">
        <v>10</v>
      </c>
      <c r="AC1320">
        <v>0</v>
      </c>
      <c r="AD1320">
        <v>0</v>
      </c>
      <c r="AE1320">
        <v>726182084510</v>
      </c>
      <c r="AF1320">
        <v>399.61</v>
      </c>
      <c r="AG1320">
        <v>0</v>
      </c>
      <c r="AH1320">
        <v>15</v>
      </c>
      <c r="AI1320">
        <v>414.61</v>
      </c>
      <c r="AJ1320" t="s">
        <v>2</v>
      </c>
      <c r="AK1320" t="s">
        <v>11</v>
      </c>
    </row>
    <row r="1321" spans="1:37">
      <c r="A1321">
        <v>257688</v>
      </c>
      <c r="B1321" s="1">
        <v>45366</v>
      </c>
      <c r="C1321" t="s">
        <v>1305</v>
      </c>
      <c r="D1321" t="s">
        <v>1306</v>
      </c>
      <c r="E1321" t="s">
        <v>2</v>
      </c>
      <c r="F1321" t="s">
        <v>1307</v>
      </c>
      <c r="G1321" t="s">
        <v>28</v>
      </c>
      <c r="H1321">
        <v>34233</v>
      </c>
      <c r="I1321" t="s">
        <v>1305</v>
      </c>
      <c r="J1321" t="s">
        <v>1306</v>
      </c>
      <c r="K1321" t="s">
        <v>2</v>
      </c>
      <c r="L1321" t="s">
        <v>1307</v>
      </c>
      <c r="M1321" t="s">
        <v>28</v>
      </c>
      <c r="N1321">
        <v>34233</v>
      </c>
      <c r="O1321" t="s">
        <v>1312</v>
      </c>
      <c r="P1321" t="s">
        <v>2156</v>
      </c>
      <c r="Q1321" t="s">
        <v>21</v>
      </c>
      <c r="R1321">
        <v>415290</v>
      </c>
      <c r="S1321" t="s">
        <v>84</v>
      </c>
      <c r="T1321" s="2">
        <v>207</v>
      </c>
      <c r="U1321">
        <v>0</v>
      </c>
      <c r="V1321" t="s">
        <v>260</v>
      </c>
      <c r="W1321">
        <v>3</v>
      </c>
      <c r="X1321">
        <v>0</v>
      </c>
      <c r="Y1321">
        <v>3</v>
      </c>
      <c r="Z1321" t="s">
        <v>2171</v>
      </c>
      <c r="AA1321" t="s">
        <v>2172</v>
      </c>
      <c r="AB1321" t="s">
        <v>14</v>
      </c>
      <c r="AC1321">
        <v>2.4500000000000002</v>
      </c>
      <c r="AD1321">
        <v>0</v>
      </c>
      <c r="AE1321">
        <v>726182084510</v>
      </c>
      <c r="AF1321">
        <v>399.61</v>
      </c>
      <c r="AG1321">
        <v>0</v>
      </c>
      <c r="AH1321">
        <v>15</v>
      </c>
      <c r="AI1321">
        <v>414.61</v>
      </c>
      <c r="AJ1321" t="s">
        <v>2</v>
      </c>
      <c r="AK1321" t="s">
        <v>11</v>
      </c>
    </row>
    <row r="1322" spans="1:37">
      <c r="A1322">
        <v>257688</v>
      </c>
      <c r="B1322" s="1">
        <v>45366</v>
      </c>
      <c r="C1322" t="s">
        <v>1305</v>
      </c>
      <c r="D1322" t="s">
        <v>1306</v>
      </c>
      <c r="E1322" t="s">
        <v>2</v>
      </c>
      <c r="F1322" t="s">
        <v>1307</v>
      </c>
      <c r="G1322" t="s">
        <v>28</v>
      </c>
      <c r="H1322">
        <v>34233</v>
      </c>
      <c r="I1322" t="s">
        <v>1305</v>
      </c>
      <c r="J1322" t="s">
        <v>1306</v>
      </c>
      <c r="K1322" t="s">
        <v>2</v>
      </c>
      <c r="L1322" t="s">
        <v>1307</v>
      </c>
      <c r="M1322" t="s">
        <v>28</v>
      </c>
      <c r="N1322">
        <v>34233</v>
      </c>
      <c r="O1322" t="s">
        <v>1312</v>
      </c>
      <c r="P1322" t="s">
        <v>2156</v>
      </c>
      <c r="Q1322" t="s">
        <v>21</v>
      </c>
      <c r="R1322">
        <v>415290</v>
      </c>
      <c r="S1322" t="s">
        <v>84</v>
      </c>
      <c r="T1322" s="2">
        <v>207</v>
      </c>
      <c r="U1322">
        <v>0</v>
      </c>
      <c r="V1322" t="s">
        <v>260</v>
      </c>
      <c r="W1322">
        <v>0</v>
      </c>
      <c r="X1322">
        <v>0</v>
      </c>
      <c r="Y1322">
        <v>0</v>
      </c>
      <c r="Z1322" t="s">
        <v>88</v>
      </c>
      <c r="AA1322" t="s">
        <v>2173</v>
      </c>
      <c r="AB1322" t="s">
        <v>10</v>
      </c>
      <c r="AC1322">
        <v>0</v>
      </c>
      <c r="AD1322">
        <v>0</v>
      </c>
      <c r="AE1322">
        <v>726182084510</v>
      </c>
      <c r="AF1322">
        <v>399.61</v>
      </c>
      <c r="AG1322">
        <v>0</v>
      </c>
      <c r="AH1322">
        <v>15</v>
      </c>
      <c r="AI1322">
        <v>414.61</v>
      </c>
      <c r="AJ1322" t="s">
        <v>2</v>
      </c>
      <c r="AK1322" t="s">
        <v>11</v>
      </c>
    </row>
    <row r="1323" spans="1:37">
      <c r="A1323">
        <v>257688</v>
      </c>
      <c r="B1323" s="1">
        <v>45366</v>
      </c>
      <c r="C1323" t="s">
        <v>1305</v>
      </c>
      <c r="D1323" t="s">
        <v>1306</v>
      </c>
      <c r="E1323" t="s">
        <v>2</v>
      </c>
      <c r="F1323" t="s">
        <v>1307</v>
      </c>
      <c r="G1323" t="s">
        <v>28</v>
      </c>
      <c r="H1323">
        <v>34233</v>
      </c>
      <c r="I1323" t="s">
        <v>1305</v>
      </c>
      <c r="J1323" t="s">
        <v>1306</v>
      </c>
      <c r="K1323" t="s">
        <v>2</v>
      </c>
      <c r="L1323" t="s">
        <v>1307</v>
      </c>
      <c r="M1323" t="s">
        <v>28</v>
      </c>
      <c r="N1323">
        <v>34233</v>
      </c>
      <c r="O1323" t="s">
        <v>1312</v>
      </c>
      <c r="P1323" t="s">
        <v>2156</v>
      </c>
      <c r="Q1323" t="s">
        <v>21</v>
      </c>
      <c r="R1323">
        <v>415290</v>
      </c>
      <c r="S1323" t="s">
        <v>84</v>
      </c>
      <c r="T1323" s="2">
        <v>207</v>
      </c>
      <c r="U1323">
        <v>0</v>
      </c>
      <c r="V1323" t="s">
        <v>260</v>
      </c>
      <c r="W1323">
        <v>3</v>
      </c>
      <c r="X1323">
        <v>0</v>
      </c>
      <c r="Y1323">
        <v>3</v>
      </c>
      <c r="Z1323" t="s">
        <v>2174</v>
      </c>
      <c r="AA1323" t="s">
        <v>2175</v>
      </c>
      <c r="AB1323" t="s">
        <v>14</v>
      </c>
      <c r="AC1323">
        <v>2.4500000000000002</v>
      </c>
      <c r="AD1323">
        <v>0</v>
      </c>
      <c r="AE1323">
        <v>726182084510</v>
      </c>
      <c r="AF1323">
        <v>399.61</v>
      </c>
      <c r="AG1323">
        <v>0</v>
      </c>
      <c r="AH1323">
        <v>15</v>
      </c>
      <c r="AI1323">
        <v>414.61</v>
      </c>
      <c r="AJ1323" t="s">
        <v>2</v>
      </c>
      <c r="AK1323" t="s">
        <v>11</v>
      </c>
    </row>
    <row r="1324" spans="1:37">
      <c r="A1324">
        <v>257688</v>
      </c>
      <c r="B1324" s="1">
        <v>45366</v>
      </c>
      <c r="C1324" t="s">
        <v>1305</v>
      </c>
      <c r="D1324" t="s">
        <v>1306</v>
      </c>
      <c r="E1324" t="s">
        <v>2</v>
      </c>
      <c r="F1324" t="s">
        <v>1307</v>
      </c>
      <c r="G1324" t="s">
        <v>28</v>
      </c>
      <c r="H1324">
        <v>34233</v>
      </c>
      <c r="I1324" t="s">
        <v>1305</v>
      </c>
      <c r="J1324" t="s">
        <v>1306</v>
      </c>
      <c r="K1324" t="s">
        <v>2</v>
      </c>
      <c r="L1324" t="s">
        <v>1307</v>
      </c>
      <c r="M1324" t="s">
        <v>28</v>
      </c>
      <c r="N1324">
        <v>34233</v>
      </c>
      <c r="O1324" t="s">
        <v>1312</v>
      </c>
      <c r="P1324" t="s">
        <v>2156</v>
      </c>
      <c r="Q1324" t="s">
        <v>21</v>
      </c>
      <c r="R1324">
        <v>415290</v>
      </c>
      <c r="S1324" t="s">
        <v>84</v>
      </c>
      <c r="T1324" s="2">
        <v>207</v>
      </c>
      <c r="U1324">
        <v>0</v>
      </c>
      <c r="V1324" t="s">
        <v>260</v>
      </c>
      <c r="W1324">
        <v>0</v>
      </c>
      <c r="X1324">
        <v>0</v>
      </c>
      <c r="Y1324">
        <v>0</v>
      </c>
      <c r="Z1324" t="s">
        <v>88</v>
      </c>
      <c r="AA1324" t="s">
        <v>2173</v>
      </c>
      <c r="AB1324" t="s">
        <v>10</v>
      </c>
      <c r="AC1324">
        <v>0</v>
      </c>
      <c r="AD1324">
        <v>0</v>
      </c>
      <c r="AE1324">
        <v>726182084510</v>
      </c>
      <c r="AF1324">
        <v>399.61</v>
      </c>
      <c r="AG1324">
        <v>0</v>
      </c>
      <c r="AH1324">
        <v>15</v>
      </c>
      <c r="AI1324">
        <v>414.61</v>
      </c>
      <c r="AJ1324" t="s">
        <v>2</v>
      </c>
      <c r="AK1324" t="s">
        <v>11</v>
      </c>
    </row>
    <row r="1325" spans="1:37">
      <c r="A1325">
        <v>257688</v>
      </c>
      <c r="B1325" s="1">
        <v>45366</v>
      </c>
      <c r="C1325" t="s">
        <v>1305</v>
      </c>
      <c r="D1325" t="s">
        <v>1306</v>
      </c>
      <c r="E1325" t="s">
        <v>2</v>
      </c>
      <c r="F1325" t="s">
        <v>1307</v>
      </c>
      <c r="G1325" t="s">
        <v>28</v>
      </c>
      <c r="H1325">
        <v>34233</v>
      </c>
      <c r="I1325" t="s">
        <v>1305</v>
      </c>
      <c r="J1325" t="s">
        <v>1306</v>
      </c>
      <c r="K1325" t="s">
        <v>2</v>
      </c>
      <c r="L1325" t="s">
        <v>1307</v>
      </c>
      <c r="M1325" t="s">
        <v>28</v>
      </c>
      <c r="N1325">
        <v>34233</v>
      </c>
      <c r="O1325" t="s">
        <v>1312</v>
      </c>
      <c r="P1325" t="s">
        <v>2156</v>
      </c>
      <c r="Q1325" t="s">
        <v>21</v>
      </c>
      <c r="R1325">
        <v>415290</v>
      </c>
      <c r="S1325" t="s">
        <v>84</v>
      </c>
      <c r="T1325" s="2">
        <v>207</v>
      </c>
      <c r="U1325">
        <v>0</v>
      </c>
      <c r="V1325" t="s">
        <v>260</v>
      </c>
      <c r="W1325">
        <v>3</v>
      </c>
      <c r="X1325">
        <v>0</v>
      </c>
      <c r="Y1325">
        <v>3</v>
      </c>
      <c r="Z1325" t="s">
        <v>2176</v>
      </c>
      <c r="AA1325" t="s">
        <v>2177</v>
      </c>
      <c r="AB1325" t="s">
        <v>14</v>
      </c>
      <c r="AC1325">
        <v>2.4500000000000002</v>
      </c>
      <c r="AD1325">
        <v>0</v>
      </c>
      <c r="AE1325">
        <v>726182084510</v>
      </c>
      <c r="AF1325">
        <v>399.61</v>
      </c>
      <c r="AG1325">
        <v>0</v>
      </c>
      <c r="AH1325">
        <v>15</v>
      </c>
      <c r="AI1325">
        <v>414.61</v>
      </c>
      <c r="AJ1325" t="s">
        <v>2</v>
      </c>
      <c r="AK1325" t="s">
        <v>11</v>
      </c>
    </row>
    <row r="1326" spans="1:37">
      <c r="A1326">
        <v>257688</v>
      </c>
      <c r="B1326" s="1">
        <v>45366</v>
      </c>
      <c r="C1326" t="s">
        <v>1305</v>
      </c>
      <c r="D1326" t="s">
        <v>1306</v>
      </c>
      <c r="E1326" t="s">
        <v>2</v>
      </c>
      <c r="F1326" t="s">
        <v>1307</v>
      </c>
      <c r="G1326" t="s">
        <v>28</v>
      </c>
      <c r="H1326">
        <v>34233</v>
      </c>
      <c r="I1326" t="s">
        <v>1305</v>
      </c>
      <c r="J1326" t="s">
        <v>1306</v>
      </c>
      <c r="K1326" t="s">
        <v>2</v>
      </c>
      <c r="L1326" t="s">
        <v>1307</v>
      </c>
      <c r="M1326" t="s">
        <v>28</v>
      </c>
      <c r="N1326">
        <v>34233</v>
      </c>
      <c r="O1326" t="s">
        <v>1312</v>
      </c>
      <c r="P1326" t="s">
        <v>2156</v>
      </c>
      <c r="Q1326" t="s">
        <v>21</v>
      </c>
      <c r="R1326">
        <v>415290</v>
      </c>
      <c r="S1326" t="s">
        <v>84</v>
      </c>
      <c r="T1326" s="2">
        <v>207</v>
      </c>
      <c r="U1326">
        <v>0</v>
      </c>
      <c r="V1326" t="s">
        <v>260</v>
      </c>
      <c r="W1326">
        <v>0</v>
      </c>
      <c r="X1326">
        <v>0</v>
      </c>
      <c r="Y1326">
        <v>0</v>
      </c>
      <c r="Z1326" t="s">
        <v>88</v>
      </c>
      <c r="AA1326" t="s">
        <v>2173</v>
      </c>
      <c r="AB1326" t="s">
        <v>10</v>
      </c>
      <c r="AC1326">
        <v>0</v>
      </c>
      <c r="AD1326">
        <v>0</v>
      </c>
      <c r="AE1326">
        <v>726182084510</v>
      </c>
      <c r="AF1326">
        <v>399.61</v>
      </c>
      <c r="AG1326">
        <v>0</v>
      </c>
      <c r="AH1326">
        <v>15</v>
      </c>
      <c r="AI1326">
        <v>414.61</v>
      </c>
      <c r="AJ1326" t="s">
        <v>2</v>
      </c>
      <c r="AK1326" t="s">
        <v>11</v>
      </c>
    </row>
    <row r="1327" spans="1:37">
      <c r="A1327">
        <v>257688</v>
      </c>
      <c r="B1327" s="1">
        <v>45366</v>
      </c>
      <c r="C1327" t="s">
        <v>1305</v>
      </c>
      <c r="D1327" t="s">
        <v>1306</v>
      </c>
      <c r="E1327" t="s">
        <v>2</v>
      </c>
      <c r="F1327" t="s">
        <v>1307</v>
      </c>
      <c r="G1327" t="s">
        <v>28</v>
      </c>
      <c r="H1327">
        <v>34233</v>
      </c>
      <c r="I1327" t="s">
        <v>1305</v>
      </c>
      <c r="J1327" t="s">
        <v>1306</v>
      </c>
      <c r="K1327" t="s">
        <v>2</v>
      </c>
      <c r="L1327" t="s">
        <v>1307</v>
      </c>
      <c r="M1327" t="s">
        <v>28</v>
      </c>
      <c r="N1327">
        <v>34233</v>
      </c>
      <c r="O1327" t="s">
        <v>1312</v>
      </c>
      <c r="P1327" t="s">
        <v>2156</v>
      </c>
      <c r="Q1327" t="s">
        <v>21</v>
      </c>
      <c r="R1327">
        <v>415290</v>
      </c>
      <c r="S1327" t="s">
        <v>84</v>
      </c>
      <c r="T1327" s="2">
        <v>207</v>
      </c>
      <c r="U1327">
        <v>0</v>
      </c>
      <c r="V1327" t="s">
        <v>260</v>
      </c>
      <c r="W1327">
        <v>3</v>
      </c>
      <c r="X1327">
        <v>3</v>
      </c>
      <c r="Y1327">
        <v>0</v>
      </c>
      <c r="Z1327" t="s">
        <v>2178</v>
      </c>
      <c r="AA1327" t="s">
        <v>2179</v>
      </c>
      <c r="AB1327" t="s">
        <v>14</v>
      </c>
      <c r="AC1327">
        <v>2.4500000000000002</v>
      </c>
      <c r="AD1327">
        <v>7.35</v>
      </c>
      <c r="AE1327">
        <v>726182084510</v>
      </c>
      <c r="AF1327">
        <v>399.61</v>
      </c>
      <c r="AG1327">
        <v>0</v>
      </c>
      <c r="AH1327">
        <v>15</v>
      </c>
      <c r="AI1327">
        <v>414.61</v>
      </c>
      <c r="AJ1327" t="s">
        <v>2</v>
      </c>
      <c r="AK1327" t="s">
        <v>11</v>
      </c>
    </row>
    <row r="1328" spans="1:37">
      <c r="A1328">
        <v>257688</v>
      </c>
      <c r="B1328" s="1">
        <v>45366</v>
      </c>
      <c r="C1328" t="s">
        <v>1305</v>
      </c>
      <c r="D1328" t="s">
        <v>1306</v>
      </c>
      <c r="E1328" t="s">
        <v>2</v>
      </c>
      <c r="F1328" t="s">
        <v>1307</v>
      </c>
      <c r="G1328" t="s">
        <v>28</v>
      </c>
      <c r="H1328">
        <v>34233</v>
      </c>
      <c r="I1328" t="s">
        <v>1305</v>
      </c>
      <c r="J1328" t="s">
        <v>1306</v>
      </c>
      <c r="K1328" t="s">
        <v>2</v>
      </c>
      <c r="L1328" t="s">
        <v>1307</v>
      </c>
      <c r="M1328" t="s">
        <v>28</v>
      </c>
      <c r="N1328">
        <v>34233</v>
      </c>
      <c r="O1328" t="s">
        <v>1312</v>
      </c>
      <c r="P1328" t="s">
        <v>2156</v>
      </c>
      <c r="Q1328" t="s">
        <v>21</v>
      </c>
      <c r="R1328">
        <v>415290</v>
      </c>
      <c r="S1328" t="s">
        <v>84</v>
      </c>
      <c r="T1328" s="2">
        <v>207</v>
      </c>
      <c r="U1328">
        <v>0</v>
      </c>
      <c r="V1328" t="s">
        <v>260</v>
      </c>
      <c r="W1328">
        <v>0</v>
      </c>
      <c r="X1328">
        <v>0</v>
      </c>
      <c r="Y1328">
        <v>0</v>
      </c>
      <c r="Z1328" t="s">
        <v>88</v>
      </c>
      <c r="AA1328" t="s">
        <v>2173</v>
      </c>
      <c r="AB1328" t="s">
        <v>10</v>
      </c>
      <c r="AC1328">
        <v>0</v>
      </c>
      <c r="AD1328">
        <v>0</v>
      </c>
      <c r="AE1328">
        <v>726182084510</v>
      </c>
      <c r="AF1328">
        <v>399.61</v>
      </c>
      <c r="AG1328">
        <v>0</v>
      </c>
      <c r="AH1328">
        <v>15</v>
      </c>
      <c r="AI1328">
        <v>414.61</v>
      </c>
      <c r="AJ1328" t="s">
        <v>2</v>
      </c>
      <c r="AK1328" t="s">
        <v>11</v>
      </c>
    </row>
    <row r="1329" spans="1:37">
      <c r="A1329">
        <v>257688</v>
      </c>
      <c r="B1329" s="1">
        <v>45366</v>
      </c>
      <c r="C1329" t="s">
        <v>1305</v>
      </c>
      <c r="D1329" t="s">
        <v>1306</v>
      </c>
      <c r="E1329" t="s">
        <v>2</v>
      </c>
      <c r="F1329" t="s">
        <v>1307</v>
      </c>
      <c r="G1329" t="s">
        <v>28</v>
      </c>
      <c r="H1329">
        <v>34233</v>
      </c>
      <c r="I1329" t="s">
        <v>1305</v>
      </c>
      <c r="J1329" t="s">
        <v>1306</v>
      </c>
      <c r="K1329" t="s">
        <v>2</v>
      </c>
      <c r="L1329" t="s">
        <v>1307</v>
      </c>
      <c r="M1329" t="s">
        <v>28</v>
      </c>
      <c r="N1329">
        <v>34233</v>
      </c>
      <c r="O1329" t="s">
        <v>1312</v>
      </c>
      <c r="P1329" t="s">
        <v>2156</v>
      </c>
      <c r="Q1329" t="s">
        <v>21</v>
      </c>
      <c r="R1329">
        <v>415290</v>
      </c>
      <c r="S1329" t="s">
        <v>84</v>
      </c>
      <c r="T1329" s="2">
        <v>207</v>
      </c>
      <c r="U1329">
        <v>0</v>
      </c>
      <c r="V1329" t="s">
        <v>260</v>
      </c>
      <c r="W1329">
        <v>3</v>
      </c>
      <c r="X1329">
        <v>0</v>
      </c>
      <c r="Y1329">
        <v>3</v>
      </c>
      <c r="Z1329" t="s">
        <v>2180</v>
      </c>
      <c r="AA1329" t="s">
        <v>2181</v>
      </c>
      <c r="AB1329" t="s">
        <v>14</v>
      </c>
      <c r="AC1329">
        <v>2.4500000000000002</v>
      </c>
      <c r="AD1329">
        <v>0</v>
      </c>
      <c r="AE1329">
        <v>726182084510</v>
      </c>
      <c r="AF1329">
        <v>399.61</v>
      </c>
      <c r="AG1329">
        <v>0</v>
      </c>
      <c r="AH1329">
        <v>15</v>
      </c>
      <c r="AI1329">
        <v>414.61</v>
      </c>
      <c r="AJ1329" t="s">
        <v>2</v>
      </c>
      <c r="AK1329" t="s">
        <v>11</v>
      </c>
    </row>
    <row r="1330" spans="1:37">
      <c r="A1330">
        <v>257688</v>
      </c>
      <c r="B1330" s="1">
        <v>45366</v>
      </c>
      <c r="C1330" t="s">
        <v>1305</v>
      </c>
      <c r="D1330" t="s">
        <v>1306</v>
      </c>
      <c r="E1330" t="s">
        <v>2</v>
      </c>
      <c r="F1330" t="s">
        <v>1307</v>
      </c>
      <c r="G1330" t="s">
        <v>28</v>
      </c>
      <c r="H1330">
        <v>34233</v>
      </c>
      <c r="I1330" t="s">
        <v>1305</v>
      </c>
      <c r="J1330" t="s">
        <v>1306</v>
      </c>
      <c r="K1330" t="s">
        <v>2</v>
      </c>
      <c r="L1330" t="s">
        <v>1307</v>
      </c>
      <c r="M1330" t="s">
        <v>28</v>
      </c>
      <c r="N1330">
        <v>34233</v>
      </c>
      <c r="O1330" t="s">
        <v>1312</v>
      </c>
      <c r="P1330" t="s">
        <v>2156</v>
      </c>
      <c r="Q1330" t="s">
        <v>21</v>
      </c>
      <c r="R1330">
        <v>415290</v>
      </c>
      <c r="S1330" t="s">
        <v>84</v>
      </c>
      <c r="T1330" s="2">
        <v>207</v>
      </c>
      <c r="U1330">
        <v>0</v>
      </c>
      <c r="V1330" t="s">
        <v>260</v>
      </c>
      <c r="W1330">
        <v>0</v>
      </c>
      <c r="X1330">
        <v>0</v>
      </c>
      <c r="Y1330">
        <v>0</v>
      </c>
      <c r="Z1330" t="s">
        <v>88</v>
      </c>
      <c r="AA1330" t="s">
        <v>2173</v>
      </c>
      <c r="AB1330" t="s">
        <v>10</v>
      </c>
      <c r="AC1330">
        <v>0</v>
      </c>
      <c r="AD1330">
        <v>0</v>
      </c>
      <c r="AE1330">
        <v>726182084510</v>
      </c>
      <c r="AF1330">
        <v>399.61</v>
      </c>
      <c r="AG1330">
        <v>0</v>
      </c>
      <c r="AH1330">
        <v>15</v>
      </c>
      <c r="AI1330">
        <v>414.61</v>
      </c>
      <c r="AJ1330" t="s">
        <v>2</v>
      </c>
      <c r="AK1330" t="s">
        <v>11</v>
      </c>
    </row>
    <row r="1331" spans="1:37">
      <c r="A1331">
        <v>257688</v>
      </c>
      <c r="B1331" s="1">
        <v>45366</v>
      </c>
      <c r="C1331" t="s">
        <v>1305</v>
      </c>
      <c r="D1331" t="s">
        <v>1306</v>
      </c>
      <c r="E1331" t="s">
        <v>2</v>
      </c>
      <c r="F1331" t="s">
        <v>1307</v>
      </c>
      <c r="G1331" t="s">
        <v>28</v>
      </c>
      <c r="H1331">
        <v>34233</v>
      </c>
      <c r="I1331" t="s">
        <v>1305</v>
      </c>
      <c r="J1331" t="s">
        <v>1306</v>
      </c>
      <c r="K1331" t="s">
        <v>2</v>
      </c>
      <c r="L1331" t="s">
        <v>1307</v>
      </c>
      <c r="M1331" t="s">
        <v>28</v>
      </c>
      <c r="N1331">
        <v>34233</v>
      </c>
      <c r="O1331" t="s">
        <v>1312</v>
      </c>
      <c r="P1331" t="s">
        <v>2156</v>
      </c>
      <c r="Q1331" t="s">
        <v>21</v>
      </c>
      <c r="R1331">
        <v>415290</v>
      </c>
      <c r="S1331" t="s">
        <v>84</v>
      </c>
      <c r="T1331" s="2">
        <v>207</v>
      </c>
      <c r="U1331">
        <v>0</v>
      </c>
      <c r="V1331" t="s">
        <v>260</v>
      </c>
      <c r="W1331">
        <v>3</v>
      </c>
      <c r="X1331">
        <v>3</v>
      </c>
      <c r="Y1331">
        <v>0</v>
      </c>
      <c r="Z1331" t="s">
        <v>2182</v>
      </c>
      <c r="AA1331" t="s">
        <v>2183</v>
      </c>
      <c r="AB1331" t="s">
        <v>14</v>
      </c>
      <c r="AC1331">
        <v>2.58</v>
      </c>
      <c r="AD1331">
        <v>7.74</v>
      </c>
      <c r="AE1331">
        <v>726182084510</v>
      </c>
      <c r="AF1331">
        <v>399.61</v>
      </c>
      <c r="AG1331">
        <v>0</v>
      </c>
      <c r="AH1331">
        <v>15</v>
      </c>
      <c r="AI1331">
        <v>414.61</v>
      </c>
      <c r="AJ1331" t="s">
        <v>2</v>
      </c>
      <c r="AK1331" t="s">
        <v>11</v>
      </c>
    </row>
    <row r="1332" spans="1:37">
      <c r="A1332">
        <v>257688</v>
      </c>
      <c r="B1332" s="1">
        <v>45366</v>
      </c>
      <c r="C1332" t="s">
        <v>1305</v>
      </c>
      <c r="D1332" t="s">
        <v>1306</v>
      </c>
      <c r="E1332" t="s">
        <v>2</v>
      </c>
      <c r="F1332" t="s">
        <v>1307</v>
      </c>
      <c r="G1332" t="s">
        <v>28</v>
      </c>
      <c r="H1332">
        <v>34233</v>
      </c>
      <c r="I1332" t="s">
        <v>1305</v>
      </c>
      <c r="J1332" t="s">
        <v>1306</v>
      </c>
      <c r="K1332" t="s">
        <v>2</v>
      </c>
      <c r="L1332" t="s">
        <v>1307</v>
      </c>
      <c r="M1332" t="s">
        <v>28</v>
      </c>
      <c r="N1332">
        <v>34233</v>
      </c>
      <c r="O1332" t="s">
        <v>1312</v>
      </c>
      <c r="P1332" t="s">
        <v>2156</v>
      </c>
      <c r="Q1332" t="s">
        <v>21</v>
      </c>
      <c r="R1332">
        <v>415290</v>
      </c>
      <c r="S1332" t="s">
        <v>84</v>
      </c>
      <c r="T1332" s="2">
        <v>207</v>
      </c>
      <c r="U1332">
        <v>0</v>
      </c>
      <c r="V1332" t="s">
        <v>260</v>
      </c>
      <c r="W1332">
        <v>0</v>
      </c>
      <c r="X1332">
        <v>0</v>
      </c>
      <c r="Y1332">
        <v>0</v>
      </c>
      <c r="Z1332" t="s">
        <v>88</v>
      </c>
      <c r="AA1332" t="s">
        <v>1883</v>
      </c>
      <c r="AB1332" t="s">
        <v>10</v>
      </c>
      <c r="AC1332">
        <v>0</v>
      </c>
      <c r="AD1332">
        <v>0</v>
      </c>
      <c r="AE1332">
        <v>726182084510</v>
      </c>
      <c r="AF1332">
        <v>399.61</v>
      </c>
      <c r="AG1332">
        <v>0</v>
      </c>
      <c r="AH1332">
        <v>15</v>
      </c>
      <c r="AI1332">
        <v>414.61</v>
      </c>
      <c r="AJ1332" t="s">
        <v>2</v>
      </c>
      <c r="AK1332" t="s">
        <v>11</v>
      </c>
    </row>
    <row r="1333" spans="1:37">
      <c r="A1333">
        <v>257688</v>
      </c>
      <c r="B1333" s="1">
        <v>45366</v>
      </c>
      <c r="C1333" t="s">
        <v>1305</v>
      </c>
      <c r="D1333" t="s">
        <v>1306</v>
      </c>
      <c r="E1333" t="s">
        <v>2</v>
      </c>
      <c r="F1333" t="s">
        <v>1307</v>
      </c>
      <c r="G1333" t="s">
        <v>28</v>
      </c>
      <c r="H1333">
        <v>34233</v>
      </c>
      <c r="I1333" t="s">
        <v>1305</v>
      </c>
      <c r="J1333" t="s">
        <v>1306</v>
      </c>
      <c r="K1333" t="s">
        <v>2</v>
      </c>
      <c r="L1333" t="s">
        <v>1307</v>
      </c>
      <c r="M1333" t="s">
        <v>28</v>
      </c>
      <c r="N1333">
        <v>34233</v>
      </c>
      <c r="O1333" t="s">
        <v>1312</v>
      </c>
      <c r="P1333" t="s">
        <v>2156</v>
      </c>
      <c r="Q1333" t="s">
        <v>21</v>
      </c>
      <c r="R1333">
        <v>415290</v>
      </c>
      <c r="S1333" t="s">
        <v>84</v>
      </c>
      <c r="T1333" s="2">
        <v>207</v>
      </c>
      <c r="U1333">
        <v>0</v>
      </c>
      <c r="V1333" t="s">
        <v>260</v>
      </c>
      <c r="W1333">
        <v>3</v>
      </c>
      <c r="X1333">
        <v>3</v>
      </c>
      <c r="Y1333">
        <v>0</v>
      </c>
      <c r="Z1333" t="s">
        <v>2184</v>
      </c>
      <c r="AA1333" t="s">
        <v>2185</v>
      </c>
      <c r="AB1333" t="s">
        <v>14</v>
      </c>
      <c r="AC1333">
        <v>2.58</v>
      </c>
      <c r="AD1333">
        <v>7.74</v>
      </c>
      <c r="AE1333">
        <v>726182084510</v>
      </c>
      <c r="AF1333">
        <v>399.61</v>
      </c>
      <c r="AG1333">
        <v>0</v>
      </c>
      <c r="AH1333">
        <v>15</v>
      </c>
      <c r="AI1333">
        <v>414.61</v>
      </c>
      <c r="AJ1333" t="s">
        <v>2</v>
      </c>
      <c r="AK1333" t="s">
        <v>11</v>
      </c>
    </row>
    <row r="1334" spans="1:37">
      <c r="A1334">
        <v>257688</v>
      </c>
      <c r="B1334" s="1">
        <v>45366</v>
      </c>
      <c r="C1334" t="s">
        <v>1305</v>
      </c>
      <c r="D1334" t="s">
        <v>1306</v>
      </c>
      <c r="E1334" t="s">
        <v>2</v>
      </c>
      <c r="F1334" t="s">
        <v>1307</v>
      </c>
      <c r="G1334" t="s">
        <v>28</v>
      </c>
      <c r="H1334">
        <v>34233</v>
      </c>
      <c r="I1334" t="s">
        <v>1305</v>
      </c>
      <c r="J1334" t="s">
        <v>1306</v>
      </c>
      <c r="K1334" t="s">
        <v>2</v>
      </c>
      <c r="L1334" t="s">
        <v>1307</v>
      </c>
      <c r="M1334" t="s">
        <v>28</v>
      </c>
      <c r="N1334">
        <v>34233</v>
      </c>
      <c r="O1334" t="s">
        <v>1312</v>
      </c>
      <c r="P1334" t="s">
        <v>2156</v>
      </c>
      <c r="Q1334" t="s">
        <v>21</v>
      </c>
      <c r="R1334">
        <v>415290</v>
      </c>
      <c r="S1334" t="s">
        <v>84</v>
      </c>
      <c r="T1334" s="2">
        <v>207</v>
      </c>
      <c r="U1334">
        <v>0</v>
      </c>
      <c r="V1334" t="s">
        <v>260</v>
      </c>
      <c r="W1334">
        <v>0</v>
      </c>
      <c r="X1334">
        <v>0</v>
      </c>
      <c r="Y1334">
        <v>0</v>
      </c>
      <c r="Z1334" t="s">
        <v>88</v>
      </c>
      <c r="AA1334" t="s">
        <v>1883</v>
      </c>
      <c r="AB1334" t="s">
        <v>10</v>
      </c>
      <c r="AC1334">
        <v>0</v>
      </c>
      <c r="AD1334">
        <v>0</v>
      </c>
      <c r="AE1334">
        <v>726182084510</v>
      </c>
      <c r="AF1334">
        <v>399.61</v>
      </c>
      <c r="AG1334">
        <v>0</v>
      </c>
      <c r="AH1334">
        <v>15</v>
      </c>
      <c r="AI1334">
        <v>414.61</v>
      </c>
      <c r="AJ1334" t="s">
        <v>2</v>
      </c>
      <c r="AK1334" t="s">
        <v>11</v>
      </c>
    </row>
    <row r="1335" spans="1:37">
      <c r="A1335">
        <v>257688</v>
      </c>
      <c r="B1335" s="1">
        <v>45366</v>
      </c>
      <c r="C1335" t="s">
        <v>1305</v>
      </c>
      <c r="D1335" t="s">
        <v>1306</v>
      </c>
      <c r="E1335" t="s">
        <v>2</v>
      </c>
      <c r="F1335" t="s">
        <v>1307</v>
      </c>
      <c r="G1335" t="s">
        <v>28</v>
      </c>
      <c r="H1335">
        <v>34233</v>
      </c>
      <c r="I1335" t="s">
        <v>1305</v>
      </c>
      <c r="J1335" t="s">
        <v>1306</v>
      </c>
      <c r="K1335" t="s">
        <v>2</v>
      </c>
      <c r="L1335" t="s">
        <v>1307</v>
      </c>
      <c r="M1335" t="s">
        <v>28</v>
      </c>
      <c r="N1335">
        <v>34233</v>
      </c>
      <c r="O1335" t="s">
        <v>1312</v>
      </c>
      <c r="P1335" t="s">
        <v>2156</v>
      </c>
      <c r="Q1335" t="s">
        <v>21</v>
      </c>
      <c r="R1335">
        <v>415290</v>
      </c>
      <c r="S1335" t="s">
        <v>84</v>
      </c>
      <c r="T1335" s="2">
        <v>207</v>
      </c>
      <c r="U1335">
        <v>0</v>
      </c>
      <c r="V1335" t="s">
        <v>260</v>
      </c>
      <c r="W1335">
        <v>3</v>
      </c>
      <c r="X1335">
        <v>3</v>
      </c>
      <c r="Y1335">
        <v>0</v>
      </c>
      <c r="Z1335" t="s">
        <v>2186</v>
      </c>
      <c r="AA1335" t="s">
        <v>2187</v>
      </c>
      <c r="AB1335" t="s">
        <v>14</v>
      </c>
      <c r="AC1335">
        <v>2.58</v>
      </c>
      <c r="AD1335">
        <v>7.74</v>
      </c>
      <c r="AE1335">
        <v>726182084510</v>
      </c>
      <c r="AF1335">
        <v>399.61</v>
      </c>
      <c r="AG1335">
        <v>0</v>
      </c>
      <c r="AH1335">
        <v>15</v>
      </c>
      <c r="AI1335">
        <v>414.61</v>
      </c>
      <c r="AJ1335" t="s">
        <v>2</v>
      </c>
      <c r="AK1335" t="s">
        <v>11</v>
      </c>
    </row>
    <row r="1336" spans="1:37">
      <c r="A1336">
        <v>257688</v>
      </c>
      <c r="B1336" s="1">
        <v>45366</v>
      </c>
      <c r="C1336" t="s">
        <v>1305</v>
      </c>
      <c r="D1336" t="s">
        <v>1306</v>
      </c>
      <c r="E1336" t="s">
        <v>2</v>
      </c>
      <c r="F1336" t="s">
        <v>1307</v>
      </c>
      <c r="G1336" t="s">
        <v>28</v>
      </c>
      <c r="H1336">
        <v>34233</v>
      </c>
      <c r="I1336" t="s">
        <v>1305</v>
      </c>
      <c r="J1336" t="s">
        <v>1306</v>
      </c>
      <c r="K1336" t="s">
        <v>2</v>
      </c>
      <c r="L1336" t="s">
        <v>1307</v>
      </c>
      <c r="M1336" t="s">
        <v>28</v>
      </c>
      <c r="N1336">
        <v>34233</v>
      </c>
      <c r="O1336" t="s">
        <v>1312</v>
      </c>
      <c r="P1336" t="s">
        <v>2156</v>
      </c>
      <c r="Q1336" t="s">
        <v>21</v>
      </c>
      <c r="R1336">
        <v>415290</v>
      </c>
      <c r="S1336" t="s">
        <v>84</v>
      </c>
      <c r="T1336" s="2">
        <v>207</v>
      </c>
      <c r="U1336">
        <v>0</v>
      </c>
      <c r="V1336" t="s">
        <v>260</v>
      </c>
      <c r="W1336">
        <v>0</v>
      </c>
      <c r="X1336">
        <v>0</v>
      </c>
      <c r="Y1336">
        <v>0</v>
      </c>
      <c r="Z1336" t="s">
        <v>88</v>
      </c>
      <c r="AA1336" t="s">
        <v>1883</v>
      </c>
      <c r="AB1336" t="s">
        <v>10</v>
      </c>
      <c r="AC1336">
        <v>0</v>
      </c>
      <c r="AD1336">
        <v>0</v>
      </c>
      <c r="AE1336">
        <v>726182084510</v>
      </c>
      <c r="AF1336">
        <v>399.61</v>
      </c>
      <c r="AG1336">
        <v>0</v>
      </c>
      <c r="AH1336">
        <v>15</v>
      </c>
      <c r="AI1336">
        <v>414.61</v>
      </c>
      <c r="AJ1336" t="s">
        <v>2</v>
      </c>
      <c r="AK1336" t="s">
        <v>11</v>
      </c>
    </row>
    <row r="1337" spans="1:37">
      <c r="A1337">
        <v>257688</v>
      </c>
      <c r="B1337" s="1">
        <v>45366</v>
      </c>
      <c r="C1337" t="s">
        <v>1305</v>
      </c>
      <c r="D1337" t="s">
        <v>1306</v>
      </c>
      <c r="E1337" t="s">
        <v>2</v>
      </c>
      <c r="F1337" t="s">
        <v>1307</v>
      </c>
      <c r="G1337" t="s">
        <v>28</v>
      </c>
      <c r="H1337">
        <v>34233</v>
      </c>
      <c r="I1337" t="s">
        <v>1305</v>
      </c>
      <c r="J1337" t="s">
        <v>1306</v>
      </c>
      <c r="K1337" t="s">
        <v>2</v>
      </c>
      <c r="L1337" t="s">
        <v>1307</v>
      </c>
      <c r="M1337" t="s">
        <v>28</v>
      </c>
      <c r="N1337">
        <v>34233</v>
      </c>
      <c r="O1337" t="s">
        <v>1312</v>
      </c>
      <c r="P1337" t="s">
        <v>2156</v>
      </c>
      <c r="Q1337" t="s">
        <v>21</v>
      </c>
      <c r="R1337">
        <v>415290</v>
      </c>
      <c r="S1337" t="s">
        <v>84</v>
      </c>
      <c r="T1337" s="2">
        <v>207</v>
      </c>
      <c r="U1337">
        <v>0</v>
      </c>
      <c r="V1337" t="s">
        <v>260</v>
      </c>
      <c r="W1337">
        <v>3</v>
      </c>
      <c r="X1337">
        <v>3</v>
      </c>
      <c r="Y1337">
        <v>0</v>
      </c>
      <c r="Z1337" t="s">
        <v>2188</v>
      </c>
      <c r="AA1337" t="s">
        <v>2189</v>
      </c>
      <c r="AB1337" t="s">
        <v>14</v>
      </c>
      <c r="AC1337">
        <v>2.58</v>
      </c>
      <c r="AD1337">
        <v>7.74</v>
      </c>
      <c r="AE1337">
        <v>726182084510</v>
      </c>
      <c r="AF1337">
        <v>399.61</v>
      </c>
      <c r="AG1337">
        <v>0</v>
      </c>
      <c r="AH1337">
        <v>15</v>
      </c>
      <c r="AI1337">
        <v>414.61</v>
      </c>
      <c r="AJ1337" t="s">
        <v>2</v>
      </c>
      <c r="AK1337" t="s">
        <v>11</v>
      </c>
    </row>
    <row r="1338" spans="1:37">
      <c r="A1338">
        <v>257688</v>
      </c>
      <c r="B1338" s="1">
        <v>45366</v>
      </c>
      <c r="C1338" t="s">
        <v>1305</v>
      </c>
      <c r="D1338" t="s">
        <v>1306</v>
      </c>
      <c r="E1338" t="s">
        <v>2</v>
      </c>
      <c r="F1338" t="s">
        <v>1307</v>
      </c>
      <c r="G1338" t="s">
        <v>28</v>
      </c>
      <c r="H1338">
        <v>34233</v>
      </c>
      <c r="I1338" t="s">
        <v>1305</v>
      </c>
      <c r="J1338" t="s">
        <v>1306</v>
      </c>
      <c r="K1338" t="s">
        <v>2</v>
      </c>
      <c r="L1338" t="s">
        <v>1307</v>
      </c>
      <c r="M1338" t="s">
        <v>28</v>
      </c>
      <c r="N1338">
        <v>34233</v>
      </c>
      <c r="O1338" t="s">
        <v>1312</v>
      </c>
      <c r="P1338" t="s">
        <v>2156</v>
      </c>
      <c r="Q1338" t="s">
        <v>21</v>
      </c>
      <c r="R1338">
        <v>415290</v>
      </c>
      <c r="S1338" t="s">
        <v>84</v>
      </c>
      <c r="T1338" s="2">
        <v>207</v>
      </c>
      <c r="U1338">
        <v>0</v>
      </c>
      <c r="V1338" t="s">
        <v>260</v>
      </c>
      <c r="W1338">
        <v>0</v>
      </c>
      <c r="X1338">
        <v>0</v>
      </c>
      <c r="Y1338">
        <v>0</v>
      </c>
      <c r="Z1338" t="s">
        <v>88</v>
      </c>
      <c r="AA1338" t="s">
        <v>1883</v>
      </c>
      <c r="AB1338" t="s">
        <v>10</v>
      </c>
      <c r="AC1338">
        <v>0</v>
      </c>
      <c r="AD1338">
        <v>0</v>
      </c>
      <c r="AE1338">
        <v>726182084510</v>
      </c>
      <c r="AF1338">
        <v>399.61</v>
      </c>
      <c r="AG1338">
        <v>0</v>
      </c>
      <c r="AH1338">
        <v>15</v>
      </c>
      <c r="AI1338">
        <v>414.61</v>
      </c>
      <c r="AJ1338" t="s">
        <v>2</v>
      </c>
      <c r="AK1338" t="s">
        <v>11</v>
      </c>
    </row>
    <row r="1339" spans="1:37">
      <c r="A1339">
        <v>257688</v>
      </c>
      <c r="B1339" s="1">
        <v>45366</v>
      </c>
      <c r="C1339" t="s">
        <v>1305</v>
      </c>
      <c r="D1339" t="s">
        <v>1306</v>
      </c>
      <c r="E1339" t="s">
        <v>2</v>
      </c>
      <c r="F1339" t="s">
        <v>1307</v>
      </c>
      <c r="G1339" t="s">
        <v>28</v>
      </c>
      <c r="H1339">
        <v>34233</v>
      </c>
      <c r="I1339" t="s">
        <v>1305</v>
      </c>
      <c r="J1339" t="s">
        <v>1306</v>
      </c>
      <c r="K1339" t="s">
        <v>2</v>
      </c>
      <c r="L1339" t="s">
        <v>1307</v>
      </c>
      <c r="M1339" t="s">
        <v>28</v>
      </c>
      <c r="N1339">
        <v>34233</v>
      </c>
      <c r="O1339" t="s">
        <v>1312</v>
      </c>
      <c r="P1339" t="s">
        <v>2156</v>
      </c>
      <c r="Q1339" t="s">
        <v>21</v>
      </c>
      <c r="R1339">
        <v>415290</v>
      </c>
      <c r="S1339" t="s">
        <v>84</v>
      </c>
      <c r="T1339" s="2">
        <v>207</v>
      </c>
      <c r="U1339">
        <v>0</v>
      </c>
      <c r="V1339" t="s">
        <v>260</v>
      </c>
      <c r="W1339">
        <v>3</v>
      </c>
      <c r="X1339">
        <v>3</v>
      </c>
      <c r="Y1339">
        <v>0</v>
      </c>
      <c r="Z1339" t="s">
        <v>2190</v>
      </c>
      <c r="AA1339" t="s">
        <v>2191</v>
      </c>
      <c r="AB1339" t="s">
        <v>14</v>
      </c>
      <c r="AC1339">
        <v>2.58</v>
      </c>
      <c r="AD1339">
        <v>7.74</v>
      </c>
      <c r="AE1339">
        <v>726182084510</v>
      </c>
      <c r="AF1339">
        <v>399.61</v>
      </c>
      <c r="AG1339">
        <v>0</v>
      </c>
      <c r="AH1339">
        <v>15</v>
      </c>
      <c r="AI1339">
        <v>414.61</v>
      </c>
      <c r="AJ1339" t="s">
        <v>2</v>
      </c>
      <c r="AK1339" t="s">
        <v>11</v>
      </c>
    </row>
    <row r="1340" spans="1:37">
      <c r="A1340">
        <v>257688</v>
      </c>
      <c r="B1340" s="1">
        <v>45366</v>
      </c>
      <c r="C1340" t="s">
        <v>1305</v>
      </c>
      <c r="D1340" t="s">
        <v>1306</v>
      </c>
      <c r="E1340" t="s">
        <v>2</v>
      </c>
      <c r="F1340" t="s">
        <v>1307</v>
      </c>
      <c r="G1340" t="s">
        <v>28</v>
      </c>
      <c r="H1340">
        <v>34233</v>
      </c>
      <c r="I1340" t="s">
        <v>1305</v>
      </c>
      <c r="J1340" t="s">
        <v>1306</v>
      </c>
      <c r="K1340" t="s">
        <v>2</v>
      </c>
      <c r="L1340" t="s">
        <v>1307</v>
      </c>
      <c r="M1340" t="s">
        <v>28</v>
      </c>
      <c r="N1340">
        <v>34233</v>
      </c>
      <c r="O1340" t="s">
        <v>1312</v>
      </c>
      <c r="P1340" t="s">
        <v>2156</v>
      </c>
      <c r="Q1340" t="s">
        <v>21</v>
      </c>
      <c r="R1340">
        <v>415290</v>
      </c>
      <c r="S1340" t="s">
        <v>84</v>
      </c>
      <c r="T1340" s="2">
        <v>207</v>
      </c>
      <c r="U1340">
        <v>0</v>
      </c>
      <c r="V1340" t="s">
        <v>260</v>
      </c>
      <c r="W1340">
        <v>0</v>
      </c>
      <c r="X1340">
        <v>0</v>
      </c>
      <c r="Y1340">
        <v>0</v>
      </c>
      <c r="Z1340" t="s">
        <v>88</v>
      </c>
      <c r="AA1340" t="s">
        <v>1883</v>
      </c>
      <c r="AB1340" t="s">
        <v>10</v>
      </c>
      <c r="AC1340">
        <v>0</v>
      </c>
      <c r="AD1340">
        <v>0</v>
      </c>
      <c r="AE1340">
        <v>726182084510</v>
      </c>
      <c r="AF1340">
        <v>399.61</v>
      </c>
      <c r="AG1340">
        <v>0</v>
      </c>
      <c r="AH1340">
        <v>15</v>
      </c>
      <c r="AI1340">
        <v>414.61</v>
      </c>
      <c r="AJ1340" t="s">
        <v>2</v>
      </c>
      <c r="AK1340" t="s">
        <v>11</v>
      </c>
    </row>
    <row r="1341" spans="1:37">
      <c r="A1341">
        <v>257688</v>
      </c>
      <c r="B1341" s="1">
        <v>45366</v>
      </c>
      <c r="C1341" t="s">
        <v>1305</v>
      </c>
      <c r="D1341" t="s">
        <v>1306</v>
      </c>
      <c r="E1341" t="s">
        <v>2</v>
      </c>
      <c r="F1341" t="s">
        <v>1307</v>
      </c>
      <c r="G1341" t="s">
        <v>28</v>
      </c>
      <c r="H1341">
        <v>34233</v>
      </c>
      <c r="I1341" t="s">
        <v>1305</v>
      </c>
      <c r="J1341" t="s">
        <v>1306</v>
      </c>
      <c r="K1341" t="s">
        <v>2</v>
      </c>
      <c r="L1341" t="s">
        <v>1307</v>
      </c>
      <c r="M1341" t="s">
        <v>28</v>
      </c>
      <c r="N1341">
        <v>34233</v>
      </c>
      <c r="O1341" t="s">
        <v>1312</v>
      </c>
      <c r="P1341" t="s">
        <v>2156</v>
      </c>
      <c r="Q1341" t="s">
        <v>21</v>
      </c>
      <c r="R1341">
        <v>415290</v>
      </c>
      <c r="S1341" t="s">
        <v>84</v>
      </c>
      <c r="T1341" s="2">
        <v>207</v>
      </c>
      <c r="U1341">
        <v>0</v>
      </c>
      <c r="V1341" t="s">
        <v>260</v>
      </c>
      <c r="W1341">
        <v>1</v>
      </c>
      <c r="X1341">
        <v>1</v>
      </c>
      <c r="Y1341">
        <v>0</v>
      </c>
      <c r="Z1341" t="s">
        <v>2192</v>
      </c>
      <c r="AA1341" t="s">
        <v>2193</v>
      </c>
      <c r="AB1341" t="s">
        <v>14</v>
      </c>
      <c r="AC1341">
        <v>2.2444000000000002</v>
      </c>
      <c r="AD1341">
        <v>2.2400000000000002</v>
      </c>
      <c r="AE1341">
        <v>726182084510</v>
      </c>
      <c r="AF1341">
        <v>399.61</v>
      </c>
      <c r="AG1341">
        <v>0</v>
      </c>
      <c r="AH1341">
        <v>15</v>
      </c>
      <c r="AI1341">
        <v>414.61</v>
      </c>
      <c r="AJ1341" t="s">
        <v>2</v>
      </c>
      <c r="AK1341" t="s">
        <v>11</v>
      </c>
    </row>
    <row r="1342" spans="1:37">
      <c r="A1342">
        <v>257688</v>
      </c>
      <c r="B1342" s="1">
        <v>45366</v>
      </c>
      <c r="C1342" t="s">
        <v>1305</v>
      </c>
      <c r="D1342" t="s">
        <v>1306</v>
      </c>
      <c r="E1342" t="s">
        <v>2</v>
      </c>
      <c r="F1342" t="s">
        <v>1307</v>
      </c>
      <c r="G1342" t="s">
        <v>28</v>
      </c>
      <c r="H1342">
        <v>34233</v>
      </c>
      <c r="I1342" t="s">
        <v>1305</v>
      </c>
      <c r="J1342" t="s">
        <v>1306</v>
      </c>
      <c r="K1342" t="s">
        <v>2</v>
      </c>
      <c r="L1342" t="s">
        <v>1307</v>
      </c>
      <c r="M1342" t="s">
        <v>28</v>
      </c>
      <c r="N1342">
        <v>34233</v>
      </c>
      <c r="O1342" t="s">
        <v>1312</v>
      </c>
      <c r="P1342" t="s">
        <v>2156</v>
      </c>
      <c r="Q1342" t="s">
        <v>21</v>
      </c>
      <c r="R1342">
        <v>415290</v>
      </c>
      <c r="S1342" t="s">
        <v>84</v>
      </c>
      <c r="T1342" s="2">
        <v>207</v>
      </c>
      <c r="U1342">
        <v>0</v>
      </c>
      <c r="V1342" t="s">
        <v>260</v>
      </c>
      <c r="W1342">
        <v>0</v>
      </c>
      <c r="X1342">
        <v>0</v>
      </c>
      <c r="Y1342">
        <v>0</v>
      </c>
      <c r="Z1342" t="s">
        <v>88</v>
      </c>
      <c r="AA1342" t="s">
        <v>2194</v>
      </c>
      <c r="AB1342" t="s">
        <v>10</v>
      </c>
      <c r="AC1342">
        <v>0</v>
      </c>
      <c r="AD1342">
        <v>0</v>
      </c>
      <c r="AE1342">
        <v>726182084510</v>
      </c>
      <c r="AF1342">
        <v>399.61</v>
      </c>
      <c r="AG1342">
        <v>0</v>
      </c>
      <c r="AH1342">
        <v>15</v>
      </c>
      <c r="AI1342">
        <v>414.61</v>
      </c>
      <c r="AJ1342" t="s">
        <v>2</v>
      </c>
      <c r="AK1342" t="s">
        <v>11</v>
      </c>
    </row>
    <row r="1343" spans="1:37">
      <c r="A1343">
        <v>257688</v>
      </c>
      <c r="B1343" s="1">
        <v>45366</v>
      </c>
      <c r="C1343" t="s">
        <v>1305</v>
      </c>
      <c r="D1343" t="s">
        <v>1306</v>
      </c>
      <c r="E1343" t="s">
        <v>2</v>
      </c>
      <c r="F1343" t="s">
        <v>1307</v>
      </c>
      <c r="G1343" t="s">
        <v>28</v>
      </c>
      <c r="H1343">
        <v>34233</v>
      </c>
      <c r="I1343" t="s">
        <v>1305</v>
      </c>
      <c r="J1343" t="s">
        <v>1306</v>
      </c>
      <c r="K1343" t="s">
        <v>2</v>
      </c>
      <c r="L1343" t="s">
        <v>1307</v>
      </c>
      <c r="M1343" t="s">
        <v>28</v>
      </c>
      <c r="N1343">
        <v>34233</v>
      </c>
      <c r="O1343" t="s">
        <v>1312</v>
      </c>
      <c r="P1343" t="s">
        <v>2156</v>
      </c>
      <c r="Q1343" t="s">
        <v>21</v>
      </c>
      <c r="R1343">
        <v>415290</v>
      </c>
      <c r="S1343" t="s">
        <v>84</v>
      </c>
      <c r="T1343" s="2">
        <v>207</v>
      </c>
      <c r="U1343">
        <v>0</v>
      </c>
      <c r="V1343" t="s">
        <v>260</v>
      </c>
      <c r="W1343">
        <v>1</v>
      </c>
      <c r="X1343">
        <v>1</v>
      </c>
      <c r="Y1343">
        <v>0</v>
      </c>
      <c r="Z1343" t="s">
        <v>2195</v>
      </c>
      <c r="AA1343" t="s">
        <v>2196</v>
      </c>
      <c r="AB1343" t="s">
        <v>14</v>
      </c>
      <c r="AC1343">
        <v>2.2444000000000002</v>
      </c>
      <c r="AD1343">
        <v>2.2400000000000002</v>
      </c>
      <c r="AE1343">
        <v>726182084510</v>
      </c>
      <c r="AF1343">
        <v>399.61</v>
      </c>
      <c r="AG1343">
        <v>0</v>
      </c>
      <c r="AH1343">
        <v>15</v>
      </c>
      <c r="AI1343">
        <v>414.61</v>
      </c>
      <c r="AJ1343" t="s">
        <v>2</v>
      </c>
      <c r="AK1343" t="s">
        <v>11</v>
      </c>
    </row>
    <row r="1344" spans="1:37">
      <c r="A1344">
        <v>257688</v>
      </c>
      <c r="B1344" s="1">
        <v>45366</v>
      </c>
      <c r="C1344" t="s">
        <v>1305</v>
      </c>
      <c r="D1344" t="s">
        <v>1306</v>
      </c>
      <c r="E1344" t="s">
        <v>2</v>
      </c>
      <c r="F1344" t="s">
        <v>1307</v>
      </c>
      <c r="G1344" t="s">
        <v>28</v>
      </c>
      <c r="H1344">
        <v>34233</v>
      </c>
      <c r="I1344" t="s">
        <v>1305</v>
      </c>
      <c r="J1344" t="s">
        <v>1306</v>
      </c>
      <c r="K1344" t="s">
        <v>2</v>
      </c>
      <c r="L1344" t="s">
        <v>1307</v>
      </c>
      <c r="M1344" t="s">
        <v>28</v>
      </c>
      <c r="N1344">
        <v>34233</v>
      </c>
      <c r="O1344" t="s">
        <v>1312</v>
      </c>
      <c r="P1344" t="s">
        <v>2156</v>
      </c>
      <c r="Q1344" t="s">
        <v>21</v>
      </c>
      <c r="R1344">
        <v>415290</v>
      </c>
      <c r="S1344" t="s">
        <v>84</v>
      </c>
      <c r="T1344" s="2">
        <v>207</v>
      </c>
      <c r="U1344">
        <v>0</v>
      </c>
      <c r="V1344" t="s">
        <v>260</v>
      </c>
      <c r="W1344">
        <v>0</v>
      </c>
      <c r="X1344">
        <v>0</v>
      </c>
      <c r="Y1344">
        <v>0</v>
      </c>
      <c r="Z1344" t="s">
        <v>88</v>
      </c>
      <c r="AA1344" t="s">
        <v>2194</v>
      </c>
      <c r="AB1344" t="s">
        <v>10</v>
      </c>
      <c r="AC1344">
        <v>0</v>
      </c>
      <c r="AD1344">
        <v>0</v>
      </c>
      <c r="AE1344">
        <v>726182084510</v>
      </c>
      <c r="AF1344">
        <v>399.61</v>
      </c>
      <c r="AG1344">
        <v>0</v>
      </c>
      <c r="AH1344">
        <v>15</v>
      </c>
      <c r="AI1344">
        <v>414.61</v>
      </c>
      <c r="AJ1344" t="s">
        <v>2</v>
      </c>
      <c r="AK1344" t="s">
        <v>11</v>
      </c>
    </row>
    <row r="1345" spans="1:37">
      <c r="A1345">
        <v>257688</v>
      </c>
      <c r="B1345" s="1">
        <v>45366</v>
      </c>
      <c r="C1345" t="s">
        <v>1305</v>
      </c>
      <c r="D1345" t="s">
        <v>1306</v>
      </c>
      <c r="E1345" t="s">
        <v>2</v>
      </c>
      <c r="F1345" t="s">
        <v>1307</v>
      </c>
      <c r="G1345" t="s">
        <v>28</v>
      </c>
      <c r="H1345">
        <v>34233</v>
      </c>
      <c r="I1345" t="s">
        <v>1305</v>
      </c>
      <c r="J1345" t="s">
        <v>1306</v>
      </c>
      <c r="K1345" t="s">
        <v>2</v>
      </c>
      <c r="L1345" t="s">
        <v>1307</v>
      </c>
      <c r="M1345" t="s">
        <v>28</v>
      </c>
      <c r="N1345">
        <v>34233</v>
      </c>
      <c r="O1345" t="s">
        <v>1312</v>
      </c>
      <c r="P1345" t="s">
        <v>2156</v>
      </c>
      <c r="Q1345" t="s">
        <v>21</v>
      </c>
      <c r="R1345">
        <v>415290</v>
      </c>
      <c r="S1345" t="s">
        <v>84</v>
      </c>
      <c r="T1345" s="2">
        <v>207</v>
      </c>
      <c r="U1345">
        <v>0</v>
      </c>
      <c r="V1345" t="s">
        <v>260</v>
      </c>
      <c r="W1345">
        <v>1</v>
      </c>
      <c r="X1345">
        <v>1</v>
      </c>
      <c r="Y1345">
        <v>0</v>
      </c>
      <c r="Z1345" t="s">
        <v>2197</v>
      </c>
      <c r="AA1345" t="s">
        <v>2198</v>
      </c>
      <c r="AB1345" t="s">
        <v>14</v>
      </c>
      <c r="AC1345">
        <v>2.2444000000000002</v>
      </c>
      <c r="AD1345">
        <v>2.2400000000000002</v>
      </c>
      <c r="AE1345">
        <v>726182084510</v>
      </c>
      <c r="AF1345">
        <v>399.61</v>
      </c>
      <c r="AG1345">
        <v>0</v>
      </c>
      <c r="AH1345">
        <v>15</v>
      </c>
      <c r="AI1345">
        <v>414.61</v>
      </c>
      <c r="AJ1345" t="s">
        <v>2</v>
      </c>
      <c r="AK1345" t="s">
        <v>11</v>
      </c>
    </row>
    <row r="1346" spans="1:37">
      <c r="A1346">
        <v>257688</v>
      </c>
      <c r="B1346" s="1">
        <v>45366</v>
      </c>
      <c r="C1346" t="s">
        <v>1305</v>
      </c>
      <c r="D1346" t="s">
        <v>1306</v>
      </c>
      <c r="E1346" t="s">
        <v>2</v>
      </c>
      <c r="F1346" t="s">
        <v>1307</v>
      </c>
      <c r="G1346" t="s">
        <v>28</v>
      </c>
      <c r="H1346">
        <v>34233</v>
      </c>
      <c r="I1346" t="s">
        <v>1305</v>
      </c>
      <c r="J1346" t="s">
        <v>1306</v>
      </c>
      <c r="K1346" t="s">
        <v>2</v>
      </c>
      <c r="L1346" t="s">
        <v>1307</v>
      </c>
      <c r="M1346" t="s">
        <v>28</v>
      </c>
      <c r="N1346">
        <v>34233</v>
      </c>
      <c r="O1346" t="s">
        <v>1312</v>
      </c>
      <c r="P1346" t="s">
        <v>2156</v>
      </c>
      <c r="Q1346" t="s">
        <v>21</v>
      </c>
      <c r="R1346">
        <v>415290</v>
      </c>
      <c r="S1346" t="s">
        <v>84</v>
      </c>
      <c r="T1346" s="2">
        <v>207</v>
      </c>
      <c r="U1346">
        <v>0</v>
      </c>
      <c r="V1346" t="s">
        <v>260</v>
      </c>
      <c r="W1346">
        <v>0</v>
      </c>
      <c r="X1346">
        <v>0</v>
      </c>
      <c r="Y1346">
        <v>0</v>
      </c>
      <c r="Z1346" t="s">
        <v>88</v>
      </c>
      <c r="AA1346" t="s">
        <v>2194</v>
      </c>
      <c r="AB1346" t="s">
        <v>10</v>
      </c>
      <c r="AC1346">
        <v>0</v>
      </c>
      <c r="AD1346">
        <v>0</v>
      </c>
      <c r="AE1346">
        <v>726182084510</v>
      </c>
      <c r="AF1346">
        <v>399.61</v>
      </c>
      <c r="AG1346">
        <v>0</v>
      </c>
      <c r="AH1346">
        <v>15</v>
      </c>
      <c r="AI1346">
        <v>414.61</v>
      </c>
      <c r="AJ1346" t="s">
        <v>2</v>
      </c>
      <c r="AK1346" t="s">
        <v>11</v>
      </c>
    </row>
    <row r="1347" spans="1:37">
      <c r="A1347">
        <v>257688</v>
      </c>
      <c r="B1347" s="1">
        <v>45366</v>
      </c>
      <c r="C1347" t="s">
        <v>1305</v>
      </c>
      <c r="D1347" t="s">
        <v>1306</v>
      </c>
      <c r="E1347" t="s">
        <v>2</v>
      </c>
      <c r="F1347" t="s">
        <v>1307</v>
      </c>
      <c r="G1347" t="s">
        <v>28</v>
      </c>
      <c r="H1347">
        <v>34233</v>
      </c>
      <c r="I1347" t="s">
        <v>1305</v>
      </c>
      <c r="J1347" t="s">
        <v>1306</v>
      </c>
      <c r="K1347" t="s">
        <v>2</v>
      </c>
      <c r="L1347" t="s">
        <v>1307</v>
      </c>
      <c r="M1347" t="s">
        <v>28</v>
      </c>
      <c r="N1347">
        <v>34233</v>
      </c>
      <c r="O1347" t="s">
        <v>1312</v>
      </c>
      <c r="P1347" t="s">
        <v>2156</v>
      </c>
      <c r="Q1347" t="s">
        <v>21</v>
      </c>
      <c r="R1347">
        <v>415290</v>
      </c>
      <c r="S1347" t="s">
        <v>84</v>
      </c>
      <c r="T1347" s="2">
        <v>207</v>
      </c>
      <c r="U1347">
        <v>0</v>
      </c>
      <c r="V1347" t="s">
        <v>260</v>
      </c>
      <c r="W1347">
        <v>1</v>
      </c>
      <c r="X1347">
        <v>1</v>
      </c>
      <c r="Y1347">
        <v>0</v>
      </c>
      <c r="Z1347" t="s">
        <v>2199</v>
      </c>
      <c r="AA1347" t="s">
        <v>2200</v>
      </c>
      <c r="AB1347" t="s">
        <v>14</v>
      </c>
      <c r="AC1347">
        <v>2.2444000000000002</v>
      </c>
      <c r="AD1347">
        <v>2.2400000000000002</v>
      </c>
      <c r="AE1347">
        <v>726182084510</v>
      </c>
      <c r="AF1347">
        <v>399.61</v>
      </c>
      <c r="AG1347">
        <v>0</v>
      </c>
      <c r="AH1347">
        <v>15</v>
      </c>
      <c r="AI1347">
        <v>414.61</v>
      </c>
      <c r="AJ1347" t="s">
        <v>2</v>
      </c>
      <c r="AK1347" t="s">
        <v>11</v>
      </c>
    </row>
    <row r="1348" spans="1:37">
      <c r="A1348">
        <v>257688</v>
      </c>
      <c r="B1348" s="1">
        <v>45366</v>
      </c>
      <c r="C1348" t="s">
        <v>1305</v>
      </c>
      <c r="D1348" t="s">
        <v>1306</v>
      </c>
      <c r="E1348" t="s">
        <v>2</v>
      </c>
      <c r="F1348" t="s">
        <v>1307</v>
      </c>
      <c r="G1348" t="s">
        <v>28</v>
      </c>
      <c r="H1348">
        <v>34233</v>
      </c>
      <c r="I1348" t="s">
        <v>1305</v>
      </c>
      <c r="J1348" t="s">
        <v>1306</v>
      </c>
      <c r="K1348" t="s">
        <v>2</v>
      </c>
      <c r="L1348" t="s">
        <v>1307</v>
      </c>
      <c r="M1348" t="s">
        <v>28</v>
      </c>
      <c r="N1348">
        <v>34233</v>
      </c>
      <c r="O1348" t="s">
        <v>1312</v>
      </c>
      <c r="P1348" t="s">
        <v>2156</v>
      </c>
      <c r="Q1348" t="s">
        <v>21</v>
      </c>
      <c r="R1348">
        <v>415290</v>
      </c>
      <c r="S1348" t="s">
        <v>84</v>
      </c>
      <c r="T1348" s="2">
        <v>207</v>
      </c>
      <c r="U1348">
        <v>0</v>
      </c>
      <c r="V1348" t="s">
        <v>260</v>
      </c>
      <c r="W1348">
        <v>0</v>
      </c>
      <c r="X1348">
        <v>0</v>
      </c>
      <c r="Y1348">
        <v>0</v>
      </c>
      <c r="Z1348" t="s">
        <v>88</v>
      </c>
      <c r="AA1348" t="s">
        <v>2194</v>
      </c>
      <c r="AB1348" t="s">
        <v>10</v>
      </c>
      <c r="AC1348">
        <v>0</v>
      </c>
      <c r="AD1348">
        <v>0</v>
      </c>
      <c r="AE1348">
        <v>726182084510</v>
      </c>
      <c r="AF1348">
        <v>399.61</v>
      </c>
      <c r="AG1348">
        <v>0</v>
      </c>
      <c r="AH1348">
        <v>15</v>
      </c>
      <c r="AI1348">
        <v>414.61</v>
      </c>
      <c r="AJ1348" t="s">
        <v>2</v>
      </c>
      <c r="AK1348" t="s">
        <v>11</v>
      </c>
    </row>
    <row r="1349" spans="1:37">
      <c r="A1349">
        <v>257688</v>
      </c>
      <c r="B1349" s="1">
        <v>45366</v>
      </c>
      <c r="C1349" t="s">
        <v>1305</v>
      </c>
      <c r="D1349" t="s">
        <v>1306</v>
      </c>
      <c r="E1349" t="s">
        <v>2</v>
      </c>
      <c r="F1349" t="s">
        <v>1307</v>
      </c>
      <c r="G1349" t="s">
        <v>28</v>
      </c>
      <c r="H1349">
        <v>34233</v>
      </c>
      <c r="I1349" t="s">
        <v>1305</v>
      </c>
      <c r="J1349" t="s">
        <v>1306</v>
      </c>
      <c r="K1349" t="s">
        <v>2</v>
      </c>
      <c r="L1349" t="s">
        <v>1307</v>
      </c>
      <c r="M1349" t="s">
        <v>28</v>
      </c>
      <c r="N1349">
        <v>34233</v>
      </c>
      <c r="O1349" t="s">
        <v>1312</v>
      </c>
      <c r="P1349" t="s">
        <v>2156</v>
      </c>
      <c r="Q1349" t="s">
        <v>21</v>
      </c>
      <c r="R1349">
        <v>415290</v>
      </c>
      <c r="S1349" t="s">
        <v>84</v>
      </c>
      <c r="T1349" s="2">
        <v>207</v>
      </c>
      <c r="U1349">
        <v>0</v>
      </c>
      <c r="V1349" t="s">
        <v>260</v>
      </c>
      <c r="W1349">
        <v>1</v>
      </c>
      <c r="X1349">
        <v>1</v>
      </c>
      <c r="Y1349">
        <v>0</v>
      </c>
      <c r="Z1349" t="s">
        <v>2201</v>
      </c>
      <c r="AA1349" t="s">
        <v>2202</v>
      </c>
      <c r="AB1349" t="s">
        <v>14</v>
      </c>
      <c r="AC1349">
        <v>1.6327</v>
      </c>
      <c r="AD1349">
        <v>1.63</v>
      </c>
      <c r="AE1349">
        <v>726182084510</v>
      </c>
      <c r="AF1349">
        <v>399.61</v>
      </c>
      <c r="AG1349">
        <v>0</v>
      </c>
      <c r="AH1349">
        <v>15</v>
      </c>
      <c r="AI1349">
        <v>414.61</v>
      </c>
      <c r="AJ1349" t="s">
        <v>2</v>
      </c>
      <c r="AK1349" t="s">
        <v>11</v>
      </c>
    </row>
    <row r="1350" spans="1:37">
      <c r="A1350">
        <v>257688</v>
      </c>
      <c r="B1350" s="1">
        <v>45366</v>
      </c>
      <c r="C1350" t="s">
        <v>1305</v>
      </c>
      <c r="D1350" t="s">
        <v>1306</v>
      </c>
      <c r="E1350" t="s">
        <v>2</v>
      </c>
      <c r="F1350" t="s">
        <v>1307</v>
      </c>
      <c r="G1350" t="s">
        <v>28</v>
      </c>
      <c r="H1350">
        <v>34233</v>
      </c>
      <c r="I1350" t="s">
        <v>1305</v>
      </c>
      <c r="J1350" t="s">
        <v>1306</v>
      </c>
      <c r="K1350" t="s">
        <v>2</v>
      </c>
      <c r="L1350" t="s">
        <v>1307</v>
      </c>
      <c r="M1350" t="s">
        <v>28</v>
      </c>
      <c r="N1350">
        <v>34233</v>
      </c>
      <c r="O1350" t="s">
        <v>1312</v>
      </c>
      <c r="P1350" t="s">
        <v>2156</v>
      </c>
      <c r="Q1350" t="s">
        <v>21</v>
      </c>
      <c r="R1350">
        <v>415290</v>
      </c>
      <c r="S1350" t="s">
        <v>84</v>
      </c>
      <c r="T1350" s="2">
        <v>207</v>
      </c>
      <c r="U1350">
        <v>0</v>
      </c>
      <c r="V1350" t="s">
        <v>260</v>
      </c>
      <c r="W1350">
        <v>0</v>
      </c>
      <c r="X1350">
        <v>0</v>
      </c>
      <c r="Y1350">
        <v>0</v>
      </c>
      <c r="Z1350" t="s">
        <v>88</v>
      </c>
      <c r="AA1350" t="s">
        <v>2203</v>
      </c>
      <c r="AB1350" t="s">
        <v>10</v>
      </c>
      <c r="AC1350">
        <v>0</v>
      </c>
      <c r="AD1350">
        <v>0</v>
      </c>
      <c r="AE1350">
        <v>726182084510</v>
      </c>
      <c r="AF1350">
        <v>399.61</v>
      </c>
      <c r="AG1350">
        <v>0</v>
      </c>
      <c r="AH1350">
        <v>15</v>
      </c>
      <c r="AI1350">
        <v>414.61</v>
      </c>
      <c r="AJ1350" t="s">
        <v>2</v>
      </c>
      <c r="AK1350" t="s">
        <v>11</v>
      </c>
    </row>
    <row r="1351" spans="1:37">
      <c r="A1351">
        <v>257688</v>
      </c>
      <c r="B1351" s="1">
        <v>45366</v>
      </c>
      <c r="C1351" t="s">
        <v>1305</v>
      </c>
      <c r="D1351" t="s">
        <v>1306</v>
      </c>
      <c r="E1351" t="s">
        <v>2</v>
      </c>
      <c r="F1351" t="s">
        <v>1307</v>
      </c>
      <c r="G1351" t="s">
        <v>28</v>
      </c>
      <c r="H1351">
        <v>34233</v>
      </c>
      <c r="I1351" t="s">
        <v>1305</v>
      </c>
      <c r="J1351" t="s">
        <v>1306</v>
      </c>
      <c r="K1351" t="s">
        <v>2</v>
      </c>
      <c r="L1351" t="s">
        <v>1307</v>
      </c>
      <c r="M1351" t="s">
        <v>28</v>
      </c>
      <c r="N1351">
        <v>34233</v>
      </c>
      <c r="O1351" t="s">
        <v>1312</v>
      </c>
      <c r="P1351" t="s">
        <v>2156</v>
      </c>
      <c r="Q1351" t="s">
        <v>21</v>
      </c>
      <c r="R1351">
        <v>415290</v>
      </c>
      <c r="S1351" t="s">
        <v>84</v>
      </c>
      <c r="T1351" s="2">
        <v>207</v>
      </c>
      <c r="U1351">
        <v>0</v>
      </c>
      <c r="V1351" t="s">
        <v>260</v>
      </c>
      <c r="W1351">
        <v>1</v>
      </c>
      <c r="X1351">
        <v>0</v>
      </c>
      <c r="Y1351">
        <v>1</v>
      </c>
      <c r="Z1351" t="s">
        <v>2204</v>
      </c>
      <c r="AA1351" t="s">
        <v>2205</v>
      </c>
      <c r="AB1351" t="s">
        <v>14</v>
      </c>
      <c r="AC1351">
        <v>1.6327</v>
      </c>
      <c r="AD1351">
        <v>0</v>
      </c>
      <c r="AE1351">
        <v>726182084510</v>
      </c>
      <c r="AF1351">
        <v>399.61</v>
      </c>
      <c r="AG1351">
        <v>0</v>
      </c>
      <c r="AH1351">
        <v>15</v>
      </c>
      <c r="AI1351">
        <v>414.61</v>
      </c>
      <c r="AJ1351" t="s">
        <v>2</v>
      </c>
      <c r="AK1351" t="s">
        <v>11</v>
      </c>
    </row>
    <row r="1352" spans="1:37">
      <c r="A1352">
        <v>257688</v>
      </c>
      <c r="B1352" s="1">
        <v>45366</v>
      </c>
      <c r="C1352" t="s">
        <v>1305</v>
      </c>
      <c r="D1352" t="s">
        <v>1306</v>
      </c>
      <c r="E1352" t="s">
        <v>2</v>
      </c>
      <c r="F1352" t="s">
        <v>1307</v>
      </c>
      <c r="G1352" t="s">
        <v>28</v>
      </c>
      <c r="H1352">
        <v>34233</v>
      </c>
      <c r="I1352" t="s">
        <v>1305</v>
      </c>
      <c r="J1352" t="s">
        <v>1306</v>
      </c>
      <c r="K1352" t="s">
        <v>2</v>
      </c>
      <c r="L1352" t="s">
        <v>1307</v>
      </c>
      <c r="M1352" t="s">
        <v>28</v>
      </c>
      <c r="N1352">
        <v>34233</v>
      </c>
      <c r="O1352" t="s">
        <v>1312</v>
      </c>
      <c r="P1352" t="s">
        <v>2156</v>
      </c>
      <c r="Q1352" t="s">
        <v>21</v>
      </c>
      <c r="R1352">
        <v>415290</v>
      </c>
      <c r="S1352" t="s">
        <v>84</v>
      </c>
      <c r="T1352" s="2">
        <v>207</v>
      </c>
      <c r="U1352">
        <v>0</v>
      </c>
      <c r="V1352" t="s">
        <v>260</v>
      </c>
      <c r="W1352">
        <v>0</v>
      </c>
      <c r="X1352">
        <v>0</v>
      </c>
      <c r="Y1352">
        <v>0</v>
      </c>
      <c r="Z1352" t="s">
        <v>88</v>
      </c>
      <c r="AA1352" t="s">
        <v>2203</v>
      </c>
      <c r="AB1352" t="s">
        <v>10</v>
      </c>
      <c r="AC1352">
        <v>0</v>
      </c>
      <c r="AD1352">
        <v>0</v>
      </c>
      <c r="AE1352">
        <v>726182084510</v>
      </c>
      <c r="AF1352">
        <v>399.61</v>
      </c>
      <c r="AG1352">
        <v>0</v>
      </c>
      <c r="AH1352">
        <v>15</v>
      </c>
      <c r="AI1352">
        <v>414.61</v>
      </c>
      <c r="AJ1352" t="s">
        <v>2</v>
      </c>
      <c r="AK1352" t="s">
        <v>11</v>
      </c>
    </row>
    <row r="1353" spans="1:37">
      <c r="A1353">
        <v>257688</v>
      </c>
      <c r="B1353" s="1">
        <v>45366</v>
      </c>
      <c r="C1353" t="s">
        <v>1305</v>
      </c>
      <c r="D1353" t="s">
        <v>1306</v>
      </c>
      <c r="E1353" t="s">
        <v>2</v>
      </c>
      <c r="F1353" t="s">
        <v>1307</v>
      </c>
      <c r="G1353" t="s">
        <v>28</v>
      </c>
      <c r="H1353">
        <v>34233</v>
      </c>
      <c r="I1353" t="s">
        <v>1305</v>
      </c>
      <c r="J1353" t="s">
        <v>1306</v>
      </c>
      <c r="K1353" t="s">
        <v>2</v>
      </c>
      <c r="L1353" t="s">
        <v>1307</v>
      </c>
      <c r="M1353" t="s">
        <v>28</v>
      </c>
      <c r="N1353">
        <v>34233</v>
      </c>
      <c r="O1353" t="s">
        <v>1312</v>
      </c>
      <c r="P1353" t="s">
        <v>2156</v>
      </c>
      <c r="Q1353" t="s">
        <v>21</v>
      </c>
      <c r="R1353">
        <v>415290</v>
      </c>
      <c r="S1353" t="s">
        <v>84</v>
      </c>
      <c r="T1353" s="2">
        <v>207</v>
      </c>
      <c r="U1353">
        <v>0</v>
      </c>
      <c r="V1353" t="s">
        <v>260</v>
      </c>
      <c r="W1353">
        <v>1</v>
      </c>
      <c r="X1353">
        <v>1</v>
      </c>
      <c r="Y1353">
        <v>0</v>
      </c>
      <c r="Z1353" t="s">
        <v>2206</v>
      </c>
      <c r="AA1353" t="s">
        <v>2207</v>
      </c>
      <c r="AB1353" t="s">
        <v>14</v>
      </c>
      <c r="AC1353">
        <v>1.6327</v>
      </c>
      <c r="AD1353">
        <v>1.63</v>
      </c>
      <c r="AE1353">
        <v>726182084510</v>
      </c>
      <c r="AF1353">
        <v>399.61</v>
      </c>
      <c r="AG1353">
        <v>0</v>
      </c>
      <c r="AH1353">
        <v>15</v>
      </c>
      <c r="AI1353">
        <v>414.61</v>
      </c>
      <c r="AJ1353" t="s">
        <v>2</v>
      </c>
      <c r="AK1353" t="s">
        <v>11</v>
      </c>
    </row>
    <row r="1354" spans="1:37">
      <c r="A1354">
        <v>257688</v>
      </c>
      <c r="B1354" s="1">
        <v>45366</v>
      </c>
      <c r="C1354" t="s">
        <v>1305</v>
      </c>
      <c r="D1354" t="s">
        <v>1306</v>
      </c>
      <c r="E1354" t="s">
        <v>2</v>
      </c>
      <c r="F1354" t="s">
        <v>1307</v>
      </c>
      <c r="G1354" t="s">
        <v>28</v>
      </c>
      <c r="H1354">
        <v>34233</v>
      </c>
      <c r="I1354" t="s">
        <v>1305</v>
      </c>
      <c r="J1354" t="s">
        <v>1306</v>
      </c>
      <c r="K1354" t="s">
        <v>2</v>
      </c>
      <c r="L1354" t="s">
        <v>1307</v>
      </c>
      <c r="M1354" t="s">
        <v>28</v>
      </c>
      <c r="N1354">
        <v>34233</v>
      </c>
      <c r="O1354" t="s">
        <v>1312</v>
      </c>
      <c r="P1354" t="s">
        <v>2156</v>
      </c>
      <c r="Q1354" t="s">
        <v>21</v>
      </c>
      <c r="R1354">
        <v>415290</v>
      </c>
      <c r="S1354" t="s">
        <v>84</v>
      </c>
      <c r="T1354" s="2">
        <v>207</v>
      </c>
      <c r="U1354">
        <v>0</v>
      </c>
      <c r="V1354" t="s">
        <v>260</v>
      </c>
      <c r="W1354">
        <v>0</v>
      </c>
      <c r="X1354">
        <v>0</v>
      </c>
      <c r="Y1354">
        <v>0</v>
      </c>
      <c r="Z1354" t="s">
        <v>88</v>
      </c>
      <c r="AA1354" t="s">
        <v>2203</v>
      </c>
      <c r="AB1354" t="s">
        <v>10</v>
      </c>
      <c r="AC1354">
        <v>0</v>
      </c>
      <c r="AD1354">
        <v>0</v>
      </c>
      <c r="AE1354">
        <v>726182084510</v>
      </c>
      <c r="AF1354">
        <v>399.61</v>
      </c>
      <c r="AG1354">
        <v>0</v>
      </c>
      <c r="AH1354">
        <v>15</v>
      </c>
      <c r="AI1354">
        <v>414.61</v>
      </c>
      <c r="AJ1354" t="s">
        <v>2</v>
      </c>
      <c r="AK1354" t="s">
        <v>11</v>
      </c>
    </row>
    <row r="1355" spans="1:37">
      <c r="A1355">
        <v>257688</v>
      </c>
      <c r="B1355" s="1">
        <v>45366</v>
      </c>
      <c r="C1355" t="s">
        <v>1305</v>
      </c>
      <c r="D1355" t="s">
        <v>1306</v>
      </c>
      <c r="E1355" t="s">
        <v>2</v>
      </c>
      <c r="F1355" t="s">
        <v>1307</v>
      </c>
      <c r="G1355" t="s">
        <v>28</v>
      </c>
      <c r="H1355">
        <v>34233</v>
      </c>
      <c r="I1355" t="s">
        <v>1305</v>
      </c>
      <c r="J1355" t="s">
        <v>1306</v>
      </c>
      <c r="K1355" t="s">
        <v>2</v>
      </c>
      <c r="L1355" t="s">
        <v>1307</v>
      </c>
      <c r="M1355" t="s">
        <v>28</v>
      </c>
      <c r="N1355">
        <v>34233</v>
      </c>
      <c r="O1355" t="s">
        <v>1312</v>
      </c>
      <c r="P1355" t="s">
        <v>2156</v>
      </c>
      <c r="Q1355" t="s">
        <v>21</v>
      </c>
      <c r="R1355">
        <v>415290</v>
      </c>
      <c r="S1355" t="s">
        <v>84</v>
      </c>
      <c r="T1355" s="2">
        <v>207</v>
      </c>
      <c r="U1355">
        <v>0</v>
      </c>
      <c r="V1355" t="s">
        <v>260</v>
      </c>
      <c r="W1355">
        <v>1</v>
      </c>
      <c r="X1355">
        <v>1</v>
      </c>
      <c r="Y1355">
        <v>0</v>
      </c>
      <c r="Z1355" t="s">
        <v>2208</v>
      </c>
      <c r="AA1355" t="s">
        <v>2209</v>
      </c>
      <c r="AB1355" t="s">
        <v>14</v>
      </c>
      <c r="AC1355">
        <v>1.6327</v>
      </c>
      <c r="AD1355">
        <v>1.63</v>
      </c>
      <c r="AE1355">
        <v>726182084510</v>
      </c>
      <c r="AF1355">
        <v>399.61</v>
      </c>
      <c r="AG1355">
        <v>0</v>
      </c>
      <c r="AH1355">
        <v>15</v>
      </c>
      <c r="AI1355">
        <v>414.61</v>
      </c>
      <c r="AJ1355" t="s">
        <v>2</v>
      </c>
      <c r="AK1355" t="s">
        <v>11</v>
      </c>
    </row>
    <row r="1356" spans="1:37">
      <c r="A1356">
        <v>257688</v>
      </c>
      <c r="B1356" s="1">
        <v>45366</v>
      </c>
      <c r="C1356" t="s">
        <v>1305</v>
      </c>
      <c r="D1356" t="s">
        <v>1306</v>
      </c>
      <c r="E1356" t="s">
        <v>2</v>
      </c>
      <c r="F1356" t="s">
        <v>1307</v>
      </c>
      <c r="G1356" t="s">
        <v>28</v>
      </c>
      <c r="H1356">
        <v>34233</v>
      </c>
      <c r="I1356" t="s">
        <v>1305</v>
      </c>
      <c r="J1356" t="s">
        <v>1306</v>
      </c>
      <c r="K1356" t="s">
        <v>2</v>
      </c>
      <c r="L1356" t="s">
        <v>1307</v>
      </c>
      <c r="M1356" t="s">
        <v>28</v>
      </c>
      <c r="N1356">
        <v>34233</v>
      </c>
      <c r="O1356" t="s">
        <v>1312</v>
      </c>
      <c r="P1356" t="s">
        <v>2156</v>
      </c>
      <c r="Q1356" t="s">
        <v>21</v>
      </c>
      <c r="R1356">
        <v>415290</v>
      </c>
      <c r="S1356" t="s">
        <v>84</v>
      </c>
      <c r="T1356" s="2">
        <v>207</v>
      </c>
      <c r="U1356">
        <v>0</v>
      </c>
      <c r="V1356" t="s">
        <v>260</v>
      </c>
      <c r="W1356">
        <v>0</v>
      </c>
      <c r="X1356">
        <v>0</v>
      </c>
      <c r="Y1356">
        <v>0</v>
      </c>
      <c r="Z1356" t="s">
        <v>88</v>
      </c>
      <c r="AA1356" t="s">
        <v>2203</v>
      </c>
      <c r="AB1356" t="s">
        <v>10</v>
      </c>
      <c r="AC1356">
        <v>0</v>
      </c>
      <c r="AD1356">
        <v>0</v>
      </c>
      <c r="AE1356">
        <v>726182084510</v>
      </c>
      <c r="AF1356">
        <v>399.61</v>
      </c>
      <c r="AG1356">
        <v>0</v>
      </c>
      <c r="AH1356">
        <v>15</v>
      </c>
      <c r="AI1356">
        <v>414.61</v>
      </c>
      <c r="AJ1356" t="s">
        <v>2</v>
      </c>
      <c r="AK1356" t="s">
        <v>11</v>
      </c>
    </row>
    <row r="1357" spans="1:37">
      <c r="A1357">
        <v>257688</v>
      </c>
      <c r="B1357" s="1">
        <v>45366</v>
      </c>
      <c r="C1357" t="s">
        <v>1305</v>
      </c>
      <c r="D1357" t="s">
        <v>1306</v>
      </c>
      <c r="E1357" t="s">
        <v>2</v>
      </c>
      <c r="F1357" t="s">
        <v>1307</v>
      </c>
      <c r="G1357" t="s">
        <v>28</v>
      </c>
      <c r="H1357">
        <v>34233</v>
      </c>
      <c r="I1357" t="s">
        <v>1305</v>
      </c>
      <c r="J1357" t="s">
        <v>1306</v>
      </c>
      <c r="K1357" t="s">
        <v>2</v>
      </c>
      <c r="L1357" t="s">
        <v>1307</v>
      </c>
      <c r="M1357" t="s">
        <v>28</v>
      </c>
      <c r="N1357">
        <v>34233</v>
      </c>
      <c r="O1357" t="s">
        <v>1312</v>
      </c>
      <c r="P1357" t="s">
        <v>2156</v>
      </c>
      <c r="Q1357" t="s">
        <v>21</v>
      </c>
      <c r="R1357">
        <v>415290</v>
      </c>
      <c r="S1357" t="s">
        <v>84</v>
      </c>
      <c r="T1357" s="2">
        <v>207</v>
      </c>
      <c r="U1357">
        <v>0</v>
      </c>
      <c r="V1357" t="s">
        <v>260</v>
      </c>
      <c r="W1357">
        <v>1</v>
      </c>
      <c r="X1357">
        <v>1</v>
      </c>
      <c r="Y1357">
        <v>0</v>
      </c>
      <c r="Z1357" t="s">
        <v>2210</v>
      </c>
      <c r="AA1357" t="s">
        <v>2211</v>
      </c>
      <c r="AB1357" t="s">
        <v>14</v>
      </c>
      <c r="AC1357">
        <v>1.6327</v>
      </c>
      <c r="AD1357">
        <v>1.63</v>
      </c>
      <c r="AE1357">
        <v>726182084510</v>
      </c>
      <c r="AF1357">
        <v>399.61</v>
      </c>
      <c r="AG1357">
        <v>0</v>
      </c>
      <c r="AH1357">
        <v>15</v>
      </c>
      <c r="AI1357">
        <v>414.61</v>
      </c>
      <c r="AJ1357" t="s">
        <v>2</v>
      </c>
      <c r="AK1357" t="s">
        <v>11</v>
      </c>
    </row>
    <row r="1358" spans="1:37">
      <c r="A1358">
        <v>257688</v>
      </c>
      <c r="B1358" s="1">
        <v>45366</v>
      </c>
      <c r="C1358" t="s">
        <v>1305</v>
      </c>
      <c r="D1358" t="s">
        <v>1306</v>
      </c>
      <c r="E1358" t="s">
        <v>2</v>
      </c>
      <c r="F1358" t="s">
        <v>1307</v>
      </c>
      <c r="G1358" t="s">
        <v>28</v>
      </c>
      <c r="H1358">
        <v>34233</v>
      </c>
      <c r="I1358" t="s">
        <v>1305</v>
      </c>
      <c r="J1358" t="s">
        <v>1306</v>
      </c>
      <c r="K1358" t="s">
        <v>2</v>
      </c>
      <c r="L1358" t="s">
        <v>1307</v>
      </c>
      <c r="M1358" t="s">
        <v>28</v>
      </c>
      <c r="N1358">
        <v>34233</v>
      </c>
      <c r="O1358" t="s">
        <v>1312</v>
      </c>
      <c r="P1358" t="s">
        <v>2156</v>
      </c>
      <c r="Q1358" t="s">
        <v>21</v>
      </c>
      <c r="R1358">
        <v>415290</v>
      </c>
      <c r="S1358" t="s">
        <v>84</v>
      </c>
      <c r="T1358" s="2">
        <v>207</v>
      </c>
      <c r="U1358">
        <v>0</v>
      </c>
      <c r="V1358" t="s">
        <v>260</v>
      </c>
      <c r="W1358">
        <v>0</v>
      </c>
      <c r="X1358">
        <v>0</v>
      </c>
      <c r="Y1358">
        <v>0</v>
      </c>
      <c r="Z1358" t="s">
        <v>88</v>
      </c>
      <c r="AA1358" t="s">
        <v>2203</v>
      </c>
      <c r="AB1358" t="s">
        <v>10</v>
      </c>
      <c r="AC1358">
        <v>0</v>
      </c>
      <c r="AD1358">
        <v>0</v>
      </c>
      <c r="AE1358">
        <v>726182084510</v>
      </c>
      <c r="AF1358">
        <v>399.61</v>
      </c>
      <c r="AG1358">
        <v>0</v>
      </c>
      <c r="AH1358">
        <v>15</v>
      </c>
      <c r="AI1358">
        <v>414.61</v>
      </c>
      <c r="AJ1358" t="s">
        <v>2</v>
      </c>
      <c r="AK1358" t="s">
        <v>11</v>
      </c>
    </row>
    <row r="1359" spans="1:37">
      <c r="A1359">
        <v>257688</v>
      </c>
      <c r="B1359" s="1">
        <v>45366</v>
      </c>
      <c r="C1359" t="s">
        <v>1305</v>
      </c>
      <c r="D1359" t="s">
        <v>1306</v>
      </c>
      <c r="E1359" t="s">
        <v>2</v>
      </c>
      <c r="F1359" t="s">
        <v>1307</v>
      </c>
      <c r="G1359" t="s">
        <v>28</v>
      </c>
      <c r="H1359">
        <v>34233</v>
      </c>
      <c r="I1359" t="s">
        <v>1305</v>
      </c>
      <c r="J1359" t="s">
        <v>1306</v>
      </c>
      <c r="K1359" t="s">
        <v>2</v>
      </c>
      <c r="L1359" t="s">
        <v>1307</v>
      </c>
      <c r="M1359" t="s">
        <v>28</v>
      </c>
      <c r="N1359">
        <v>34233</v>
      </c>
      <c r="O1359" t="s">
        <v>1312</v>
      </c>
      <c r="P1359" t="s">
        <v>2156</v>
      </c>
      <c r="Q1359" t="s">
        <v>21</v>
      </c>
      <c r="R1359">
        <v>415290</v>
      </c>
      <c r="S1359" t="s">
        <v>84</v>
      </c>
      <c r="T1359" s="2">
        <v>207</v>
      </c>
      <c r="U1359">
        <v>0</v>
      </c>
      <c r="V1359" t="s">
        <v>260</v>
      </c>
      <c r="W1359">
        <v>2</v>
      </c>
      <c r="X1359">
        <v>2</v>
      </c>
      <c r="Y1359">
        <v>0</v>
      </c>
      <c r="Z1359" t="s">
        <v>2212</v>
      </c>
      <c r="AA1359" t="s">
        <v>2213</v>
      </c>
      <c r="AB1359" t="s">
        <v>14</v>
      </c>
      <c r="AC1359">
        <v>1.6327</v>
      </c>
      <c r="AD1359">
        <v>3.27</v>
      </c>
      <c r="AE1359">
        <v>726182084510</v>
      </c>
      <c r="AF1359">
        <v>399.61</v>
      </c>
      <c r="AG1359">
        <v>0</v>
      </c>
      <c r="AH1359">
        <v>15</v>
      </c>
      <c r="AI1359">
        <v>414.61</v>
      </c>
      <c r="AJ1359" t="s">
        <v>2</v>
      </c>
      <c r="AK1359" t="s">
        <v>11</v>
      </c>
    </row>
    <row r="1360" spans="1:37">
      <c r="A1360">
        <v>257688</v>
      </c>
      <c r="B1360" s="1">
        <v>45366</v>
      </c>
      <c r="C1360" t="s">
        <v>1305</v>
      </c>
      <c r="D1360" t="s">
        <v>1306</v>
      </c>
      <c r="E1360" t="s">
        <v>2</v>
      </c>
      <c r="F1360" t="s">
        <v>1307</v>
      </c>
      <c r="G1360" t="s">
        <v>28</v>
      </c>
      <c r="H1360">
        <v>34233</v>
      </c>
      <c r="I1360" t="s">
        <v>1305</v>
      </c>
      <c r="J1360" t="s">
        <v>1306</v>
      </c>
      <c r="K1360" t="s">
        <v>2</v>
      </c>
      <c r="L1360" t="s">
        <v>1307</v>
      </c>
      <c r="M1360" t="s">
        <v>28</v>
      </c>
      <c r="N1360">
        <v>34233</v>
      </c>
      <c r="O1360" t="s">
        <v>1312</v>
      </c>
      <c r="P1360" t="s">
        <v>2156</v>
      </c>
      <c r="Q1360" t="s">
        <v>21</v>
      </c>
      <c r="R1360">
        <v>415290</v>
      </c>
      <c r="S1360" t="s">
        <v>84</v>
      </c>
      <c r="T1360" s="2">
        <v>207</v>
      </c>
      <c r="U1360">
        <v>0</v>
      </c>
      <c r="V1360" t="s">
        <v>260</v>
      </c>
      <c r="W1360">
        <v>0</v>
      </c>
      <c r="X1360">
        <v>0</v>
      </c>
      <c r="Y1360">
        <v>0</v>
      </c>
      <c r="Z1360" t="s">
        <v>88</v>
      </c>
      <c r="AA1360" t="s">
        <v>2203</v>
      </c>
      <c r="AB1360" t="s">
        <v>10</v>
      </c>
      <c r="AC1360">
        <v>0</v>
      </c>
      <c r="AD1360">
        <v>0</v>
      </c>
      <c r="AE1360">
        <v>726182084510</v>
      </c>
      <c r="AF1360">
        <v>399.61</v>
      </c>
      <c r="AG1360">
        <v>0</v>
      </c>
      <c r="AH1360">
        <v>15</v>
      </c>
      <c r="AI1360">
        <v>414.61</v>
      </c>
      <c r="AJ1360" t="s">
        <v>2</v>
      </c>
      <c r="AK1360" t="s">
        <v>11</v>
      </c>
    </row>
    <row r="1361" spans="1:37">
      <c r="A1361">
        <v>257688</v>
      </c>
      <c r="B1361" s="1">
        <v>45366</v>
      </c>
      <c r="C1361" t="s">
        <v>1305</v>
      </c>
      <c r="D1361" t="s">
        <v>1306</v>
      </c>
      <c r="E1361" t="s">
        <v>2</v>
      </c>
      <c r="F1361" t="s">
        <v>1307</v>
      </c>
      <c r="G1361" t="s">
        <v>28</v>
      </c>
      <c r="H1361">
        <v>34233</v>
      </c>
      <c r="I1361" t="s">
        <v>1305</v>
      </c>
      <c r="J1361" t="s">
        <v>1306</v>
      </c>
      <c r="K1361" t="s">
        <v>2</v>
      </c>
      <c r="L1361" t="s">
        <v>1307</v>
      </c>
      <c r="M1361" t="s">
        <v>28</v>
      </c>
      <c r="N1361">
        <v>34233</v>
      </c>
      <c r="O1361" t="s">
        <v>1312</v>
      </c>
      <c r="P1361" t="s">
        <v>2156</v>
      </c>
      <c r="Q1361" t="s">
        <v>21</v>
      </c>
      <c r="R1361">
        <v>415290</v>
      </c>
      <c r="S1361" t="s">
        <v>84</v>
      </c>
      <c r="T1361" s="2">
        <v>207</v>
      </c>
      <c r="U1361">
        <v>0</v>
      </c>
      <c r="V1361" t="s">
        <v>260</v>
      </c>
      <c r="W1361">
        <v>1</v>
      </c>
      <c r="X1361">
        <v>1</v>
      </c>
      <c r="Y1361">
        <v>0</v>
      </c>
      <c r="Z1361" t="s">
        <v>2214</v>
      </c>
      <c r="AA1361" t="s">
        <v>2215</v>
      </c>
      <c r="AB1361" t="s">
        <v>14</v>
      </c>
      <c r="AC1361">
        <v>1.6327</v>
      </c>
      <c r="AD1361">
        <v>1.63</v>
      </c>
      <c r="AE1361">
        <v>726182084510</v>
      </c>
      <c r="AF1361">
        <v>399.61</v>
      </c>
      <c r="AG1361">
        <v>0</v>
      </c>
      <c r="AH1361">
        <v>15</v>
      </c>
      <c r="AI1361">
        <v>414.61</v>
      </c>
      <c r="AJ1361" t="s">
        <v>2</v>
      </c>
      <c r="AK1361" t="s">
        <v>11</v>
      </c>
    </row>
    <row r="1362" spans="1:37">
      <c r="A1362">
        <v>257688</v>
      </c>
      <c r="B1362" s="1">
        <v>45366</v>
      </c>
      <c r="C1362" t="s">
        <v>1305</v>
      </c>
      <c r="D1362" t="s">
        <v>1306</v>
      </c>
      <c r="E1362" t="s">
        <v>2</v>
      </c>
      <c r="F1362" t="s">
        <v>1307</v>
      </c>
      <c r="G1362" t="s">
        <v>28</v>
      </c>
      <c r="H1362">
        <v>34233</v>
      </c>
      <c r="I1362" t="s">
        <v>1305</v>
      </c>
      <c r="J1362" t="s">
        <v>1306</v>
      </c>
      <c r="K1362" t="s">
        <v>2</v>
      </c>
      <c r="L1362" t="s">
        <v>1307</v>
      </c>
      <c r="M1362" t="s">
        <v>28</v>
      </c>
      <c r="N1362">
        <v>34233</v>
      </c>
      <c r="O1362" t="s">
        <v>1312</v>
      </c>
      <c r="P1362" t="s">
        <v>2156</v>
      </c>
      <c r="Q1362" t="s">
        <v>21</v>
      </c>
      <c r="R1362">
        <v>415290</v>
      </c>
      <c r="S1362" t="s">
        <v>84</v>
      </c>
      <c r="T1362" s="2">
        <v>207</v>
      </c>
      <c r="U1362">
        <v>0</v>
      </c>
      <c r="V1362" t="s">
        <v>260</v>
      </c>
      <c r="W1362">
        <v>0</v>
      </c>
      <c r="X1362">
        <v>0</v>
      </c>
      <c r="Y1362">
        <v>0</v>
      </c>
      <c r="Z1362" t="s">
        <v>88</v>
      </c>
      <c r="AA1362" t="s">
        <v>2203</v>
      </c>
      <c r="AB1362" t="s">
        <v>10</v>
      </c>
      <c r="AC1362">
        <v>0</v>
      </c>
      <c r="AD1362">
        <v>0</v>
      </c>
      <c r="AE1362">
        <v>726182084510</v>
      </c>
      <c r="AF1362">
        <v>399.61</v>
      </c>
      <c r="AG1362">
        <v>0</v>
      </c>
      <c r="AH1362">
        <v>15</v>
      </c>
      <c r="AI1362">
        <v>414.61</v>
      </c>
      <c r="AJ1362" t="s">
        <v>2</v>
      </c>
      <c r="AK1362" t="s">
        <v>11</v>
      </c>
    </row>
    <row r="1363" spans="1:37">
      <c r="A1363">
        <v>257688</v>
      </c>
      <c r="B1363" s="1">
        <v>45366</v>
      </c>
      <c r="C1363" t="s">
        <v>1305</v>
      </c>
      <c r="D1363" t="s">
        <v>1306</v>
      </c>
      <c r="E1363" t="s">
        <v>2</v>
      </c>
      <c r="F1363" t="s">
        <v>1307</v>
      </c>
      <c r="G1363" t="s">
        <v>28</v>
      </c>
      <c r="H1363">
        <v>34233</v>
      </c>
      <c r="I1363" t="s">
        <v>1305</v>
      </c>
      <c r="J1363" t="s">
        <v>1306</v>
      </c>
      <c r="K1363" t="s">
        <v>2</v>
      </c>
      <c r="L1363" t="s">
        <v>1307</v>
      </c>
      <c r="M1363" t="s">
        <v>28</v>
      </c>
      <c r="N1363">
        <v>34233</v>
      </c>
      <c r="O1363" t="s">
        <v>1312</v>
      </c>
      <c r="P1363" t="s">
        <v>2156</v>
      </c>
      <c r="Q1363" t="s">
        <v>21</v>
      </c>
      <c r="R1363">
        <v>415290</v>
      </c>
      <c r="S1363" t="s">
        <v>84</v>
      </c>
      <c r="T1363" s="2">
        <v>207</v>
      </c>
      <c r="U1363">
        <v>0</v>
      </c>
      <c r="V1363" t="s">
        <v>260</v>
      </c>
      <c r="W1363">
        <v>2</v>
      </c>
      <c r="X1363">
        <v>2</v>
      </c>
      <c r="Y1363">
        <v>0</v>
      </c>
      <c r="Z1363" t="s">
        <v>2216</v>
      </c>
      <c r="AA1363" t="s">
        <v>2217</v>
      </c>
      <c r="AB1363" t="s">
        <v>14</v>
      </c>
      <c r="AC1363">
        <v>1.6327</v>
      </c>
      <c r="AD1363">
        <v>3.27</v>
      </c>
      <c r="AE1363">
        <v>726182084510</v>
      </c>
      <c r="AF1363">
        <v>399.61</v>
      </c>
      <c r="AG1363">
        <v>0</v>
      </c>
      <c r="AH1363">
        <v>15</v>
      </c>
      <c r="AI1363">
        <v>414.61</v>
      </c>
      <c r="AJ1363" t="s">
        <v>2</v>
      </c>
      <c r="AK1363" t="s">
        <v>11</v>
      </c>
    </row>
    <row r="1364" spans="1:37">
      <c r="A1364">
        <v>257688</v>
      </c>
      <c r="B1364" s="1">
        <v>45366</v>
      </c>
      <c r="C1364" t="s">
        <v>1305</v>
      </c>
      <c r="D1364" t="s">
        <v>1306</v>
      </c>
      <c r="E1364" t="s">
        <v>2</v>
      </c>
      <c r="F1364" t="s">
        <v>1307</v>
      </c>
      <c r="G1364" t="s">
        <v>28</v>
      </c>
      <c r="H1364">
        <v>34233</v>
      </c>
      <c r="I1364" t="s">
        <v>1305</v>
      </c>
      <c r="J1364" t="s">
        <v>1306</v>
      </c>
      <c r="K1364" t="s">
        <v>2</v>
      </c>
      <c r="L1364" t="s">
        <v>1307</v>
      </c>
      <c r="M1364" t="s">
        <v>28</v>
      </c>
      <c r="N1364">
        <v>34233</v>
      </c>
      <c r="O1364" t="s">
        <v>1312</v>
      </c>
      <c r="P1364" t="s">
        <v>2156</v>
      </c>
      <c r="Q1364" t="s">
        <v>21</v>
      </c>
      <c r="R1364">
        <v>415290</v>
      </c>
      <c r="S1364" t="s">
        <v>84</v>
      </c>
      <c r="T1364" s="2">
        <v>207</v>
      </c>
      <c r="U1364">
        <v>0</v>
      </c>
      <c r="V1364" t="s">
        <v>260</v>
      </c>
      <c r="W1364">
        <v>0</v>
      </c>
      <c r="X1364">
        <v>0</v>
      </c>
      <c r="Y1364">
        <v>0</v>
      </c>
      <c r="Z1364" t="s">
        <v>88</v>
      </c>
      <c r="AA1364" t="s">
        <v>2203</v>
      </c>
      <c r="AB1364" t="s">
        <v>10</v>
      </c>
      <c r="AC1364">
        <v>0</v>
      </c>
      <c r="AD1364">
        <v>0</v>
      </c>
      <c r="AE1364">
        <v>726182084510</v>
      </c>
      <c r="AF1364">
        <v>399.61</v>
      </c>
      <c r="AG1364">
        <v>0</v>
      </c>
      <c r="AH1364">
        <v>15</v>
      </c>
      <c r="AI1364">
        <v>414.61</v>
      </c>
      <c r="AJ1364" t="s">
        <v>2</v>
      </c>
      <c r="AK1364" t="s">
        <v>11</v>
      </c>
    </row>
    <row r="1365" spans="1:37">
      <c r="A1365">
        <v>257688</v>
      </c>
      <c r="B1365" s="1">
        <v>45366</v>
      </c>
      <c r="C1365" t="s">
        <v>1305</v>
      </c>
      <c r="D1365" t="s">
        <v>1306</v>
      </c>
      <c r="E1365" t="s">
        <v>2</v>
      </c>
      <c r="F1365" t="s">
        <v>1307</v>
      </c>
      <c r="G1365" t="s">
        <v>28</v>
      </c>
      <c r="H1365">
        <v>34233</v>
      </c>
      <c r="I1365" t="s">
        <v>1305</v>
      </c>
      <c r="J1365" t="s">
        <v>1306</v>
      </c>
      <c r="K1365" t="s">
        <v>2</v>
      </c>
      <c r="L1365" t="s">
        <v>1307</v>
      </c>
      <c r="M1365" t="s">
        <v>28</v>
      </c>
      <c r="N1365">
        <v>34233</v>
      </c>
      <c r="O1365" t="s">
        <v>1312</v>
      </c>
      <c r="P1365" t="s">
        <v>2156</v>
      </c>
      <c r="Q1365" t="s">
        <v>21</v>
      </c>
      <c r="R1365">
        <v>415290</v>
      </c>
      <c r="S1365" t="s">
        <v>84</v>
      </c>
      <c r="T1365" s="2">
        <v>207</v>
      </c>
      <c r="U1365">
        <v>0</v>
      </c>
      <c r="V1365" t="s">
        <v>260</v>
      </c>
      <c r="W1365">
        <v>3</v>
      </c>
      <c r="X1365">
        <v>3</v>
      </c>
      <c r="Y1365">
        <v>0</v>
      </c>
      <c r="Z1365" t="s">
        <v>2218</v>
      </c>
      <c r="AA1365" t="s">
        <v>2219</v>
      </c>
      <c r="AB1365" t="s">
        <v>14</v>
      </c>
      <c r="AC1365">
        <v>2.0202</v>
      </c>
      <c r="AD1365">
        <v>6.06</v>
      </c>
      <c r="AE1365">
        <v>726182084510</v>
      </c>
      <c r="AF1365">
        <v>399.61</v>
      </c>
      <c r="AG1365">
        <v>0</v>
      </c>
      <c r="AH1365">
        <v>15</v>
      </c>
      <c r="AI1365">
        <v>414.61</v>
      </c>
      <c r="AJ1365" t="s">
        <v>2</v>
      </c>
      <c r="AK1365" t="s">
        <v>11</v>
      </c>
    </row>
    <row r="1366" spans="1:37">
      <c r="A1366">
        <v>257688</v>
      </c>
      <c r="B1366" s="1">
        <v>45366</v>
      </c>
      <c r="C1366" t="s">
        <v>1305</v>
      </c>
      <c r="D1366" t="s">
        <v>1306</v>
      </c>
      <c r="E1366" t="s">
        <v>2</v>
      </c>
      <c r="F1366" t="s">
        <v>1307</v>
      </c>
      <c r="G1366" t="s">
        <v>28</v>
      </c>
      <c r="H1366">
        <v>34233</v>
      </c>
      <c r="I1366" t="s">
        <v>1305</v>
      </c>
      <c r="J1366" t="s">
        <v>1306</v>
      </c>
      <c r="K1366" t="s">
        <v>2</v>
      </c>
      <c r="L1366" t="s">
        <v>1307</v>
      </c>
      <c r="M1366" t="s">
        <v>28</v>
      </c>
      <c r="N1366">
        <v>34233</v>
      </c>
      <c r="O1366" t="s">
        <v>1312</v>
      </c>
      <c r="P1366" t="s">
        <v>2156</v>
      </c>
      <c r="Q1366" t="s">
        <v>21</v>
      </c>
      <c r="R1366">
        <v>415290</v>
      </c>
      <c r="S1366" t="s">
        <v>84</v>
      </c>
      <c r="T1366" s="2">
        <v>207</v>
      </c>
      <c r="U1366">
        <v>0</v>
      </c>
      <c r="V1366" t="s">
        <v>260</v>
      </c>
      <c r="W1366">
        <v>0</v>
      </c>
      <c r="X1366">
        <v>0</v>
      </c>
      <c r="Y1366">
        <v>0</v>
      </c>
      <c r="Z1366" t="s">
        <v>88</v>
      </c>
      <c r="AA1366" t="s">
        <v>2220</v>
      </c>
      <c r="AB1366" t="s">
        <v>10</v>
      </c>
      <c r="AC1366">
        <v>0</v>
      </c>
      <c r="AD1366">
        <v>0</v>
      </c>
      <c r="AE1366">
        <v>726182084510</v>
      </c>
      <c r="AF1366">
        <v>399.61</v>
      </c>
      <c r="AG1366">
        <v>0</v>
      </c>
      <c r="AH1366">
        <v>15</v>
      </c>
      <c r="AI1366">
        <v>414.61</v>
      </c>
      <c r="AJ1366" t="s">
        <v>2</v>
      </c>
      <c r="AK1366" t="s">
        <v>11</v>
      </c>
    </row>
    <row r="1367" spans="1:37">
      <c r="A1367">
        <v>257688</v>
      </c>
      <c r="B1367" s="1">
        <v>45366</v>
      </c>
      <c r="C1367" t="s">
        <v>1305</v>
      </c>
      <c r="D1367" t="s">
        <v>1306</v>
      </c>
      <c r="E1367" t="s">
        <v>2</v>
      </c>
      <c r="F1367" t="s">
        <v>1307</v>
      </c>
      <c r="G1367" t="s">
        <v>28</v>
      </c>
      <c r="H1367">
        <v>34233</v>
      </c>
      <c r="I1367" t="s">
        <v>1305</v>
      </c>
      <c r="J1367" t="s">
        <v>1306</v>
      </c>
      <c r="K1367" t="s">
        <v>2</v>
      </c>
      <c r="L1367" t="s">
        <v>1307</v>
      </c>
      <c r="M1367" t="s">
        <v>28</v>
      </c>
      <c r="N1367">
        <v>34233</v>
      </c>
      <c r="O1367" t="s">
        <v>1312</v>
      </c>
      <c r="P1367" t="s">
        <v>2156</v>
      </c>
      <c r="Q1367" t="s">
        <v>21</v>
      </c>
      <c r="R1367">
        <v>415290</v>
      </c>
      <c r="S1367" t="s">
        <v>84</v>
      </c>
      <c r="T1367" s="2">
        <v>207</v>
      </c>
      <c r="U1367">
        <v>0</v>
      </c>
      <c r="V1367" t="s">
        <v>260</v>
      </c>
      <c r="W1367">
        <v>3</v>
      </c>
      <c r="X1367">
        <v>3</v>
      </c>
      <c r="Y1367">
        <v>0</v>
      </c>
      <c r="Z1367" t="s">
        <v>2221</v>
      </c>
      <c r="AA1367" t="s">
        <v>2222</v>
      </c>
      <c r="AB1367" t="s">
        <v>14</v>
      </c>
      <c r="AC1367">
        <v>2.0202</v>
      </c>
      <c r="AD1367">
        <v>6.06</v>
      </c>
      <c r="AE1367">
        <v>726182084510</v>
      </c>
      <c r="AF1367">
        <v>399.61</v>
      </c>
      <c r="AG1367">
        <v>0</v>
      </c>
      <c r="AH1367">
        <v>15</v>
      </c>
      <c r="AI1367">
        <v>414.61</v>
      </c>
      <c r="AJ1367" t="s">
        <v>2</v>
      </c>
      <c r="AK1367" t="s">
        <v>11</v>
      </c>
    </row>
    <row r="1368" spans="1:37">
      <c r="A1368">
        <v>257688</v>
      </c>
      <c r="B1368" s="1">
        <v>45366</v>
      </c>
      <c r="C1368" t="s">
        <v>1305</v>
      </c>
      <c r="D1368" t="s">
        <v>1306</v>
      </c>
      <c r="E1368" t="s">
        <v>2</v>
      </c>
      <c r="F1368" t="s">
        <v>1307</v>
      </c>
      <c r="G1368" t="s">
        <v>28</v>
      </c>
      <c r="H1368">
        <v>34233</v>
      </c>
      <c r="I1368" t="s">
        <v>1305</v>
      </c>
      <c r="J1368" t="s">
        <v>1306</v>
      </c>
      <c r="K1368" t="s">
        <v>2</v>
      </c>
      <c r="L1368" t="s">
        <v>1307</v>
      </c>
      <c r="M1368" t="s">
        <v>28</v>
      </c>
      <c r="N1368">
        <v>34233</v>
      </c>
      <c r="O1368" t="s">
        <v>1312</v>
      </c>
      <c r="P1368" t="s">
        <v>2156</v>
      </c>
      <c r="Q1368" t="s">
        <v>21</v>
      </c>
      <c r="R1368">
        <v>415290</v>
      </c>
      <c r="S1368" t="s">
        <v>84</v>
      </c>
      <c r="T1368" s="2">
        <v>207</v>
      </c>
      <c r="U1368">
        <v>0</v>
      </c>
      <c r="V1368" t="s">
        <v>260</v>
      </c>
      <c r="W1368">
        <v>0</v>
      </c>
      <c r="X1368">
        <v>0</v>
      </c>
      <c r="Y1368">
        <v>0</v>
      </c>
      <c r="Z1368" t="s">
        <v>88</v>
      </c>
      <c r="AA1368" t="s">
        <v>2220</v>
      </c>
      <c r="AB1368" t="s">
        <v>10</v>
      </c>
      <c r="AC1368">
        <v>0</v>
      </c>
      <c r="AD1368">
        <v>0</v>
      </c>
      <c r="AE1368">
        <v>726182084510</v>
      </c>
      <c r="AF1368">
        <v>399.61</v>
      </c>
      <c r="AG1368">
        <v>0</v>
      </c>
      <c r="AH1368">
        <v>15</v>
      </c>
      <c r="AI1368">
        <v>414.61</v>
      </c>
      <c r="AJ1368" t="s">
        <v>2</v>
      </c>
      <c r="AK1368" t="s">
        <v>11</v>
      </c>
    </row>
    <row r="1369" spans="1:37">
      <c r="A1369">
        <v>257688</v>
      </c>
      <c r="B1369" s="1">
        <v>45366</v>
      </c>
      <c r="C1369" t="s">
        <v>1305</v>
      </c>
      <c r="D1369" t="s">
        <v>1306</v>
      </c>
      <c r="E1369" t="s">
        <v>2</v>
      </c>
      <c r="F1369" t="s">
        <v>1307</v>
      </c>
      <c r="G1369" t="s">
        <v>28</v>
      </c>
      <c r="H1369">
        <v>34233</v>
      </c>
      <c r="I1369" t="s">
        <v>1305</v>
      </c>
      <c r="J1369" t="s">
        <v>1306</v>
      </c>
      <c r="K1369" t="s">
        <v>2</v>
      </c>
      <c r="L1369" t="s">
        <v>1307</v>
      </c>
      <c r="M1369" t="s">
        <v>28</v>
      </c>
      <c r="N1369">
        <v>34233</v>
      </c>
      <c r="O1369" t="s">
        <v>1312</v>
      </c>
      <c r="P1369" t="s">
        <v>2156</v>
      </c>
      <c r="Q1369" t="s">
        <v>21</v>
      </c>
      <c r="R1369">
        <v>415290</v>
      </c>
      <c r="S1369" t="s">
        <v>84</v>
      </c>
      <c r="T1369" s="2">
        <v>207</v>
      </c>
      <c r="U1369">
        <v>0</v>
      </c>
      <c r="V1369" t="s">
        <v>260</v>
      </c>
      <c r="W1369">
        <v>3</v>
      </c>
      <c r="X1369">
        <v>3</v>
      </c>
      <c r="Y1369">
        <v>0</v>
      </c>
      <c r="Z1369" t="s">
        <v>2223</v>
      </c>
      <c r="AA1369" t="s">
        <v>2224</v>
      </c>
      <c r="AB1369" t="s">
        <v>14</v>
      </c>
      <c r="AC1369">
        <v>2.0202</v>
      </c>
      <c r="AD1369">
        <v>6.06</v>
      </c>
      <c r="AE1369">
        <v>726182084510</v>
      </c>
      <c r="AF1369">
        <v>399.61</v>
      </c>
      <c r="AG1369">
        <v>0</v>
      </c>
      <c r="AH1369">
        <v>15</v>
      </c>
      <c r="AI1369">
        <v>414.61</v>
      </c>
      <c r="AJ1369" t="s">
        <v>2</v>
      </c>
      <c r="AK1369" t="s">
        <v>11</v>
      </c>
    </row>
    <row r="1370" spans="1:37">
      <c r="A1370">
        <v>257688</v>
      </c>
      <c r="B1370" s="1">
        <v>45366</v>
      </c>
      <c r="C1370" t="s">
        <v>1305</v>
      </c>
      <c r="D1370" t="s">
        <v>1306</v>
      </c>
      <c r="E1370" t="s">
        <v>2</v>
      </c>
      <c r="F1370" t="s">
        <v>1307</v>
      </c>
      <c r="G1370" t="s">
        <v>28</v>
      </c>
      <c r="H1370">
        <v>34233</v>
      </c>
      <c r="I1370" t="s">
        <v>1305</v>
      </c>
      <c r="J1370" t="s">
        <v>1306</v>
      </c>
      <c r="K1370" t="s">
        <v>2</v>
      </c>
      <c r="L1370" t="s">
        <v>1307</v>
      </c>
      <c r="M1370" t="s">
        <v>28</v>
      </c>
      <c r="N1370">
        <v>34233</v>
      </c>
      <c r="O1370" t="s">
        <v>1312</v>
      </c>
      <c r="P1370" t="s">
        <v>2156</v>
      </c>
      <c r="Q1370" t="s">
        <v>21</v>
      </c>
      <c r="R1370">
        <v>415290</v>
      </c>
      <c r="S1370" t="s">
        <v>84</v>
      </c>
      <c r="T1370" s="2">
        <v>207</v>
      </c>
      <c r="U1370">
        <v>0</v>
      </c>
      <c r="V1370" t="s">
        <v>260</v>
      </c>
      <c r="W1370">
        <v>0</v>
      </c>
      <c r="X1370">
        <v>0</v>
      </c>
      <c r="Y1370">
        <v>0</v>
      </c>
      <c r="Z1370" t="s">
        <v>88</v>
      </c>
      <c r="AA1370" t="s">
        <v>2220</v>
      </c>
      <c r="AB1370" t="s">
        <v>10</v>
      </c>
      <c r="AC1370">
        <v>0</v>
      </c>
      <c r="AD1370">
        <v>0</v>
      </c>
      <c r="AE1370">
        <v>726182084510</v>
      </c>
      <c r="AF1370">
        <v>399.61</v>
      </c>
      <c r="AG1370">
        <v>0</v>
      </c>
      <c r="AH1370">
        <v>15</v>
      </c>
      <c r="AI1370">
        <v>414.61</v>
      </c>
      <c r="AJ1370" t="s">
        <v>2</v>
      </c>
      <c r="AK1370" t="s">
        <v>11</v>
      </c>
    </row>
    <row r="1371" spans="1:37">
      <c r="A1371">
        <v>257688</v>
      </c>
      <c r="B1371" s="1">
        <v>45366</v>
      </c>
      <c r="C1371" t="s">
        <v>1305</v>
      </c>
      <c r="D1371" t="s">
        <v>1306</v>
      </c>
      <c r="E1371" t="s">
        <v>2</v>
      </c>
      <c r="F1371" t="s">
        <v>1307</v>
      </c>
      <c r="G1371" t="s">
        <v>28</v>
      </c>
      <c r="H1371">
        <v>34233</v>
      </c>
      <c r="I1371" t="s">
        <v>1305</v>
      </c>
      <c r="J1371" t="s">
        <v>1306</v>
      </c>
      <c r="K1371" t="s">
        <v>2</v>
      </c>
      <c r="L1371" t="s">
        <v>1307</v>
      </c>
      <c r="M1371" t="s">
        <v>28</v>
      </c>
      <c r="N1371">
        <v>34233</v>
      </c>
      <c r="O1371" t="s">
        <v>1312</v>
      </c>
      <c r="P1371" t="s">
        <v>2156</v>
      </c>
      <c r="Q1371" t="s">
        <v>21</v>
      </c>
      <c r="R1371">
        <v>415290</v>
      </c>
      <c r="S1371" t="s">
        <v>84</v>
      </c>
      <c r="T1371" s="2">
        <v>207</v>
      </c>
      <c r="U1371">
        <v>0</v>
      </c>
      <c r="V1371" t="s">
        <v>260</v>
      </c>
      <c r="W1371">
        <v>3</v>
      </c>
      <c r="X1371">
        <v>3</v>
      </c>
      <c r="Y1371">
        <v>0</v>
      </c>
      <c r="Z1371" t="s">
        <v>2225</v>
      </c>
      <c r="AA1371" t="s">
        <v>2226</v>
      </c>
      <c r="AB1371" t="s">
        <v>14</v>
      </c>
      <c r="AC1371">
        <v>2.0202</v>
      </c>
      <c r="AD1371">
        <v>6.06</v>
      </c>
      <c r="AE1371">
        <v>726182084510</v>
      </c>
      <c r="AF1371">
        <v>399.61</v>
      </c>
      <c r="AG1371">
        <v>0</v>
      </c>
      <c r="AH1371">
        <v>15</v>
      </c>
      <c r="AI1371">
        <v>414.61</v>
      </c>
      <c r="AJ1371" t="s">
        <v>2</v>
      </c>
      <c r="AK1371" t="s">
        <v>11</v>
      </c>
    </row>
    <row r="1372" spans="1:37">
      <c r="A1372">
        <v>257688</v>
      </c>
      <c r="B1372" s="1">
        <v>45366</v>
      </c>
      <c r="C1372" t="s">
        <v>1305</v>
      </c>
      <c r="D1372" t="s">
        <v>1306</v>
      </c>
      <c r="E1372" t="s">
        <v>2</v>
      </c>
      <c r="F1372" t="s">
        <v>1307</v>
      </c>
      <c r="G1372" t="s">
        <v>28</v>
      </c>
      <c r="H1372">
        <v>34233</v>
      </c>
      <c r="I1372" t="s">
        <v>1305</v>
      </c>
      <c r="J1372" t="s">
        <v>1306</v>
      </c>
      <c r="K1372" t="s">
        <v>2</v>
      </c>
      <c r="L1372" t="s">
        <v>1307</v>
      </c>
      <c r="M1372" t="s">
        <v>28</v>
      </c>
      <c r="N1372">
        <v>34233</v>
      </c>
      <c r="O1372" t="s">
        <v>1312</v>
      </c>
      <c r="P1372" t="s">
        <v>2156</v>
      </c>
      <c r="Q1372" t="s">
        <v>21</v>
      </c>
      <c r="R1372">
        <v>415290</v>
      </c>
      <c r="S1372" t="s">
        <v>84</v>
      </c>
      <c r="T1372" s="2">
        <v>207</v>
      </c>
      <c r="U1372">
        <v>0</v>
      </c>
      <c r="V1372" t="s">
        <v>260</v>
      </c>
      <c r="W1372">
        <v>0</v>
      </c>
      <c r="X1372">
        <v>0</v>
      </c>
      <c r="Y1372">
        <v>0</v>
      </c>
      <c r="Z1372" t="s">
        <v>88</v>
      </c>
      <c r="AA1372" t="s">
        <v>2220</v>
      </c>
      <c r="AB1372" t="s">
        <v>10</v>
      </c>
      <c r="AC1372">
        <v>0</v>
      </c>
      <c r="AD1372">
        <v>0</v>
      </c>
      <c r="AE1372">
        <v>726182084510</v>
      </c>
      <c r="AF1372">
        <v>399.61</v>
      </c>
      <c r="AG1372">
        <v>0</v>
      </c>
      <c r="AH1372">
        <v>15</v>
      </c>
      <c r="AI1372">
        <v>414.61</v>
      </c>
      <c r="AJ1372" t="s">
        <v>2</v>
      </c>
      <c r="AK1372" t="s">
        <v>11</v>
      </c>
    </row>
    <row r="1373" spans="1:37">
      <c r="A1373">
        <v>257688</v>
      </c>
      <c r="B1373" s="1">
        <v>45366</v>
      </c>
      <c r="C1373" t="s">
        <v>1305</v>
      </c>
      <c r="D1373" t="s">
        <v>1306</v>
      </c>
      <c r="E1373" t="s">
        <v>2</v>
      </c>
      <c r="F1373" t="s">
        <v>1307</v>
      </c>
      <c r="G1373" t="s">
        <v>28</v>
      </c>
      <c r="H1373">
        <v>34233</v>
      </c>
      <c r="I1373" t="s">
        <v>1305</v>
      </c>
      <c r="J1373" t="s">
        <v>1306</v>
      </c>
      <c r="K1373" t="s">
        <v>2</v>
      </c>
      <c r="L1373" t="s">
        <v>1307</v>
      </c>
      <c r="M1373" t="s">
        <v>28</v>
      </c>
      <c r="N1373">
        <v>34233</v>
      </c>
      <c r="O1373" t="s">
        <v>1312</v>
      </c>
      <c r="P1373" t="s">
        <v>2156</v>
      </c>
      <c r="Q1373" t="s">
        <v>21</v>
      </c>
      <c r="R1373">
        <v>415290</v>
      </c>
      <c r="S1373" t="s">
        <v>84</v>
      </c>
      <c r="T1373" s="2">
        <v>207</v>
      </c>
      <c r="U1373">
        <v>0</v>
      </c>
      <c r="V1373" t="s">
        <v>260</v>
      </c>
      <c r="W1373">
        <v>3</v>
      </c>
      <c r="X1373">
        <v>3</v>
      </c>
      <c r="Y1373">
        <v>0</v>
      </c>
      <c r="Z1373" t="s">
        <v>2227</v>
      </c>
      <c r="AA1373" t="s">
        <v>2228</v>
      </c>
      <c r="AB1373" t="s">
        <v>14</v>
      </c>
      <c r="AC1373">
        <v>2.0202</v>
      </c>
      <c r="AD1373">
        <v>6.06</v>
      </c>
      <c r="AE1373">
        <v>726182084510</v>
      </c>
      <c r="AF1373">
        <v>399.61</v>
      </c>
      <c r="AG1373">
        <v>0</v>
      </c>
      <c r="AH1373">
        <v>15</v>
      </c>
      <c r="AI1373">
        <v>414.61</v>
      </c>
      <c r="AJ1373" t="s">
        <v>2</v>
      </c>
      <c r="AK1373" t="s">
        <v>11</v>
      </c>
    </row>
    <row r="1374" spans="1:37">
      <c r="A1374">
        <v>257688</v>
      </c>
      <c r="B1374" s="1">
        <v>45366</v>
      </c>
      <c r="C1374" t="s">
        <v>1305</v>
      </c>
      <c r="D1374" t="s">
        <v>1306</v>
      </c>
      <c r="E1374" t="s">
        <v>2</v>
      </c>
      <c r="F1374" t="s">
        <v>1307</v>
      </c>
      <c r="G1374" t="s">
        <v>28</v>
      </c>
      <c r="H1374">
        <v>34233</v>
      </c>
      <c r="I1374" t="s">
        <v>1305</v>
      </c>
      <c r="J1374" t="s">
        <v>1306</v>
      </c>
      <c r="K1374" t="s">
        <v>2</v>
      </c>
      <c r="L1374" t="s">
        <v>1307</v>
      </c>
      <c r="M1374" t="s">
        <v>28</v>
      </c>
      <c r="N1374">
        <v>34233</v>
      </c>
      <c r="O1374" t="s">
        <v>1312</v>
      </c>
      <c r="P1374" t="s">
        <v>2156</v>
      </c>
      <c r="Q1374" t="s">
        <v>21</v>
      </c>
      <c r="R1374">
        <v>415290</v>
      </c>
      <c r="S1374" t="s">
        <v>84</v>
      </c>
      <c r="T1374" s="2">
        <v>207</v>
      </c>
      <c r="U1374">
        <v>0</v>
      </c>
      <c r="V1374" t="s">
        <v>260</v>
      </c>
      <c r="W1374">
        <v>0</v>
      </c>
      <c r="X1374">
        <v>0</v>
      </c>
      <c r="Y1374">
        <v>0</v>
      </c>
      <c r="Z1374" t="s">
        <v>88</v>
      </c>
      <c r="AA1374" t="s">
        <v>2220</v>
      </c>
      <c r="AB1374" t="s">
        <v>10</v>
      </c>
      <c r="AC1374">
        <v>0</v>
      </c>
      <c r="AD1374">
        <v>0</v>
      </c>
      <c r="AE1374">
        <v>726182084510</v>
      </c>
      <c r="AF1374">
        <v>399.61</v>
      </c>
      <c r="AG1374">
        <v>0</v>
      </c>
      <c r="AH1374">
        <v>15</v>
      </c>
      <c r="AI1374">
        <v>414.61</v>
      </c>
      <c r="AJ1374" t="s">
        <v>2</v>
      </c>
      <c r="AK1374" t="s">
        <v>11</v>
      </c>
    </row>
    <row r="1375" spans="1:37">
      <c r="A1375">
        <v>257688</v>
      </c>
      <c r="B1375" s="1">
        <v>45366</v>
      </c>
      <c r="C1375" t="s">
        <v>1305</v>
      </c>
      <c r="D1375" t="s">
        <v>1306</v>
      </c>
      <c r="E1375" t="s">
        <v>2</v>
      </c>
      <c r="F1375" t="s">
        <v>1307</v>
      </c>
      <c r="G1375" t="s">
        <v>28</v>
      </c>
      <c r="H1375">
        <v>34233</v>
      </c>
      <c r="I1375" t="s">
        <v>1305</v>
      </c>
      <c r="J1375" t="s">
        <v>1306</v>
      </c>
      <c r="K1375" t="s">
        <v>2</v>
      </c>
      <c r="L1375" t="s">
        <v>1307</v>
      </c>
      <c r="M1375" t="s">
        <v>28</v>
      </c>
      <c r="N1375">
        <v>34233</v>
      </c>
      <c r="O1375" t="s">
        <v>1312</v>
      </c>
      <c r="P1375" t="s">
        <v>2156</v>
      </c>
      <c r="Q1375" t="s">
        <v>21</v>
      </c>
      <c r="R1375">
        <v>415290</v>
      </c>
      <c r="S1375" t="s">
        <v>84</v>
      </c>
      <c r="T1375" s="2">
        <v>207</v>
      </c>
      <c r="U1375">
        <v>0</v>
      </c>
      <c r="V1375" t="s">
        <v>260</v>
      </c>
      <c r="W1375">
        <v>3</v>
      </c>
      <c r="X1375">
        <v>3</v>
      </c>
      <c r="Y1375">
        <v>0</v>
      </c>
      <c r="Z1375" t="s">
        <v>2229</v>
      </c>
      <c r="AA1375" t="s">
        <v>2230</v>
      </c>
      <c r="AB1375" t="s">
        <v>14</v>
      </c>
      <c r="AC1375">
        <v>2.0202</v>
      </c>
      <c r="AD1375">
        <v>6.06</v>
      </c>
      <c r="AE1375">
        <v>726182084510</v>
      </c>
      <c r="AF1375">
        <v>399.61</v>
      </c>
      <c r="AG1375">
        <v>0</v>
      </c>
      <c r="AH1375">
        <v>15</v>
      </c>
      <c r="AI1375">
        <v>414.61</v>
      </c>
      <c r="AJ1375" t="s">
        <v>2</v>
      </c>
      <c r="AK1375" t="s">
        <v>11</v>
      </c>
    </row>
    <row r="1376" spans="1:37">
      <c r="A1376">
        <v>257688</v>
      </c>
      <c r="B1376" s="1">
        <v>45366</v>
      </c>
      <c r="C1376" t="s">
        <v>1305</v>
      </c>
      <c r="D1376" t="s">
        <v>1306</v>
      </c>
      <c r="E1376" t="s">
        <v>2</v>
      </c>
      <c r="F1376" t="s">
        <v>1307</v>
      </c>
      <c r="G1376" t="s">
        <v>28</v>
      </c>
      <c r="H1376">
        <v>34233</v>
      </c>
      <c r="I1376" t="s">
        <v>1305</v>
      </c>
      <c r="J1376" t="s">
        <v>1306</v>
      </c>
      <c r="K1376" t="s">
        <v>2</v>
      </c>
      <c r="L1376" t="s">
        <v>1307</v>
      </c>
      <c r="M1376" t="s">
        <v>28</v>
      </c>
      <c r="N1376">
        <v>34233</v>
      </c>
      <c r="O1376" t="s">
        <v>1312</v>
      </c>
      <c r="P1376" t="s">
        <v>2156</v>
      </c>
      <c r="Q1376" t="s">
        <v>21</v>
      </c>
      <c r="R1376">
        <v>415290</v>
      </c>
      <c r="S1376" t="s">
        <v>84</v>
      </c>
      <c r="T1376" s="2">
        <v>207</v>
      </c>
      <c r="U1376">
        <v>0</v>
      </c>
      <c r="V1376" t="s">
        <v>260</v>
      </c>
      <c r="W1376">
        <v>0</v>
      </c>
      <c r="X1376">
        <v>0</v>
      </c>
      <c r="Y1376">
        <v>0</v>
      </c>
      <c r="Z1376" t="s">
        <v>88</v>
      </c>
      <c r="AA1376" t="s">
        <v>2220</v>
      </c>
      <c r="AB1376" t="s">
        <v>10</v>
      </c>
      <c r="AC1376">
        <v>0</v>
      </c>
      <c r="AD1376">
        <v>0</v>
      </c>
      <c r="AE1376">
        <v>726182084510</v>
      </c>
      <c r="AF1376">
        <v>399.61</v>
      </c>
      <c r="AG1376">
        <v>0</v>
      </c>
      <c r="AH1376">
        <v>15</v>
      </c>
      <c r="AI1376">
        <v>414.61</v>
      </c>
      <c r="AJ1376" t="s">
        <v>2</v>
      </c>
      <c r="AK1376" t="s">
        <v>11</v>
      </c>
    </row>
    <row r="1377" spans="1:37">
      <c r="A1377">
        <v>257688</v>
      </c>
      <c r="B1377" s="1">
        <v>45366</v>
      </c>
      <c r="C1377" t="s">
        <v>1305</v>
      </c>
      <c r="D1377" t="s">
        <v>1306</v>
      </c>
      <c r="E1377" t="s">
        <v>2</v>
      </c>
      <c r="F1377" t="s">
        <v>1307</v>
      </c>
      <c r="G1377" t="s">
        <v>28</v>
      </c>
      <c r="H1377">
        <v>34233</v>
      </c>
      <c r="I1377" t="s">
        <v>1305</v>
      </c>
      <c r="J1377" t="s">
        <v>1306</v>
      </c>
      <c r="K1377" t="s">
        <v>2</v>
      </c>
      <c r="L1377" t="s">
        <v>1307</v>
      </c>
      <c r="M1377" t="s">
        <v>28</v>
      </c>
      <c r="N1377">
        <v>34233</v>
      </c>
      <c r="O1377" t="s">
        <v>1312</v>
      </c>
      <c r="P1377" t="s">
        <v>2156</v>
      </c>
      <c r="Q1377" t="s">
        <v>21</v>
      </c>
      <c r="R1377">
        <v>415290</v>
      </c>
      <c r="S1377" t="s">
        <v>84</v>
      </c>
      <c r="T1377" s="2">
        <v>207</v>
      </c>
      <c r="U1377">
        <v>0</v>
      </c>
      <c r="V1377" t="s">
        <v>260</v>
      </c>
      <c r="W1377">
        <v>5</v>
      </c>
      <c r="X1377">
        <v>5</v>
      </c>
      <c r="Y1377">
        <v>0</v>
      </c>
      <c r="Z1377" t="s">
        <v>2231</v>
      </c>
      <c r="AA1377" t="s">
        <v>2232</v>
      </c>
      <c r="AB1377" t="s">
        <v>14</v>
      </c>
      <c r="AC1377">
        <v>2.0202</v>
      </c>
      <c r="AD1377">
        <v>10.1</v>
      </c>
      <c r="AE1377">
        <v>726182084510</v>
      </c>
      <c r="AF1377">
        <v>399.61</v>
      </c>
      <c r="AG1377">
        <v>0</v>
      </c>
      <c r="AH1377">
        <v>15</v>
      </c>
      <c r="AI1377">
        <v>414.61</v>
      </c>
      <c r="AJ1377" t="s">
        <v>2</v>
      </c>
      <c r="AK1377" t="s">
        <v>11</v>
      </c>
    </row>
    <row r="1378" spans="1:37">
      <c r="A1378">
        <v>257688</v>
      </c>
      <c r="B1378" s="1">
        <v>45366</v>
      </c>
      <c r="C1378" t="s">
        <v>1305</v>
      </c>
      <c r="D1378" t="s">
        <v>1306</v>
      </c>
      <c r="E1378" t="s">
        <v>2</v>
      </c>
      <c r="F1378" t="s">
        <v>1307</v>
      </c>
      <c r="G1378" t="s">
        <v>28</v>
      </c>
      <c r="H1378">
        <v>34233</v>
      </c>
      <c r="I1378" t="s">
        <v>1305</v>
      </c>
      <c r="J1378" t="s">
        <v>1306</v>
      </c>
      <c r="K1378" t="s">
        <v>2</v>
      </c>
      <c r="L1378" t="s">
        <v>1307</v>
      </c>
      <c r="M1378" t="s">
        <v>28</v>
      </c>
      <c r="N1378">
        <v>34233</v>
      </c>
      <c r="O1378" t="s">
        <v>1312</v>
      </c>
      <c r="P1378" t="s">
        <v>2156</v>
      </c>
      <c r="Q1378" t="s">
        <v>21</v>
      </c>
      <c r="R1378">
        <v>415290</v>
      </c>
      <c r="S1378" t="s">
        <v>84</v>
      </c>
      <c r="T1378" s="2">
        <v>207</v>
      </c>
      <c r="U1378">
        <v>0</v>
      </c>
      <c r="V1378" t="s">
        <v>260</v>
      </c>
      <c r="W1378">
        <v>0</v>
      </c>
      <c r="X1378">
        <v>0</v>
      </c>
      <c r="Y1378">
        <v>0</v>
      </c>
      <c r="Z1378" t="s">
        <v>88</v>
      </c>
      <c r="AA1378" t="s">
        <v>2220</v>
      </c>
      <c r="AB1378" t="s">
        <v>10</v>
      </c>
      <c r="AC1378">
        <v>0</v>
      </c>
      <c r="AD1378">
        <v>0</v>
      </c>
      <c r="AE1378">
        <v>726182084510</v>
      </c>
      <c r="AF1378">
        <v>399.61</v>
      </c>
      <c r="AG1378">
        <v>0</v>
      </c>
      <c r="AH1378">
        <v>15</v>
      </c>
      <c r="AI1378">
        <v>414.61</v>
      </c>
      <c r="AJ1378" t="s">
        <v>2</v>
      </c>
      <c r="AK1378" t="s">
        <v>11</v>
      </c>
    </row>
    <row r="1379" spans="1:37">
      <c r="A1379">
        <v>257688</v>
      </c>
      <c r="B1379" s="1">
        <v>45366</v>
      </c>
      <c r="C1379" t="s">
        <v>1305</v>
      </c>
      <c r="D1379" t="s">
        <v>1306</v>
      </c>
      <c r="E1379" t="s">
        <v>2</v>
      </c>
      <c r="F1379" t="s">
        <v>1307</v>
      </c>
      <c r="G1379" t="s">
        <v>28</v>
      </c>
      <c r="H1379">
        <v>34233</v>
      </c>
      <c r="I1379" t="s">
        <v>1305</v>
      </c>
      <c r="J1379" t="s">
        <v>1306</v>
      </c>
      <c r="K1379" t="s">
        <v>2</v>
      </c>
      <c r="L1379" t="s">
        <v>1307</v>
      </c>
      <c r="M1379" t="s">
        <v>28</v>
      </c>
      <c r="N1379">
        <v>34233</v>
      </c>
      <c r="O1379" t="s">
        <v>1312</v>
      </c>
      <c r="P1379" t="s">
        <v>2156</v>
      </c>
      <c r="Q1379" t="s">
        <v>21</v>
      </c>
      <c r="R1379">
        <v>415290</v>
      </c>
      <c r="S1379" t="s">
        <v>84</v>
      </c>
      <c r="T1379" s="2">
        <v>207</v>
      </c>
      <c r="U1379">
        <v>0</v>
      </c>
      <c r="V1379" t="s">
        <v>260</v>
      </c>
      <c r="W1379">
        <v>3</v>
      </c>
      <c r="X1379">
        <v>0</v>
      </c>
      <c r="Y1379">
        <v>3</v>
      </c>
      <c r="Z1379" t="s">
        <v>2233</v>
      </c>
      <c r="AA1379" t="s">
        <v>2234</v>
      </c>
      <c r="AB1379" t="s">
        <v>14</v>
      </c>
      <c r="AC1379">
        <v>2.0202</v>
      </c>
      <c r="AD1379">
        <v>0</v>
      </c>
      <c r="AE1379">
        <v>726182084510</v>
      </c>
      <c r="AF1379">
        <v>399.61</v>
      </c>
      <c r="AG1379">
        <v>0</v>
      </c>
      <c r="AH1379">
        <v>15</v>
      </c>
      <c r="AI1379">
        <v>414.61</v>
      </c>
      <c r="AJ1379" t="s">
        <v>2</v>
      </c>
      <c r="AK1379" t="s">
        <v>11</v>
      </c>
    </row>
    <row r="1380" spans="1:37">
      <c r="A1380">
        <v>257688</v>
      </c>
      <c r="B1380" s="1">
        <v>45366</v>
      </c>
      <c r="C1380" t="s">
        <v>1305</v>
      </c>
      <c r="D1380" t="s">
        <v>1306</v>
      </c>
      <c r="E1380" t="s">
        <v>2</v>
      </c>
      <c r="F1380" t="s">
        <v>1307</v>
      </c>
      <c r="G1380" t="s">
        <v>28</v>
      </c>
      <c r="H1380">
        <v>34233</v>
      </c>
      <c r="I1380" t="s">
        <v>1305</v>
      </c>
      <c r="J1380" t="s">
        <v>1306</v>
      </c>
      <c r="K1380" t="s">
        <v>2</v>
      </c>
      <c r="L1380" t="s">
        <v>1307</v>
      </c>
      <c r="M1380" t="s">
        <v>28</v>
      </c>
      <c r="N1380">
        <v>34233</v>
      </c>
      <c r="O1380" t="s">
        <v>1312</v>
      </c>
      <c r="P1380" t="s">
        <v>2156</v>
      </c>
      <c r="Q1380" t="s">
        <v>21</v>
      </c>
      <c r="R1380">
        <v>415290</v>
      </c>
      <c r="S1380" t="s">
        <v>84</v>
      </c>
      <c r="T1380" s="2">
        <v>207</v>
      </c>
      <c r="U1380">
        <v>0</v>
      </c>
      <c r="V1380" t="s">
        <v>260</v>
      </c>
      <c r="W1380">
        <v>0</v>
      </c>
      <c r="X1380">
        <v>0</v>
      </c>
      <c r="Y1380">
        <v>0</v>
      </c>
      <c r="Z1380" t="s">
        <v>88</v>
      </c>
      <c r="AA1380" t="s">
        <v>2220</v>
      </c>
      <c r="AB1380" t="s">
        <v>10</v>
      </c>
      <c r="AC1380">
        <v>0</v>
      </c>
      <c r="AD1380">
        <v>0</v>
      </c>
      <c r="AE1380">
        <v>726182084510</v>
      </c>
      <c r="AF1380">
        <v>399.61</v>
      </c>
      <c r="AG1380">
        <v>0</v>
      </c>
      <c r="AH1380">
        <v>15</v>
      </c>
      <c r="AI1380">
        <v>414.61</v>
      </c>
      <c r="AJ1380" t="s">
        <v>2</v>
      </c>
      <c r="AK1380" t="s">
        <v>11</v>
      </c>
    </row>
    <row r="1381" spans="1:37">
      <c r="A1381">
        <v>257688</v>
      </c>
      <c r="B1381" s="1">
        <v>45366</v>
      </c>
      <c r="C1381" t="s">
        <v>1305</v>
      </c>
      <c r="D1381" t="s">
        <v>1306</v>
      </c>
      <c r="E1381" t="s">
        <v>2</v>
      </c>
      <c r="F1381" t="s">
        <v>1307</v>
      </c>
      <c r="G1381" t="s">
        <v>28</v>
      </c>
      <c r="H1381">
        <v>34233</v>
      </c>
      <c r="I1381" t="s">
        <v>1305</v>
      </c>
      <c r="J1381" t="s">
        <v>1306</v>
      </c>
      <c r="K1381" t="s">
        <v>2</v>
      </c>
      <c r="L1381" t="s">
        <v>1307</v>
      </c>
      <c r="M1381" t="s">
        <v>28</v>
      </c>
      <c r="N1381">
        <v>34233</v>
      </c>
      <c r="O1381" t="s">
        <v>1312</v>
      </c>
      <c r="P1381" t="s">
        <v>2156</v>
      </c>
      <c r="Q1381" t="s">
        <v>21</v>
      </c>
      <c r="R1381">
        <v>415290</v>
      </c>
      <c r="S1381" t="s">
        <v>84</v>
      </c>
      <c r="T1381" s="2">
        <v>207</v>
      </c>
      <c r="U1381">
        <v>0</v>
      </c>
      <c r="V1381" t="s">
        <v>260</v>
      </c>
      <c r="W1381">
        <v>3</v>
      </c>
      <c r="X1381">
        <v>3</v>
      </c>
      <c r="Y1381">
        <v>0</v>
      </c>
      <c r="Z1381" t="s">
        <v>2235</v>
      </c>
      <c r="AA1381" t="s">
        <v>2236</v>
      </c>
      <c r="AB1381" t="s">
        <v>14</v>
      </c>
      <c r="AC1381">
        <v>2.0202</v>
      </c>
      <c r="AD1381">
        <v>6.06</v>
      </c>
      <c r="AE1381">
        <v>726182084510</v>
      </c>
      <c r="AF1381">
        <v>399.61</v>
      </c>
      <c r="AG1381">
        <v>0</v>
      </c>
      <c r="AH1381">
        <v>15</v>
      </c>
      <c r="AI1381">
        <v>414.61</v>
      </c>
      <c r="AJ1381" t="s">
        <v>2</v>
      </c>
      <c r="AK1381" t="s">
        <v>11</v>
      </c>
    </row>
    <row r="1382" spans="1:37">
      <c r="A1382">
        <v>257688</v>
      </c>
      <c r="B1382" s="1">
        <v>45366</v>
      </c>
      <c r="C1382" t="s">
        <v>1305</v>
      </c>
      <c r="D1382" t="s">
        <v>1306</v>
      </c>
      <c r="E1382" t="s">
        <v>2</v>
      </c>
      <c r="F1382" t="s">
        <v>1307</v>
      </c>
      <c r="G1382" t="s">
        <v>28</v>
      </c>
      <c r="H1382">
        <v>34233</v>
      </c>
      <c r="I1382" t="s">
        <v>1305</v>
      </c>
      <c r="J1382" t="s">
        <v>1306</v>
      </c>
      <c r="K1382" t="s">
        <v>2</v>
      </c>
      <c r="L1382" t="s">
        <v>1307</v>
      </c>
      <c r="M1382" t="s">
        <v>28</v>
      </c>
      <c r="N1382">
        <v>34233</v>
      </c>
      <c r="O1382" t="s">
        <v>1312</v>
      </c>
      <c r="P1382" t="s">
        <v>2156</v>
      </c>
      <c r="Q1382" t="s">
        <v>21</v>
      </c>
      <c r="R1382">
        <v>415290</v>
      </c>
      <c r="S1382" t="s">
        <v>84</v>
      </c>
      <c r="T1382" s="2">
        <v>207</v>
      </c>
      <c r="U1382">
        <v>0</v>
      </c>
      <c r="V1382" t="s">
        <v>260</v>
      </c>
      <c r="W1382">
        <v>0</v>
      </c>
      <c r="X1382">
        <v>0</v>
      </c>
      <c r="Y1382">
        <v>0</v>
      </c>
      <c r="Z1382" t="s">
        <v>88</v>
      </c>
      <c r="AA1382" t="s">
        <v>2220</v>
      </c>
      <c r="AB1382" t="s">
        <v>10</v>
      </c>
      <c r="AC1382">
        <v>0</v>
      </c>
      <c r="AD1382">
        <v>0</v>
      </c>
      <c r="AE1382">
        <v>726182084510</v>
      </c>
      <c r="AF1382">
        <v>399.61</v>
      </c>
      <c r="AG1382">
        <v>0</v>
      </c>
      <c r="AH1382">
        <v>15</v>
      </c>
      <c r="AI1382">
        <v>414.61</v>
      </c>
      <c r="AJ1382" t="s">
        <v>2</v>
      </c>
      <c r="AK1382" t="s">
        <v>11</v>
      </c>
    </row>
    <row r="1383" spans="1:37">
      <c r="A1383">
        <v>257688</v>
      </c>
      <c r="B1383" s="1">
        <v>45366</v>
      </c>
      <c r="C1383" t="s">
        <v>1305</v>
      </c>
      <c r="D1383" t="s">
        <v>1306</v>
      </c>
      <c r="E1383" t="s">
        <v>2</v>
      </c>
      <c r="F1383" t="s">
        <v>1307</v>
      </c>
      <c r="G1383" t="s">
        <v>28</v>
      </c>
      <c r="H1383">
        <v>34233</v>
      </c>
      <c r="I1383" t="s">
        <v>1305</v>
      </c>
      <c r="J1383" t="s">
        <v>1306</v>
      </c>
      <c r="K1383" t="s">
        <v>2</v>
      </c>
      <c r="L1383" t="s">
        <v>1307</v>
      </c>
      <c r="M1383" t="s">
        <v>28</v>
      </c>
      <c r="N1383">
        <v>34233</v>
      </c>
      <c r="O1383" t="s">
        <v>1312</v>
      </c>
      <c r="P1383" t="s">
        <v>2156</v>
      </c>
      <c r="Q1383" t="s">
        <v>21</v>
      </c>
      <c r="R1383">
        <v>415290</v>
      </c>
      <c r="S1383" t="s">
        <v>84</v>
      </c>
      <c r="T1383" s="2">
        <v>207</v>
      </c>
      <c r="U1383">
        <v>0</v>
      </c>
      <c r="V1383" t="s">
        <v>260</v>
      </c>
      <c r="W1383">
        <v>3</v>
      </c>
      <c r="X1383">
        <v>3</v>
      </c>
      <c r="Y1383">
        <v>0</v>
      </c>
      <c r="Z1383" t="s">
        <v>2237</v>
      </c>
      <c r="AA1383" t="s">
        <v>2238</v>
      </c>
      <c r="AB1383" t="s">
        <v>14</v>
      </c>
      <c r="AC1383">
        <v>2.0202</v>
      </c>
      <c r="AD1383">
        <v>6.06</v>
      </c>
      <c r="AE1383">
        <v>726182084510</v>
      </c>
      <c r="AF1383">
        <v>399.61</v>
      </c>
      <c r="AG1383">
        <v>0</v>
      </c>
      <c r="AH1383">
        <v>15</v>
      </c>
      <c r="AI1383">
        <v>414.61</v>
      </c>
      <c r="AJ1383" t="s">
        <v>2</v>
      </c>
      <c r="AK1383" t="s">
        <v>11</v>
      </c>
    </row>
    <row r="1384" spans="1:37">
      <c r="A1384">
        <v>257688</v>
      </c>
      <c r="B1384" s="1">
        <v>45366</v>
      </c>
      <c r="C1384" t="s">
        <v>1305</v>
      </c>
      <c r="D1384" t="s">
        <v>1306</v>
      </c>
      <c r="E1384" t="s">
        <v>2</v>
      </c>
      <c r="F1384" t="s">
        <v>1307</v>
      </c>
      <c r="G1384" t="s">
        <v>28</v>
      </c>
      <c r="H1384">
        <v>34233</v>
      </c>
      <c r="I1384" t="s">
        <v>1305</v>
      </c>
      <c r="J1384" t="s">
        <v>1306</v>
      </c>
      <c r="K1384" t="s">
        <v>2</v>
      </c>
      <c r="L1384" t="s">
        <v>1307</v>
      </c>
      <c r="M1384" t="s">
        <v>28</v>
      </c>
      <c r="N1384">
        <v>34233</v>
      </c>
      <c r="O1384" t="s">
        <v>1312</v>
      </c>
      <c r="P1384" t="s">
        <v>2156</v>
      </c>
      <c r="Q1384" t="s">
        <v>21</v>
      </c>
      <c r="R1384">
        <v>415290</v>
      </c>
      <c r="S1384" t="s">
        <v>84</v>
      </c>
      <c r="T1384" s="2">
        <v>207</v>
      </c>
      <c r="U1384">
        <v>0</v>
      </c>
      <c r="V1384" t="s">
        <v>260</v>
      </c>
      <c r="W1384">
        <v>0</v>
      </c>
      <c r="X1384">
        <v>0</v>
      </c>
      <c r="Y1384">
        <v>0</v>
      </c>
      <c r="Z1384" t="s">
        <v>88</v>
      </c>
      <c r="AA1384" t="s">
        <v>2220</v>
      </c>
      <c r="AB1384" t="s">
        <v>10</v>
      </c>
      <c r="AC1384">
        <v>0</v>
      </c>
      <c r="AD1384">
        <v>0</v>
      </c>
      <c r="AE1384">
        <v>726182084510</v>
      </c>
      <c r="AF1384">
        <v>399.61</v>
      </c>
      <c r="AG1384">
        <v>0</v>
      </c>
      <c r="AH1384">
        <v>15</v>
      </c>
      <c r="AI1384">
        <v>414.61</v>
      </c>
      <c r="AJ1384" t="s">
        <v>2</v>
      </c>
      <c r="AK1384" t="s">
        <v>11</v>
      </c>
    </row>
    <row r="1385" spans="1:37">
      <c r="A1385">
        <v>257688</v>
      </c>
      <c r="B1385" s="1">
        <v>45366</v>
      </c>
      <c r="C1385" t="s">
        <v>1305</v>
      </c>
      <c r="D1385" t="s">
        <v>1306</v>
      </c>
      <c r="E1385" t="s">
        <v>2</v>
      </c>
      <c r="F1385" t="s">
        <v>1307</v>
      </c>
      <c r="G1385" t="s">
        <v>28</v>
      </c>
      <c r="H1385">
        <v>34233</v>
      </c>
      <c r="I1385" t="s">
        <v>1305</v>
      </c>
      <c r="J1385" t="s">
        <v>1306</v>
      </c>
      <c r="K1385" t="s">
        <v>2</v>
      </c>
      <c r="L1385" t="s">
        <v>1307</v>
      </c>
      <c r="M1385" t="s">
        <v>28</v>
      </c>
      <c r="N1385">
        <v>34233</v>
      </c>
      <c r="O1385" t="s">
        <v>1312</v>
      </c>
      <c r="P1385" t="s">
        <v>2156</v>
      </c>
      <c r="Q1385" t="s">
        <v>21</v>
      </c>
      <c r="R1385">
        <v>415290</v>
      </c>
      <c r="S1385" t="s">
        <v>84</v>
      </c>
      <c r="T1385" s="2">
        <v>207</v>
      </c>
      <c r="U1385">
        <v>0</v>
      </c>
      <c r="V1385" t="s">
        <v>260</v>
      </c>
      <c r="W1385">
        <v>3</v>
      </c>
      <c r="X1385">
        <v>3</v>
      </c>
      <c r="Y1385">
        <v>0</v>
      </c>
      <c r="Z1385" t="s">
        <v>2239</v>
      </c>
      <c r="AA1385" t="s">
        <v>2240</v>
      </c>
      <c r="AB1385" t="s">
        <v>14</v>
      </c>
      <c r="AC1385">
        <v>2.0202</v>
      </c>
      <c r="AD1385">
        <v>6.06</v>
      </c>
      <c r="AE1385">
        <v>726182084510</v>
      </c>
      <c r="AF1385">
        <v>399.61</v>
      </c>
      <c r="AG1385">
        <v>0</v>
      </c>
      <c r="AH1385">
        <v>15</v>
      </c>
      <c r="AI1385">
        <v>414.61</v>
      </c>
      <c r="AJ1385" t="s">
        <v>2</v>
      </c>
      <c r="AK1385" t="s">
        <v>11</v>
      </c>
    </row>
    <row r="1386" spans="1:37">
      <c r="A1386">
        <v>257688</v>
      </c>
      <c r="B1386" s="1">
        <v>45366</v>
      </c>
      <c r="C1386" t="s">
        <v>1305</v>
      </c>
      <c r="D1386" t="s">
        <v>1306</v>
      </c>
      <c r="E1386" t="s">
        <v>2</v>
      </c>
      <c r="F1386" t="s">
        <v>1307</v>
      </c>
      <c r="G1386" t="s">
        <v>28</v>
      </c>
      <c r="H1386">
        <v>34233</v>
      </c>
      <c r="I1386" t="s">
        <v>1305</v>
      </c>
      <c r="J1386" t="s">
        <v>1306</v>
      </c>
      <c r="K1386" t="s">
        <v>2</v>
      </c>
      <c r="L1386" t="s">
        <v>1307</v>
      </c>
      <c r="M1386" t="s">
        <v>28</v>
      </c>
      <c r="N1386">
        <v>34233</v>
      </c>
      <c r="O1386" t="s">
        <v>1312</v>
      </c>
      <c r="P1386" t="s">
        <v>2156</v>
      </c>
      <c r="Q1386" t="s">
        <v>21</v>
      </c>
      <c r="R1386">
        <v>415290</v>
      </c>
      <c r="S1386" t="s">
        <v>84</v>
      </c>
      <c r="T1386" s="2">
        <v>207</v>
      </c>
      <c r="U1386">
        <v>0</v>
      </c>
      <c r="V1386" t="s">
        <v>260</v>
      </c>
      <c r="W1386">
        <v>0</v>
      </c>
      <c r="X1386">
        <v>0</v>
      </c>
      <c r="Y1386">
        <v>0</v>
      </c>
      <c r="Z1386" t="s">
        <v>88</v>
      </c>
      <c r="AA1386" t="s">
        <v>2220</v>
      </c>
      <c r="AB1386" t="s">
        <v>10</v>
      </c>
      <c r="AC1386">
        <v>0</v>
      </c>
      <c r="AD1386">
        <v>0</v>
      </c>
      <c r="AE1386">
        <v>726182084510</v>
      </c>
      <c r="AF1386">
        <v>399.61</v>
      </c>
      <c r="AG1386">
        <v>0</v>
      </c>
      <c r="AH1386">
        <v>15</v>
      </c>
      <c r="AI1386">
        <v>414.61</v>
      </c>
      <c r="AJ1386" t="s">
        <v>2</v>
      </c>
      <c r="AK1386" t="s">
        <v>11</v>
      </c>
    </row>
    <row r="1387" spans="1:37">
      <c r="A1387">
        <v>257688</v>
      </c>
      <c r="B1387" s="1">
        <v>45366</v>
      </c>
      <c r="C1387" t="s">
        <v>1305</v>
      </c>
      <c r="D1387" t="s">
        <v>1306</v>
      </c>
      <c r="E1387" t="s">
        <v>2</v>
      </c>
      <c r="F1387" t="s">
        <v>1307</v>
      </c>
      <c r="G1387" t="s">
        <v>28</v>
      </c>
      <c r="H1387">
        <v>34233</v>
      </c>
      <c r="I1387" t="s">
        <v>1305</v>
      </c>
      <c r="J1387" t="s">
        <v>1306</v>
      </c>
      <c r="K1387" t="s">
        <v>2</v>
      </c>
      <c r="L1387" t="s">
        <v>1307</v>
      </c>
      <c r="M1387" t="s">
        <v>28</v>
      </c>
      <c r="N1387">
        <v>34233</v>
      </c>
      <c r="O1387" t="s">
        <v>1312</v>
      </c>
      <c r="P1387" t="s">
        <v>2156</v>
      </c>
      <c r="Q1387" t="s">
        <v>21</v>
      </c>
      <c r="R1387">
        <v>415290</v>
      </c>
      <c r="S1387" t="s">
        <v>84</v>
      </c>
      <c r="T1387" s="2">
        <v>207</v>
      </c>
      <c r="U1387">
        <v>0</v>
      </c>
      <c r="V1387" t="s">
        <v>260</v>
      </c>
      <c r="W1387">
        <v>3</v>
      </c>
      <c r="X1387">
        <v>3</v>
      </c>
      <c r="Y1387">
        <v>0</v>
      </c>
      <c r="Z1387" t="s">
        <v>2241</v>
      </c>
      <c r="AA1387" t="s">
        <v>2242</v>
      </c>
      <c r="AB1387" t="s">
        <v>14</v>
      </c>
      <c r="AC1387">
        <v>2.0202</v>
      </c>
      <c r="AD1387">
        <v>6.06</v>
      </c>
      <c r="AE1387">
        <v>726182084510</v>
      </c>
      <c r="AF1387">
        <v>399.61</v>
      </c>
      <c r="AG1387">
        <v>0</v>
      </c>
      <c r="AH1387">
        <v>15</v>
      </c>
      <c r="AI1387">
        <v>414.61</v>
      </c>
      <c r="AJ1387" t="s">
        <v>2</v>
      </c>
      <c r="AK1387" t="s">
        <v>11</v>
      </c>
    </row>
    <row r="1388" spans="1:37">
      <c r="A1388">
        <v>257688</v>
      </c>
      <c r="B1388" s="1">
        <v>45366</v>
      </c>
      <c r="C1388" t="s">
        <v>1305</v>
      </c>
      <c r="D1388" t="s">
        <v>1306</v>
      </c>
      <c r="E1388" t="s">
        <v>2</v>
      </c>
      <c r="F1388" t="s">
        <v>1307</v>
      </c>
      <c r="G1388" t="s">
        <v>28</v>
      </c>
      <c r="H1388">
        <v>34233</v>
      </c>
      <c r="I1388" t="s">
        <v>1305</v>
      </c>
      <c r="J1388" t="s">
        <v>1306</v>
      </c>
      <c r="K1388" t="s">
        <v>2</v>
      </c>
      <c r="L1388" t="s">
        <v>1307</v>
      </c>
      <c r="M1388" t="s">
        <v>28</v>
      </c>
      <c r="N1388">
        <v>34233</v>
      </c>
      <c r="O1388" t="s">
        <v>1312</v>
      </c>
      <c r="P1388" t="s">
        <v>2156</v>
      </c>
      <c r="Q1388" t="s">
        <v>21</v>
      </c>
      <c r="R1388">
        <v>415290</v>
      </c>
      <c r="S1388" t="s">
        <v>84</v>
      </c>
      <c r="T1388" s="2">
        <v>207</v>
      </c>
      <c r="U1388">
        <v>0</v>
      </c>
      <c r="V1388" t="s">
        <v>260</v>
      </c>
      <c r="W1388">
        <v>0</v>
      </c>
      <c r="X1388">
        <v>0</v>
      </c>
      <c r="Y1388">
        <v>0</v>
      </c>
      <c r="Z1388" t="s">
        <v>88</v>
      </c>
      <c r="AA1388" t="s">
        <v>2220</v>
      </c>
      <c r="AB1388" t="s">
        <v>10</v>
      </c>
      <c r="AC1388">
        <v>0</v>
      </c>
      <c r="AD1388">
        <v>0</v>
      </c>
      <c r="AE1388">
        <v>726182084510</v>
      </c>
      <c r="AF1388">
        <v>399.61</v>
      </c>
      <c r="AG1388">
        <v>0</v>
      </c>
      <c r="AH1388">
        <v>15</v>
      </c>
      <c r="AI1388">
        <v>414.61</v>
      </c>
      <c r="AJ1388" t="s">
        <v>2</v>
      </c>
      <c r="AK1388" t="s">
        <v>11</v>
      </c>
    </row>
    <row r="1389" spans="1:37">
      <c r="A1389">
        <v>257688</v>
      </c>
      <c r="B1389" s="1">
        <v>45366</v>
      </c>
      <c r="C1389" t="s">
        <v>1305</v>
      </c>
      <c r="D1389" t="s">
        <v>1306</v>
      </c>
      <c r="E1389" t="s">
        <v>2</v>
      </c>
      <c r="F1389" t="s">
        <v>1307</v>
      </c>
      <c r="G1389" t="s">
        <v>28</v>
      </c>
      <c r="H1389">
        <v>34233</v>
      </c>
      <c r="I1389" t="s">
        <v>1305</v>
      </c>
      <c r="J1389" t="s">
        <v>1306</v>
      </c>
      <c r="K1389" t="s">
        <v>2</v>
      </c>
      <c r="L1389" t="s">
        <v>1307</v>
      </c>
      <c r="M1389" t="s">
        <v>28</v>
      </c>
      <c r="N1389">
        <v>34233</v>
      </c>
      <c r="O1389" t="s">
        <v>1312</v>
      </c>
      <c r="P1389" t="s">
        <v>2156</v>
      </c>
      <c r="Q1389" t="s">
        <v>21</v>
      </c>
      <c r="R1389">
        <v>415290</v>
      </c>
      <c r="S1389" t="s">
        <v>84</v>
      </c>
      <c r="T1389" s="2">
        <v>207</v>
      </c>
      <c r="U1389">
        <v>0</v>
      </c>
      <c r="V1389" t="s">
        <v>260</v>
      </c>
      <c r="W1389">
        <v>1</v>
      </c>
      <c r="X1389">
        <v>1</v>
      </c>
      <c r="Y1389">
        <v>0</v>
      </c>
      <c r="Z1389" t="s">
        <v>2243</v>
      </c>
      <c r="AA1389" t="s">
        <v>2244</v>
      </c>
      <c r="AB1389" t="s">
        <v>14</v>
      </c>
      <c r="AC1389">
        <v>1.5218</v>
      </c>
      <c r="AD1389">
        <v>1.52</v>
      </c>
      <c r="AE1389">
        <v>726182084510</v>
      </c>
      <c r="AF1389">
        <v>399.61</v>
      </c>
      <c r="AG1389">
        <v>0</v>
      </c>
      <c r="AH1389">
        <v>15</v>
      </c>
      <c r="AI1389">
        <v>414.61</v>
      </c>
      <c r="AJ1389" t="s">
        <v>2</v>
      </c>
      <c r="AK1389" t="s">
        <v>11</v>
      </c>
    </row>
    <row r="1390" spans="1:37">
      <c r="A1390">
        <v>257688</v>
      </c>
      <c r="B1390" s="1">
        <v>45366</v>
      </c>
      <c r="C1390" t="s">
        <v>1305</v>
      </c>
      <c r="D1390" t="s">
        <v>1306</v>
      </c>
      <c r="E1390" t="s">
        <v>2</v>
      </c>
      <c r="F1390" t="s">
        <v>1307</v>
      </c>
      <c r="G1390" t="s">
        <v>28</v>
      </c>
      <c r="H1390">
        <v>34233</v>
      </c>
      <c r="I1390" t="s">
        <v>1305</v>
      </c>
      <c r="J1390" t="s">
        <v>1306</v>
      </c>
      <c r="K1390" t="s">
        <v>2</v>
      </c>
      <c r="L1390" t="s">
        <v>1307</v>
      </c>
      <c r="M1390" t="s">
        <v>28</v>
      </c>
      <c r="N1390">
        <v>34233</v>
      </c>
      <c r="O1390" t="s">
        <v>1312</v>
      </c>
      <c r="P1390" t="s">
        <v>2156</v>
      </c>
      <c r="Q1390" t="s">
        <v>21</v>
      </c>
      <c r="R1390">
        <v>415290</v>
      </c>
      <c r="S1390" t="s">
        <v>84</v>
      </c>
      <c r="T1390" s="2">
        <v>207</v>
      </c>
      <c r="U1390">
        <v>0</v>
      </c>
      <c r="V1390" t="s">
        <v>260</v>
      </c>
      <c r="W1390">
        <v>0</v>
      </c>
      <c r="X1390">
        <v>0</v>
      </c>
      <c r="Y1390">
        <v>0</v>
      </c>
      <c r="Z1390" t="s">
        <v>88</v>
      </c>
      <c r="AA1390" t="s">
        <v>2245</v>
      </c>
      <c r="AB1390" t="s">
        <v>10</v>
      </c>
      <c r="AC1390">
        <v>0</v>
      </c>
      <c r="AD1390">
        <v>0</v>
      </c>
      <c r="AE1390">
        <v>726182084510</v>
      </c>
      <c r="AF1390">
        <v>399.61</v>
      </c>
      <c r="AG1390">
        <v>0</v>
      </c>
      <c r="AH1390">
        <v>15</v>
      </c>
      <c r="AI1390">
        <v>414.61</v>
      </c>
      <c r="AJ1390" t="s">
        <v>2</v>
      </c>
      <c r="AK1390" t="s">
        <v>11</v>
      </c>
    </row>
    <row r="1391" spans="1:37">
      <c r="A1391">
        <v>257688</v>
      </c>
      <c r="B1391" s="1">
        <v>45366</v>
      </c>
      <c r="C1391" t="s">
        <v>1305</v>
      </c>
      <c r="D1391" t="s">
        <v>1306</v>
      </c>
      <c r="E1391" t="s">
        <v>2</v>
      </c>
      <c r="F1391" t="s">
        <v>1307</v>
      </c>
      <c r="G1391" t="s">
        <v>28</v>
      </c>
      <c r="H1391">
        <v>34233</v>
      </c>
      <c r="I1391" t="s">
        <v>1305</v>
      </c>
      <c r="J1391" t="s">
        <v>1306</v>
      </c>
      <c r="K1391" t="s">
        <v>2</v>
      </c>
      <c r="L1391" t="s">
        <v>1307</v>
      </c>
      <c r="M1391" t="s">
        <v>28</v>
      </c>
      <c r="N1391">
        <v>34233</v>
      </c>
      <c r="O1391" t="s">
        <v>1312</v>
      </c>
      <c r="P1391" t="s">
        <v>2156</v>
      </c>
      <c r="Q1391" t="s">
        <v>21</v>
      </c>
      <c r="R1391">
        <v>415290</v>
      </c>
      <c r="S1391" t="s">
        <v>84</v>
      </c>
      <c r="T1391" s="2">
        <v>207</v>
      </c>
      <c r="U1391">
        <v>0</v>
      </c>
      <c r="V1391" t="s">
        <v>260</v>
      </c>
      <c r="W1391">
        <v>3</v>
      </c>
      <c r="X1391">
        <v>0</v>
      </c>
      <c r="Y1391">
        <v>3</v>
      </c>
      <c r="Z1391" t="s">
        <v>2246</v>
      </c>
      <c r="AA1391" t="s">
        <v>2247</v>
      </c>
      <c r="AB1391" t="s">
        <v>14</v>
      </c>
      <c r="AC1391">
        <v>1.5218</v>
      </c>
      <c r="AD1391">
        <v>0</v>
      </c>
      <c r="AE1391">
        <v>726182084510</v>
      </c>
      <c r="AF1391">
        <v>399.61</v>
      </c>
      <c r="AG1391">
        <v>0</v>
      </c>
      <c r="AH1391">
        <v>15</v>
      </c>
      <c r="AI1391">
        <v>414.61</v>
      </c>
      <c r="AJ1391" t="s">
        <v>2</v>
      </c>
      <c r="AK1391" t="s">
        <v>11</v>
      </c>
    </row>
    <row r="1392" spans="1:37">
      <c r="A1392">
        <v>257688</v>
      </c>
      <c r="B1392" s="1">
        <v>45366</v>
      </c>
      <c r="C1392" t="s">
        <v>1305</v>
      </c>
      <c r="D1392" t="s">
        <v>1306</v>
      </c>
      <c r="E1392" t="s">
        <v>2</v>
      </c>
      <c r="F1392" t="s">
        <v>1307</v>
      </c>
      <c r="G1392" t="s">
        <v>28</v>
      </c>
      <c r="H1392">
        <v>34233</v>
      </c>
      <c r="I1392" t="s">
        <v>1305</v>
      </c>
      <c r="J1392" t="s">
        <v>1306</v>
      </c>
      <c r="K1392" t="s">
        <v>2</v>
      </c>
      <c r="L1392" t="s">
        <v>1307</v>
      </c>
      <c r="M1392" t="s">
        <v>28</v>
      </c>
      <c r="N1392">
        <v>34233</v>
      </c>
      <c r="O1392" t="s">
        <v>1312</v>
      </c>
      <c r="P1392" t="s">
        <v>2156</v>
      </c>
      <c r="Q1392" t="s">
        <v>21</v>
      </c>
      <c r="R1392">
        <v>415290</v>
      </c>
      <c r="S1392" t="s">
        <v>84</v>
      </c>
      <c r="T1392" s="2">
        <v>207</v>
      </c>
      <c r="U1392">
        <v>0</v>
      </c>
      <c r="V1392" t="s">
        <v>260</v>
      </c>
      <c r="W1392">
        <v>0</v>
      </c>
      <c r="X1392">
        <v>0</v>
      </c>
      <c r="Y1392">
        <v>0</v>
      </c>
      <c r="Z1392" t="s">
        <v>88</v>
      </c>
      <c r="AA1392" t="s">
        <v>2245</v>
      </c>
      <c r="AB1392" t="s">
        <v>10</v>
      </c>
      <c r="AC1392">
        <v>0</v>
      </c>
      <c r="AD1392">
        <v>0</v>
      </c>
      <c r="AE1392">
        <v>726182084510</v>
      </c>
      <c r="AF1392">
        <v>399.61</v>
      </c>
      <c r="AG1392">
        <v>0</v>
      </c>
      <c r="AH1392">
        <v>15</v>
      </c>
      <c r="AI1392">
        <v>414.61</v>
      </c>
      <c r="AJ1392" t="s">
        <v>2</v>
      </c>
      <c r="AK1392" t="s">
        <v>11</v>
      </c>
    </row>
    <row r="1393" spans="1:37">
      <c r="A1393">
        <v>257688</v>
      </c>
      <c r="B1393" s="1">
        <v>45366</v>
      </c>
      <c r="C1393" t="s">
        <v>1305</v>
      </c>
      <c r="D1393" t="s">
        <v>1306</v>
      </c>
      <c r="E1393" t="s">
        <v>2</v>
      </c>
      <c r="F1393" t="s">
        <v>1307</v>
      </c>
      <c r="G1393" t="s">
        <v>28</v>
      </c>
      <c r="H1393">
        <v>34233</v>
      </c>
      <c r="I1393" t="s">
        <v>1305</v>
      </c>
      <c r="J1393" t="s">
        <v>1306</v>
      </c>
      <c r="K1393" t="s">
        <v>2</v>
      </c>
      <c r="L1393" t="s">
        <v>1307</v>
      </c>
      <c r="M1393" t="s">
        <v>28</v>
      </c>
      <c r="N1393">
        <v>34233</v>
      </c>
      <c r="O1393" t="s">
        <v>1312</v>
      </c>
      <c r="P1393" t="s">
        <v>2156</v>
      </c>
      <c r="Q1393" t="s">
        <v>21</v>
      </c>
      <c r="R1393">
        <v>415290</v>
      </c>
      <c r="S1393" t="s">
        <v>84</v>
      </c>
      <c r="T1393" s="2">
        <v>207</v>
      </c>
      <c r="U1393">
        <v>0</v>
      </c>
      <c r="V1393" t="s">
        <v>260</v>
      </c>
      <c r="W1393">
        <v>3</v>
      </c>
      <c r="X1393">
        <v>3</v>
      </c>
      <c r="Y1393">
        <v>0</v>
      </c>
      <c r="Z1393" t="s">
        <v>2248</v>
      </c>
      <c r="AA1393" t="s">
        <v>2249</v>
      </c>
      <c r="AB1393" t="s">
        <v>14</v>
      </c>
      <c r="AC1393">
        <v>1.5218</v>
      </c>
      <c r="AD1393">
        <v>4.57</v>
      </c>
      <c r="AE1393">
        <v>726182084510</v>
      </c>
      <c r="AF1393">
        <v>399.61</v>
      </c>
      <c r="AG1393">
        <v>0</v>
      </c>
      <c r="AH1393">
        <v>15</v>
      </c>
      <c r="AI1393">
        <v>414.61</v>
      </c>
      <c r="AJ1393" t="s">
        <v>2</v>
      </c>
      <c r="AK1393" t="s">
        <v>11</v>
      </c>
    </row>
    <row r="1394" spans="1:37">
      <c r="A1394">
        <v>257688</v>
      </c>
      <c r="B1394" s="1">
        <v>45366</v>
      </c>
      <c r="C1394" t="s">
        <v>1305</v>
      </c>
      <c r="D1394" t="s">
        <v>1306</v>
      </c>
      <c r="E1394" t="s">
        <v>2</v>
      </c>
      <c r="F1394" t="s">
        <v>1307</v>
      </c>
      <c r="G1394" t="s">
        <v>28</v>
      </c>
      <c r="H1394">
        <v>34233</v>
      </c>
      <c r="I1394" t="s">
        <v>1305</v>
      </c>
      <c r="J1394" t="s">
        <v>1306</v>
      </c>
      <c r="K1394" t="s">
        <v>2</v>
      </c>
      <c r="L1394" t="s">
        <v>1307</v>
      </c>
      <c r="M1394" t="s">
        <v>28</v>
      </c>
      <c r="N1394">
        <v>34233</v>
      </c>
      <c r="O1394" t="s">
        <v>1312</v>
      </c>
      <c r="P1394" t="s">
        <v>2156</v>
      </c>
      <c r="Q1394" t="s">
        <v>21</v>
      </c>
      <c r="R1394">
        <v>415290</v>
      </c>
      <c r="S1394" t="s">
        <v>84</v>
      </c>
      <c r="T1394" s="2">
        <v>207</v>
      </c>
      <c r="U1394">
        <v>0</v>
      </c>
      <c r="V1394" t="s">
        <v>260</v>
      </c>
      <c r="W1394">
        <v>0</v>
      </c>
      <c r="X1394">
        <v>0</v>
      </c>
      <c r="Y1394">
        <v>0</v>
      </c>
      <c r="Z1394" t="s">
        <v>88</v>
      </c>
      <c r="AA1394" t="s">
        <v>2245</v>
      </c>
      <c r="AB1394" t="s">
        <v>10</v>
      </c>
      <c r="AC1394">
        <v>0</v>
      </c>
      <c r="AD1394">
        <v>0</v>
      </c>
      <c r="AE1394">
        <v>726182084510</v>
      </c>
      <c r="AF1394">
        <v>399.61</v>
      </c>
      <c r="AG1394">
        <v>0</v>
      </c>
      <c r="AH1394">
        <v>15</v>
      </c>
      <c r="AI1394">
        <v>414.61</v>
      </c>
      <c r="AJ1394" t="s">
        <v>2</v>
      </c>
      <c r="AK1394" t="s">
        <v>11</v>
      </c>
    </row>
    <row r="1395" spans="1:37">
      <c r="A1395">
        <v>257688</v>
      </c>
      <c r="B1395" s="1">
        <v>45366</v>
      </c>
      <c r="C1395" t="s">
        <v>1305</v>
      </c>
      <c r="D1395" t="s">
        <v>1306</v>
      </c>
      <c r="E1395" t="s">
        <v>2</v>
      </c>
      <c r="F1395" t="s">
        <v>1307</v>
      </c>
      <c r="G1395" t="s">
        <v>28</v>
      </c>
      <c r="H1395">
        <v>34233</v>
      </c>
      <c r="I1395" t="s">
        <v>1305</v>
      </c>
      <c r="J1395" t="s">
        <v>1306</v>
      </c>
      <c r="K1395" t="s">
        <v>2</v>
      </c>
      <c r="L1395" t="s">
        <v>1307</v>
      </c>
      <c r="M1395" t="s">
        <v>28</v>
      </c>
      <c r="N1395">
        <v>34233</v>
      </c>
      <c r="O1395" t="s">
        <v>1312</v>
      </c>
      <c r="P1395" t="s">
        <v>2156</v>
      </c>
      <c r="Q1395" t="s">
        <v>21</v>
      </c>
      <c r="R1395">
        <v>415290</v>
      </c>
      <c r="S1395" t="s">
        <v>84</v>
      </c>
      <c r="T1395" s="2">
        <v>207</v>
      </c>
      <c r="U1395">
        <v>0</v>
      </c>
      <c r="V1395" t="s">
        <v>260</v>
      </c>
      <c r="W1395">
        <v>1</v>
      </c>
      <c r="X1395">
        <v>1</v>
      </c>
      <c r="Y1395">
        <v>0</v>
      </c>
      <c r="Z1395" t="s">
        <v>2250</v>
      </c>
      <c r="AA1395" t="s">
        <v>2251</v>
      </c>
      <c r="AB1395" t="s">
        <v>14</v>
      </c>
      <c r="AC1395">
        <v>1.5218</v>
      </c>
      <c r="AD1395">
        <v>1.52</v>
      </c>
      <c r="AE1395">
        <v>726182084510</v>
      </c>
      <c r="AF1395">
        <v>399.61</v>
      </c>
      <c r="AG1395">
        <v>0</v>
      </c>
      <c r="AH1395">
        <v>15</v>
      </c>
      <c r="AI1395">
        <v>414.61</v>
      </c>
      <c r="AJ1395" t="s">
        <v>2</v>
      </c>
      <c r="AK1395" t="s">
        <v>11</v>
      </c>
    </row>
    <row r="1396" spans="1:37">
      <c r="A1396">
        <v>257688</v>
      </c>
      <c r="B1396" s="1">
        <v>45366</v>
      </c>
      <c r="C1396" t="s">
        <v>1305</v>
      </c>
      <c r="D1396" t="s">
        <v>1306</v>
      </c>
      <c r="E1396" t="s">
        <v>2</v>
      </c>
      <c r="F1396" t="s">
        <v>1307</v>
      </c>
      <c r="G1396" t="s">
        <v>28</v>
      </c>
      <c r="H1396">
        <v>34233</v>
      </c>
      <c r="I1396" t="s">
        <v>1305</v>
      </c>
      <c r="J1396" t="s">
        <v>1306</v>
      </c>
      <c r="K1396" t="s">
        <v>2</v>
      </c>
      <c r="L1396" t="s">
        <v>1307</v>
      </c>
      <c r="M1396" t="s">
        <v>28</v>
      </c>
      <c r="N1396">
        <v>34233</v>
      </c>
      <c r="O1396" t="s">
        <v>1312</v>
      </c>
      <c r="P1396" t="s">
        <v>2156</v>
      </c>
      <c r="Q1396" t="s">
        <v>21</v>
      </c>
      <c r="R1396">
        <v>415290</v>
      </c>
      <c r="S1396" t="s">
        <v>84</v>
      </c>
      <c r="T1396" s="2">
        <v>207</v>
      </c>
      <c r="U1396">
        <v>0</v>
      </c>
      <c r="V1396" t="s">
        <v>260</v>
      </c>
      <c r="W1396">
        <v>0</v>
      </c>
      <c r="X1396">
        <v>0</v>
      </c>
      <c r="Y1396">
        <v>0</v>
      </c>
      <c r="Z1396" t="s">
        <v>88</v>
      </c>
      <c r="AA1396" t="s">
        <v>2245</v>
      </c>
      <c r="AB1396" t="s">
        <v>10</v>
      </c>
      <c r="AC1396">
        <v>0</v>
      </c>
      <c r="AD1396">
        <v>0</v>
      </c>
      <c r="AE1396">
        <v>726182084510</v>
      </c>
      <c r="AF1396">
        <v>399.61</v>
      </c>
      <c r="AG1396">
        <v>0</v>
      </c>
      <c r="AH1396">
        <v>15</v>
      </c>
      <c r="AI1396">
        <v>414.61</v>
      </c>
      <c r="AJ1396" t="s">
        <v>2</v>
      </c>
      <c r="AK1396" t="s">
        <v>11</v>
      </c>
    </row>
    <row r="1397" spans="1:37">
      <c r="A1397">
        <v>257688</v>
      </c>
      <c r="B1397" s="1">
        <v>45366</v>
      </c>
      <c r="C1397" t="s">
        <v>1305</v>
      </c>
      <c r="D1397" t="s">
        <v>1306</v>
      </c>
      <c r="E1397" t="s">
        <v>2</v>
      </c>
      <c r="F1397" t="s">
        <v>1307</v>
      </c>
      <c r="G1397" t="s">
        <v>28</v>
      </c>
      <c r="H1397">
        <v>34233</v>
      </c>
      <c r="I1397" t="s">
        <v>1305</v>
      </c>
      <c r="J1397" t="s">
        <v>1306</v>
      </c>
      <c r="K1397" t="s">
        <v>2</v>
      </c>
      <c r="L1397" t="s">
        <v>1307</v>
      </c>
      <c r="M1397" t="s">
        <v>28</v>
      </c>
      <c r="N1397">
        <v>34233</v>
      </c>
      <c r="O1397" t="s">
        <v>1312</v>
      </c>
      <c r="P1397" t="s">
        <v>2156</v>
      </c>
      <c r="Q1397" t="s">
        <v>21</v>
      </c>
      <c r="R1397">
        <v>415290</v>
      </c>
      <c r="S1397" t="s">
        <v>84</v>
      </c>
      <c r="T1397" s="2">
        <v>207</v>
      </c>
      <c r="U1397">
        <v>0</v>
      </c>
      <c r="V1397" t="s">
        <v>260</v>
      </c>
      <c r="W1397">
        <v>3</v>
      </c>
      <c r="X1397">
        <v>3</v>
      </c>
      <c r="Y1397">
        <v>0</v>
      </c>
      <c r="Z1397" t="s">
        <v>2252</v>
      </c>
      <c r="AA1397" t="s">
        <v>2253</v>
      </c>
      <c r="AB1397" t="s">
        <v>14</v>
      </c>
      <c r="AC1397">
        <v>1.9</v>
      </c>
      <c r="AD1397">
        <v>5.7</v>
      </c>
      <c r="AE1397">
        <v>726182084510</v>
      </c>
      <c r="AF1397">
        <v>399.61</v>
      </c>
      <c r="AG1397">
        <v>0</v>
      </c>
      <c r="AH1397">
        <v>15</v>
      </c>
      <c r="AI1397">
        <v>414.61</v>
      </c>
      <c r="AJ1397" t="s">
        <v>2</v>
      </c>
      <c r="AK1397" t="s">
        <v>11</v>
      </c>
    </row>
    <row r="1398" spans="1:37">
      <c r="A1398">
        <v>257688</v>
      </c>
      <c r="B1398" s="1">
        <v>45366</v>
      </c>
      <c r="C1398" t="s">
        <v>1305</v>
      </c>
      <c r="D1398" t="s">
        <v>1306</v>
      </c>
      <c r="E1398" t="s">
        <v>2</v>
      </c>
      <c r="F1398" t="s">
        <v>1307</v>
      </c>
      <c r="G1398" t="s">
        <v>28</v>
      </c>
      <c r="H1398">
        <v>34233</v>
      </c>
      <c r="I1398" t="s">
        <v>1305</v>
      </c>
      <c r="J1398" t="s">
        <v>1306</v>
      </c>
      <c r="K1398" t="s">
        <v>2</v>
      </c>
      <c r="L1398" t="s">
        <v>1307</v>
      </c>
      <c r="M1398" t="s">
        <v>28</v>
      </c>
      <c r="N1398">
        <v>34233</v>
      </c>
      <c r="O1398" t="s">
        <v>1312</v>
      </c>
      <c r="P1398" t="s">
        <v>2156</v>
      </c>
      <c r="Q1398" t="s">
        <v>21</v>
      </c>
      <c r="R1398">
        <v>415290</v>
      </c>
      <c r="S1398" t="s">
        <v>84</v>
      </c>
      <c r="T1398" s="2">
        <v>207</v>
      </c>
      <c r="U1398">
        <v>0</v>
      </c>
      <c r="V1398" t="s">
        <v>260</v>
      </c>
      <c r="W1398">
        <v>0</v>
      </c>
      <c r="X1398">
        <v>0</v>
      </c>
      <c r="Y1398">
        <v>0</v>
      </c>
      <c r="Z1398" t="s">
        <v>88</v>
      </c>
      <c r="AA1398" t="s">
        <v>2173</v>
      </c>
      <c r="AB1398" t="s">
        <v>10</v>
      </c>
      <c r="AC1398">
        <v>0</v>
      </c>
      <c r="AD1398">
        <v>0</v>
      </c>
      <c r="AE1398">
        <v>726182084510</v>
      </c>
      <c r="AF1398">
        <v>399.61</v>
      </c>
      <c r="AG1398">
        <v>0</v>
      </c>
      <c r="AH1398">
        <v>15</v>
      </c>
      <c r="AI1398">
        <v>414.61</v>
      </c>
      <c r="AJ1398" t="s">
        <v>2</v>
      </c>
      <c r="AK1398" t="s">
        <v>11</v>
      </c>
    </row>
    <row r="1399" spans="1:37">
      <c r="A1399">
        <v>257688</v>
      </c>
      <c r="B1399" s="1">
        <v>45366</v>
      </c>
      <c r="C1399" t="s">
        <v>1305</v>
      </c>
      <c r="D1399" t="s">
        <v>1306</v>
      </c>
      <c r="E1399" t="s">
        <v>2</v>
      </c>
      <c r="F1399" t="s">
        <v>1307</v>
      </c>
      <c r="G1399" t="s">
        <v>28</v>
      </c>
      <c r="H1399">
        <v>34233</v>
      </c>
      <c r="I1399" t="s">
        <v>1305</v>
      </c>
      <c r="J1399" t="s">
        <v>1306</v>
      </c>
      <c r="K1399" t="s">
        <v>2</v>
      </c>
      <c r="L1399" t="s">
        <v>1307</v>
      </c>
      <c r="M1399" t="s">
        <v>28</v>
      </c>
      <c r="N1399">
        <v>34233</v>
      </c>
      <c r="O1399" t="s">
        <v>1312</v>
      </c>
      <c r="P1399" t="s">
        <v>2156</v>
      </c>
      <c r="Q1399" t="s">
        <v>21</v>
      </c>
      <c r="R1399">
        <v>415290</v>
      </c>
      <c r="S1399" t="s">
        <v>84</v>
      </c>
      <c r="T1399" s="2">
        <v>207</v>
      </c>
      <c r="U1399">
        <v>0</v>
      </c>
      <c r="V1399" t="s">
        <v>260</v>
      </c>
      <c r="W1399">
        <v>3</v>
      </c>
      <c r="X1399">
        <v>3</v>
      </c>
      <c r="Y1399">
        <v>0</v>
      </c>
      <c r="Z1399" t="s">
        <v>2254</v>
      </c>
      <c r="AA1399" t="s">
        <v>2255</v>
      </c>
      <c r="AB1399" t="s">
        <v>14</v>
      </c>
      <c r="AC1399">
        <v>1.9</v>
      </c>
      <c r="AD1399">
        <v>5.7</v>
      </c>
      <c r="AE1399">
        <v>726182084510</v>
      </c>
      <c r="AF1399">
        <v>399.61</v>
      </c>
      <c r="AG1399">
        <v>0</v>
      </c>
      <c r="AH1399">
        <v>15</v>
      </c>
      <c r="AI1399">
        <v>414.61</v>
      </c>
      <c r="AJ1399" t="s">
        <v>2</v>
      </c>
      <c r="AK1399" t="s">
        <v>11</v>
      </c>
    </row>
    <row r="1400" spans="1:37">
      <c r="A1400">
        <v>257688</v>
      </c>
      <c r="B1400" s="1">
        <v>45366</v>
      </c>
      <c r="C1400" t="s">
        <v>1305</v>
      </c>
      <c r="D1400" t="s">
        <v>1306</v>
      </c>
      <c r="E1400" t="s">
        <v>2</v>
      </c>
      <c r="F1400" t="s">
        <v>1307</v>
      </c>
      <c r="G1400" t="s">
        <v>28</v>
      </c>
      <c r="H1400">
        <v>34233</v>
      </c>
      <c r="I1400" t="s">
        <v>1305</v>
      </c>
      <c r="J1400" t="s">
        <v>1306</v>
      </c>
      <c r="K1400" t="s">
        <v>2</v>
      </c>
      <c r="L1400" t="s">
        <v>1307</v>
      </c>
      <c r="M1400" t="s">
        <v>28</v>
      </c>
      <c r="N1400">
        <v>34233</v>
      </c>
      <c r="O1400" t="s">
        <v>1312</v>
      </c>
      <c r="P1400" t="s">
        <v>2156</v>
      </c>
      <c r="Q1400" t="s">
        <v>21</v>
      </c>
      <c r="R1400">
        <v>415290</v>
      </c>
      <c r="S1400" t="s">
        <v>84</v>
      </c>
      <c r="T1400" s="2">
        <v>207</v>
      </c>
      <c r="U1400">
        <v>0</v>
      </c>
      <c r="V1400" t="s">
        <v>260</v>
      </c>
      <c r="W1400">
        <v>0</v>
      </c>
      <c r="X1400">
        <v>0</v>
      </c>
      <c r="Y1400">
        <v>0</v>
      </c>
      <c r="Z1400" t="s">
        <v>88</v>
      </c>
      <c r="AA1400" t="s">
        <v>2173</v>
      </c>
      <c r="AB1400" t="s">
        <v>10</v>
      </c>
      <c r="AC1400">
        <v>0</v>
      </c>
      <c r="AD1400">
        <v>0</v>
      </c>
      <c r="AE1400">
        <v>726182084510</v>
      </c>
      <c r="AF1400">
        <v>399.61</v>
      </c>
      <c r="AG1400">
        <v>0</v>
      </c>
      <c r="AH1400">
        <v>15</v>
      </c>
      <c r="AI1400">
        <v>414.61</v>
      </c>
      <c r="AJ1400" t="s">
        <v>2</v>
      </c>
      <c r="AK1400" t="s">
        <v>11</v>
      </c>
    </row>
    <row r="1401" spans="1:37">
      <c r="A1401">
        <v>257688</v>
      </c>
      <c r="B1401" s="1">
        <v>45366</v>
      </c>
      <c r="C1401" t="s">
        <v>1305</v>
      </c>
      <c r="D1401" t="s">
        <v>1306</v>
      </c>
      <c r="E1401" t="s">
        <v>2</v>
      </c>
      <c r="F1401" t="s">
        <v>1307</v>
      </c>
      <c r="G1401" t="s">
        <v>28</v>
      </c>
      <c r="H1401">
        <v>34233</v>
      </c>
      <c r="I1401" t="s">
        <v>1305</v>
      </c>
      <c r="J1401" t="s">
        <v>1306</v>
      </c>
      <c r="K1401" t="s">
        <v>2</v>
      </c>
      <c r="L1401" t="s">
        <v>1307</v>
      </c>
      <c r="M1401" t="s">
        <v>28</v>
      </c>
      <c r="N1401">
        <v>34233</v>
      </c>
      <c r="O1401" t="s">
        <v>1312</v>
      </c>
      <c r="P1401" t="s">
        <v>2156</v>
      </c>
      <c r="Q1401" t="s">
        <v>21</v>
      </c>
      <c r="R1401">
        <v>415290</v>
      </c>
      <c r="S1401" t="s">
        <v>84</v>
      </c>
      <c r="T1401" s="2">
        <v>207</v>
      </c>
      <c r="U1401">
        <v>0</v>
      </c>
      <c r="V1401" t="s">
        <v>260</v>
      </c>
      <c r="W1401">
        <v>3</v>
      </c>
      <c r="X1401">
        <v>3</v>
      </c>
      <c r="Y1401">
        <v>0</v>
      </c>
      <c r="Z1401" t="s">
        <v>2256</v>
      </c>
      <c r="AA1401" t="s">
        <v>2257</v>
      </c>
      <c r="AB1401" t="s">
        <v>14</v>
      </c>
      <c r="AC1401">
        <v>1.9</v>
      </c>
      <c r="AD1401">
        <v>5.7</v>
      </c>
      <c r="AE1401">
        <v>726182084510</v>
      </c>
      <c r="AF1401">
        <v>399.61</v>
      </c>
      <c r="AG1401">
        <v>0</v>
      </c>
      <c r="AH1401">
        <v>15</v>
      </c>
      <c r="AI1401">
        <v>414.61</v>
      </c>
      <c r="AJ1401" t="s">
        <v>2</v>
      </c>
      <c r="AK1401" t="s">
        <v>11</v>
      </c>
    </row>
    <row r="1402" spans="1:37">
      <c r="A1402">
        <v>257688</v>
      </c>
      <c r="B1402" s="1">
        <v>45366</v>
      </c>
      <c r="C1402" t="s">
        <v>1305</v>
      </c>
      <c r="D1402" t="s">
        <v>1306</v>
      </c>
      <c r="E1402" t="s">
        <v>2</v>
      </c>
      <c r="F1402" t="s">
        <v>1307</v>
      </c>
      <c r="G1402" t="s">
        <v>28</v>
      </c>
      <c r="H1402">
        <v>34233</v>
      </c>
      <c r="I1402" t="s">
        <v>1305</v>
      </c>
      <c r="J1402" t="s">
        <v>1306</v>
      </c>
      <c r="K1402" t="s">
        <v>2</v>
      </c>
      <c r="L1402" t="s">
        <v>1307</v>
      </c>
      <c r="M1402" t="s">
        <v>28</v>
      </c>
      <c r="N1402">
        <v>34233</v>
      </c>
      <c r="O1402" t="s">
        <v>1312</v>
      </c>
      <c r="P1402" t="s">
        <v>2156</v>
      </c>
      <c r="Q1402" t="s">
        <v>21</v>
      </c>
      <c r="R1402">
        <v>415290</v>
      </c>
      <c r="S1402" t="s">
        <v>84</v>
      </c>
      <c r="T1402" s="2">
        <v>207</v>
      </c>
      <c r="U1402">
        <v>0</v>
      </c>
      <c r="V1402" t="s">
        <v>260</v>
      </c>
      <c r="W1402">
        <v>0</v>
      </c>
      <c r="X1402">
        <v>0</v>
      </c>
      <c r="Y1402">
        <v>0</v>
      </c>
      <c r="Z1402" t="s">
        <v>88</v>
      </c>
      <c r="AA1402" t="s">
        <v>2173</v>
      </c>
      <c r="AB1402" t="s">
        <v>10</v>
      </c>
      <c r="AC1402">
        <v>0</v>
      </c>
      <c r="AD1402">
        <v>0</v>
      </c>
      <c r="AE1402">
        <v>726182084510</v>
      </c>
      <c r="AF1402">
        <v>399.61</v>
      </c>
      <c r="AG1402">
        <v>0</v>
      </c>
      <c r="AH1402">
        <v>15</v>
      </c>
      <c r="AI1402">
        <v>414.61</v>
      </c>
      <c r="AJ1402" t="s">
        <v>2</v>
      </c>
      <c r="AK1402" t="s">
        <v>11</v>
      </c>
    </row>
    <row r="1403" spans="1:37">
      <c r="A1403">
        <v>257688</v>
      </c>
      <c r="B1403" s="1">
        <v>45366</v>
      </c>
      <c r="C1403" t="s">
        <v>1305</v>
      </c>
      <c r="D1403" t="s">
        <v>1306</v>
      </c>
      <c r="E1403" t="s">
        <v>2</v>
      </c>
      <c r="F1403" t="s">
        <v>1307</v>
      </c>
      <c r="G1403" t="s">
        <v>28</v>
      </c>
      <c r="H1403">
        <v>34233</v>
      </c>
      <c r="I1403" t="s">
        <v>1305</v>
      </c>
      <c r="J1403" t="s">
        <v>1306</v>
      </c>
      <c r="K1403" t="s">
        <v>2</v>
      </c>
      <c r="L1403" t="s">
        <v>1307</v>
      </c>
      <c r="M1403" t="s">
        <v>28</v>
      </c>
      <c r="N1403">
        <v>34233</v>
      </c>
      <c r="O1403" t="s">
        <v>1312</v>
      </c>
      <c r="P1403" t="s">
        <v>2156</v>
      </c>
      <c r="Q1403" t="s">
        <v>21</v>
      </c>
      <c r="R1403">
        <v>415290</v>
      </c>
      <c r="S1403" t="s">
        <v>84</v>
      </c>
      <c r="T1403" s="2">
        <v>207</v>
      </c>
      <c r="U1403">
        <v>0</v>
      </c>
      <c r="V1403" t="s">
        <v>260</v>
      </c>
      <c r="W1403">
        <v>3</v>
      </c>
      <c r="X1403">
        <v>3</v>
      </c>
      <c r="Y1403">
        <v>0</v>
      </c>
      <c r="Z1403" t="s">
        <v>2258</v>
      </c>
      <c r="AA1403" t="s">
        <v>2259</v>
      </c>
      <c r="AB1403" t="s">
        <v>14</v>
      </c>
      <c r="AC1403">
        <v>1.9</v>
      </c>
      <c r="AD1403">
        <v>5.7</v>
      </c>
      <c r="AE1403">
        <v>726182084510</v>
      </c>
      <c r="AF1403">
        <v>399.61</v>
      </c>
      <c r="AG1403">
        <v>0</v>
      </c>
      <c r="AH1403">
        <v>15</v>
      </c>
      <c r="AI1403">
        <v>414.61</v>
      </c>
      <c r="AJ1403" t="s">
        <v>2</v>
      </c>
      <c r="AK1403" t="s">
        <v>11</v>
      </c>
    </row>
    <row r="1404" spans="1:37">
      <c r="A1404">
        <v>257688</v>
      </c>
      <c r="B1404" s="1">
        <v>45366</v>
      </c>
      <c r="C1404" t="s">
        <v>1305</v>
      </c>
      <c r="D1404" t="s">
        <v>1306</v>
      </c>
      <c r="E1404" t="s">
        <v>2</v>
      </c>
      <c r="F1404" t="s">
        <v>1307</v>
      </c>
      <c r="G1404" t="s">
        <v>28</v>
      </c>
      <c r="H1404">
        <v>34233</v>
      </c>
      <c r="I1404" t="s">
        <v>1305</v>
      </c>
      <c r="J1404" t="s">
        <v>1306</v>
      </c>
      <c r="K1404" t="s">
        <v>2</v>
      </c>
      <c r="L1404" t="s">
        <v>1307</v>
      </c>
      <c r="M1404" t="s">
        <v>28</v>
      </c>
      <c r="N1404">
        <v>34233</v>
      </c>
      <c r="O1404" t="s">
        <v>1312</v>
      </c>
      <c r="P1404" t="s">
        <v>2156</v>
      </c>
      <c r="Q1404" t="s">
        <v>21</v>
      </c>
      <c r="R1404">
        <v>415290</v>
      </c>
      <c r="S1404" t="s">
        <v>84</v>
      </c>
      <c r="T1404" s="2">
        <v>207</v>
      </c>
      <c r="U1404">
        <v>0</v>
      </c>
      <c r="V1404" t="s">
        <v>260</v>
      </c>
      <c r="W1404">
        <v>0</v>
      </c>
      <c r="X1404">
        <v>0</v>
      </c>
      <c r="Y1404">
        <v>0</v>
      </c>
      <c r="Z1404" t="s">
        <v>88</v>
      </c>
      <c r="AA1404" t="s">
        <v>2173</v>
      </c>
      <c r="AB1404" t="s">
        <v>10</v>
      </c>
      <c r="AC1404">
        <v>0</v>
      </c>
      <c r="AD1404">
        <v>0</v>
      </c>
      <c r="AE1404">
        <v>726182084510</v>
      </c>
      <c r="AF1404">
        <v>399.61</v>
      </c>
      <c r="AG1404">
        <v>0</v>
      </c>
      <c r="AH1404">
        <v>15</v>
      </c>
      <c r="AI1404">
        <v>414.61</v>
      </c>
      <c r="AJ1404" t="s">
        <v>2</v>
      </c>
      <c r="AK1404" t="s">
        <v>11</v>
      </c>
    </row>
    <row r="1405" spans="1:37">
      <c r="A1405">
        <v>257688</v>
      </c>
      <c r="B1405" s="1">
        <v>45366</v>
      </c>
      <c r="C1405" t="s">
        <v>1305</v>
      </c>
      <c r="D1405" t="s">
        <v>1306</v>
      </c>
      <c r="E1405" t="s">
        <v>2</v>
      </c>
      <c r="F1405" t="s">
        <v>1307</v>
      </c>
      <c r="G1405" t="s">
        <v>28</v>
      </c>
      <c r="H1405">
        <v>34233</v>
      </c>
      <c r="I1405" t="s">
        <v>1305</v>
      </c>
      <c r="J1405" t="s">
        <v>1306</v>
      </c>
      <c r="K1405" t="s">
        <v>2</v>
      </c>
      <c r="L1405" t="s">
        <v>1307</v>
      </c>
      <c r="M1405" t="s">
        <v>28</v>
      </c>
      <c r="N1405">
        <v>34233</v>
      </c>
      <c r="O1405" t="s">
        <v>1312</v>
      </c>
      <c r="P1405" t="s">
        <v>2156</v>
      </c>
      <c r="Q1405" t="s">
        <v>21</v>
      </c>
      <c r="R1405">
        <v>415290</v>
      </c>
      <c r="S1405" t="s">
        <v>84</v>
      </c>
      <c r="T1405" s="2">
        <v>207</v>
      </c>
      <c r="U1405">
        <v>0</v>
      </c>
      <c r="V1405" t="s">
        <v>260</v>
      </c>
      <c r="W1405">
        <v>3</v>
      </c>
      <c r="X1405">
        <v>3</v>
      </c>
      <c r="Y1405">
        <v>0</v>
      </c>
      <c r="Z1405" t="s">
        <v>2260</v>
      </c>
      <c r="AA1405" t="s">
        <v>2261</v>
      </c>
      <c r="AB1405" t="s">
        <v>14</v>
      </c>
      <c r="AC1405">
        <v>1.9</v>
      </c>
      <c r="AD1405">
        <v>5.7</v>
      </c>
      <c r="AE1405">
        <v>726182084510</v>
      </c>
      <c r="AF1405">
        <v>399.61</v>
      </c>
      <c r="AG1405">
        <v>0</v>
      </c>
      <c r="AH1405">
        <v>15</v>
      </c>
      <c r="AI1405">
        <v>414.61</v>
      </c>
      <c r="AJ1405" t="s">
        <v>2</v>
      </c>
      <c r="AK1405" t="s">
        <v>11</v>
      </c>
    </row>
    <row r="1406" spans="1:37">
      <c r="A1406">
        <v>257688</v>
      </c>
      <c r="B1406" s="1">
        <v>45366</v>
      </c>
      <c r="C1406" t="s">
        <v>1305</v>
      </c>
      <c r="D1406" t="s">
        <v>1306</v>
      </c>
      <c r="E1406" t="s">
        <v>2</v>
      </c>
      <c r="F1406" t="s">
        <v>1307</v>
      </c>
      <c r="G1406" t="s">
        <v>28</v>
      </c>
      <c r="H1406">
        <v>34233</v>
      </c>
      <c r="I1406" t="s">
        <v>1305</v>
      </c>
      <c r="J1406" t="s">
        <v>1306</v>
      </c>
      <c r="K1406" t="s">
        <v>2</v>
      </c>
      <c r="L1406" t="s">
        <v>1307</v>
      </c>
      <c r="M1406" t="s">
        <v>28</v>
      </c>
      <c r="N1406">
        <v>34233</v>
      </c>
      <c r="O1406" t="s">
        <v>1312</v>
      </c>
      <c r="P1406" t="s">
        <v>2156</v>
      </c>
      <c r="Q1406" t="s">
        <v>21</v>
      </c>
      <c r="R1406">
        <v>415290</v>
      </c>
      <c r="S1406" t="s">
        <v>84</v>
      </c>
      <c r="T1406" s="2">
        <v>207</v>
      </c>
      <c r="U1406">
        <v>0</v>
      </c>
      <c r="V1406" t="s">
        <v>260</v>
      </c>
      <c r="W1406">
        <v>0</v>
      </c>
      <c r="X1406">
        <v>0</v>
      </c>
      <c r="Y1406">
        <v>0</v>
      </c>
      <c r="Z1406" t="s">
        <v>88</v>
      </c>
      <c r="AA1406" t="s">
        <v>2173</v>
      </c>
      <c r="AB1406" t="s">
        <v>10</v>
      </c>
      <c r="AC1406">
        <v>0</v>
      </c>
      <c r="AD1406">
        <v>0</v>
      </c>
      <c r="AE1406">
        <v>726182084510</v>
      </c>
      <c r="AF1406">
        <v>399.61</v>
      </c>
      <c r="AG1406">
        <v>0</v>
      </c>
      <c r="AH1406">
        <v>15</v>
      </c>
      <c r="AI1406">
        <v>414.61</v>
      </c>
      <c r="AJ1406" t="s">
        <v>2</v>
      </c>
      <c r="AK1406" t="s">
        <v>11</v>
      </c>
    </row>
    <row r="1407" spans="1:37">
      <c r="A1407">
        <v>257688</v>
      </c>
      <c r="B1407" s="1">
        <v>45366</v>
      </c>
      <c r="C1407" t="s">
        <v>1305</v>
      </c>
      <c r="D1407" t="s">
        <v>1306</v>
      </c>
      <c r="E1407" t="s">
        <v>2</v>
      </c>
      <c r="F1407" t="s">
        <v>1307</v>
      </c>
      <c r="G1407" t="s">
        <v>28</v>
      </c>
      <c r="H1407">
        <v>34233</v>
      </c>
      <c r="I1407" t="s">
        <v>1305</v>
      </c>
      <c r="J1407" t="s">
        <v>1306</v>
      </c>
      <c r="K1407" t="s">
        <v>2</v>
      </c>
      <c r="L1407" t="s">
        <v>1307</v>
      </c>
      <c r="M1407" t="s">
        <v>28</v>
      </c>
      <c r="N1407">
        <v>34233</v>
      </c>
      <c r="O1407" t="s">
        <v>1312</v>
      </c>
      <c r="P1407" t="s">
        <v>2156</v>
      </c>
      <c r="Q1407" t="s">
        <v>21</v>
      </c>
      <c r="R1407">
        <v>415290</v>
      </c>
      <c r="S1407" t="s">
        <v>84</v>
      </c>
      <c r="T1407" s="2">
        <v>207</v>
      </c>
      <c r="U1407">
        <v>0</v>
      </c>
      <c r="V1407" t="s">
        <v>260</v>
      </c>
      <c r="W1407">
        <v>3</v>
      </c>
      <c r="X1407">
        <v>3</v>
      </c>
      <c r="Y1407">
        <v>0</v>
      </c>
      <c r="Z1407" t="s">
        <v>2262</v>
      </c>
      <c r="AA1407" t="s">
        <v>2263</v>
      </c>
      <c r="AB1407" t="s">
        <v>14</v>
      </c>
      <c r="AC1407">
        <v>1.9</v>
      </c>
      <c r="AD1407">
        <v>5.7</v>
      </c>
      <c r="AE1407">
        <v>726182084510</v>
      </c>
      <c r="AF1407">
        <v>399.61</v>
      </c>
      <c r="AG1407">
        <v>0</v>
      </c>
      <c r="AH1407">
        <v>15</v>
      </c>
      <c r="AI1407">
        <v>414.61</v>
      </c>
      <c r="AJ1407" t="s">
        <v>2</v>
      </c>
      <c r="AK1407" t="s">
        <v>11</v>
      </c>
    </row>
    <row r="1408" spans="1:37">
      <c r="A1408">
        <v>257688</v>
      </c>
      <c r="B1408" s="1">
        <v>45366</v>
      </c>
      <c r="C1408" t="s">
        <v>1305</v>
      </c>
      <c r="D1408" t="s">
        <v>1306</v>
      </c>
      <c r="E1408" t="s">
        <v>2</v>
      </c>
      <c r="F1408" t="s">
        <v>1307</v>
      </c>
      <c r="G1408" t="s">
        <v>28</v>
      </c>
      <c r="H1408">
        <v>34233</v>
      </c>
      <c r="I1408" t="s">
        <v>1305</v>
      </c>
      <c r="J1408" t="s">
        <v>1306</v>
      </c>
      <c r="K1408" t="s">
        <v>2</v>
      </c>
      <c r="L1408" t="s">
        <v>1307</v>
      </c>
      <c r="M1408" t="s">
        <v>28</v>
      </c>
      <c r="N1408">
        <v>34233</v>
      </c>
      <c r="O1408" t="s">
        <v>1312</v>
      </c>
      <c r="P1408" t="s">
        <v>2156</v>
      </c>
      <c r="Q1408" t="s">
        <v>21</v>
      </c>
      <c r="R1408">
        <v>415290</v>
      </c>
      <c r="S1408" t="s">
        <v>84</v>
      </c>
      <c r="T1408" s="2">
        <v>207</v>
      </c>
      <c r="U1408">
        <v>0</v>
      </c>
      <c r="V1408" t="s">
        <v>260</v>
      </c>
      <c r="W1408">
        <v>0</v>
      </c>
      <c r="X1408">
        <v>0</v>
      </c>
      <c r="Y1408">
        <v>0</v>
      </c>
      <c r="Z1408" t="s">
        <v>88</v>
      </c>
      <c r="AA1408" t="s">
        <v>2173</v>
      </c>
      <c r="AB1408" t="s">
        <v>10</v>
      </c>
      <c r="AC1408">
        <v>0</v>
      </c>
      <c r="AD1408">
        <v>0</v>
      </c>
      <c r="AE1408">
        <v>726182084510</v>
      </c>
      <c r="AF1408">
        <v>399.61</v>
      </c>
      <c r="AG1408">
        <v>0</v>
      </c>
      <c r="AH1408">
        <v>15</v>
      </c>
      <c r="AI1408">
        <v>414.61</v>
      </c>
      <c r="AJ1408" t="s">
        <v>2</v>
      </c>
      <c r="AK1408" t="s">
        <v>11</v>
      </c>
    </row>
    <row r="1409" spans="1:37">
      <c r="A1409">
        <v>257688</v>
      </c>
      <c r="B1409" s="1">
        <v>45366</v>
      </c>
      <c r="C1409" t="s">
        <v>1305</v>
      </c>
      <c r="D1409" t="s">
        <v>1306</v>
      </c>
      <c r="E1409" t="s">
        <v>2</v>
      </c>
      <c r="F1409" t="s">
        <v>1307</v>
      </c>
      <c r="G1409" t="s">
        <v>28</v>
      </c>
      <c r="H1409">
        <v>34233</v>
      </c>
      <c r="I1409" t="s">
        <v>1305</v>
      </c>
      <c r="J1409" t="s">
        <v>1306</v>
      </c>
      <c r="K1409" t="s">
        <v>2</v>
      </c>
      <c r="L1409" t="s">
        <v>1307</v>
      </c>
      <c r="M1409" t="s">
        <v>28</v>
      </c>
      <c r="N1409">
        <v>34233</v>
      </c>
      <c r="O1409" t="s">
        <v>1312</v>
      </c>
      <c r="P1409" t="s">
        <v>2156</v>
      </c>
      <c r="Q1409" t="s">
        <v>21</v>
      </c>
      <c r="R1409">
        <v>415290</v>
      </c>
      <c r="S1409" t="s">
        <v>84</v>
      </c>
      <c r="T1409" s="2">
        <v>207</v>
      </c>
      <c r="U1409">
        <v>0</v>
      </c>
      <c r="V1409" t="s">
        <v>260</v>
      </c>
      <c r="W1409">
        <v>3</v>
      </c>
      <c r="X1409">
        <v>0</v>
      </c>
      <c r="Y1409">
        <v>3</v>
      </c>
      <c r="Z1409" t="s">
        <v>2264</v>
      </c>
      <c r="AA1409" t="s">
        <v>2265</v>
      </c>
      <c r="AB1409" t="s">
        <v>14</v>
      </c>
      <c r="AC1409">
        <v>1.9</v>
      </c>
      <c r="AD1409">
        <v>0</v>
      </c>
      <c r="AE1409">
        <v>726182084510</v>
      </c>
      <c r="AF1409">
        <v>399.61</v>
      </c>
      <c r="AG1409">
        <v>0</v>
      </c>
      <c r="AH1409">
        <v>15</v>
      </c>
      <c r="AI1409">
        <v>414.61</v>
      </c>
      <c r="AJ1409" t="s">
        <v>2</v>
      </c>
      <c r="AK1409" t="s">
        <v>11</v>
      </c>
    </row>
    <row r="1410" spans="1:37">
      <c r="A1410">
        <v>257688</v>
      </c>
      <c r="B1410" s="1">
        <v>45366</v>
      </c>
      <c r="C1410" t="s">
        <v>1305</v>
      </c>
      <c r="D1410" t="s">
        <v>1306</v>
      </c>
      <c r="E1410" t="s">
        <v>2</v>
      </c>
      <c r="F1410" t="s">
        <v>1307</v>
      </c>
      <c r="G1410" t="s">
        <v>28</v>
      </c>
      <c r="H1410">
        <v>34233</v>
      </c>
      <c r="I1410" t="s">
        <v>1305</v>
      </c>
      <c r="J1410" t="s">
        <v>1306</v>
      </c>
      <c r="K1410" t="s">
        <v>2</v>
      </c>
      <c r="L1410" t="s">
        <v>1307</v>
      </c>
      <c r="M1410" t="s">
        <v>28</v>
      </c>
      <c r="N1410">
        <v>34233</v>
      </c>
      <c r="O1410" t="s">
        <v>1312</v>
      </c>
      <c r="P1410" t="s">
        <v>2156</v>
      </c>
      <c r="Q1410" t="s">
        <v>21</v>
      </c>
      <c r="R1410">
        <v>415290</v>
      </c>
      <c r="S1410" t="s">
        <v>84</v>
      </c>
      <c r="T1410" s="2">
        <v>207</v>
      </c>
      <c r="U1410">
        <v>0</v>
      </c>
      <c r="V1410" t="s">
        <v>260</v>
      </c>
      <c r="W1410">
        <v>0</v>
      </c>
      <c r="X1410">
        <v>0</v>
      </c>
      <c r="Y1410">
        <v>0</v>
      </c>
      <c r="Z1410" t="s">
        <v>88</v>
      </c>
      <c r="AA1410" t="s">
        <v>2173</v>
      </c>
      <c r="AB1410" t="s">
        <v>10</v>
      </c>
      <c r="AC1410">
        <v>0</v>
      </c>
      <c r="AD1410">
        <v>0</v>
      </c>
      <c r="AE1410">
        <v>726182084510</v>
      </c>
      <c r="AF1410">
        <v>399.61</v>
      </c>
      <c r="AG1410">
        <v>0</v>
      </c>
      <c r="AH1410">
        <v>15</v>
      </c>
      <c r="AI1410">
        <v>414.61</v>
      </c>
      <c r="AJ1410" t="s">
        <v>2</v>
      </c>
      <c r="AK1410" t="s">
        <v>11</v>
      </c>
    </row>
    <row r="1411" spans="1:37">
      <c r="A1411">
        <v>257688</v>
      </c>
      <c r="B1411" s="1">
        <v>45366</v>
      </c>
      <c r="C1411" t="s">
        <v>1305</v>
      </c>
      <c r="D1411" t="s">
        <v>1306</v>
      </c>
      <c r="E1411" t="s">
        <v>2</v>
      </c>
      <c r="F1411" t="s">
        <v>1307</v>
      </c>
      <c r="G1411" t="s">
        <v>28</v>
      </c>
      <c r="H1411">
        <v>34233</v>
      </c>
      <c r="I1411" t="s">
        <v>1305</v>
      </c>
      <c r="J1411" t="s">
        <v>1306</v>
      </c>
      <c r="K1411" t="s">
        <v>2</v>
      </c>
      <c r="L1411" t="s">
        <v>1307</v>
      </c>
      <c r="M1411" t="s">
        <v>28</v>
      </c>
      <c r="N1411">
        <v>34233</v>
      </c>
      <c r="O1411" t="s">
        <v>1312</v>
      </c>
      <c r="P1411" t="s">
        <v>2156</v>
      </c>
      <c r="Q1411" t="s">
        <v>21</v>
      </c>
      <c r="R1411">
        <v>415290</v>
      </c>
      <c r="S1411" t="s">
        <v>84</v>
      </c>
      <c r="T1411" s="2">
        <v>207</v>
      </c>
      <c r="U1411">
        <v>0</v>
      </c>
      <c r="V1411" t="s">
        <v>260</v>
      </c>
      <c r="W1411">
        <v>1</v>
      </c>
      <c r="X1411">
        <v>1</v>
      </c>
      <c r="Y1411">
        <v>0</v>
      </c>
      <c r="Z1411" t="s">
        <v>2266</v>
      </c>
      <c r="AA1411" t="s">
        <v>2267</v>
      </c>
      <c r="AB1411" t="s">
        <v>14</v>
      </c>
      <c r="AC1411">
        <v>1.9899</v>
      </c>
      <c r="AD1411">
        <v>1.99</v>
      </c>
      <c r="AE1411">
        <v>726182084510</v>
      </c>
      <c r="AF1411">
        <v>399.61</v>
      </c>
      <c r="AG1411">
        <v>0</v>
      </c>
      <c r="AH1411">
        <v>15</v>
      </c>
      <c r="AI1411">
        <v>414.61</v>
      </c>
      <c r="AJ1411" t="s">
        <v>2</v>
      </c>
      <c r="AK1411" t="s">
        <v>11</v>
      </c>
    </row>
    <row r="1412" spans="1:37">
      <c r="A1412">
        <v>257688</v>
      </c>
      <c r="B1412" s="1">
        <v>45366</v>
      </c>
      <c r="C1412" t="s">
        <v>1305</v>
      </c>
      <c r="D1412" t="s">
        <v>1306</v>
      </c>
      <c r="E1412" t="s">
        <v>2</v>
      </c>
      <c r="F1412" t="s">
        <v>1307</v>
      </c>
      <c r="G1412" t="s">
        <v>28</v>
      </c>
      <c r="H1412">
        <v>34233</v>
      </c>
      <c r="I1412" t="s">
        <v>1305</v>
      </c>
      <c r="J1412" t="s">
        <v>1306</v>
      </c>
      <c r="K1412" t="s">
        <v>2</v>
      </c>
      <c r="L1412" t="s">
        <v>1307</v>
      </c>
      <c r="M1412" t="s">
        <v>28</v>
      </c>
      <c r="N1412">
        <v>34233</v>
      </c>
      <c r="O1412" t="s">
        <v>1312</v>
      </c>
      <c r="P1412" t="s">
        <v>2156</v>
      </c>
      <c r="Q1412" t="s">
        <v>21</v>
      </c>
      <c r="R1412">
        <v>415290</v>
      </c>
      <c r="S1412" t="s">
        <v>84</v>
      </c>
      <c r="T1412" s="2">
        <v>207</v>
      </c>
      <c r="U1412">
        <v>0</v>
      </c>
      <c r="V1412" t="s">
        <v>260</v>
      </c>
      <c r="W1412">
        <v>0</v>
      </c>
      <c r="X1412">
        <v>0</v>
      </c>
      <c r="Y1412">
        <v>0</v>
      </c>
      <c r="Z1412" t="s">
        <v>88</v>
      </c>
      <c r="AA1412" t="s">
        <v>2268</v>
      </c>
      <c r="AB1412" t="s">
        <v>10</v>
      </c>
      <c r="AC1412">
        <v>0</v>
      </c>
      <c r="AD1412">
        <v>0</v>
      </c>
      <c r="AE1412">
        <v>726182084510</v>
      </c>
      <c r="AF1412">
        <v>399.61</v>
      </c>
      <c r="AG1412">
        <v>0</v>
      </c>
      <c r="AH1412">
        <v>15</v>
      </c>
      <c r="AI1412">
        <v>414.61</v>
      </c>
      <c r="AJ1412" t="s">
        <v>2</v>
      </c>
      <c r="AK1412" t="s">
        <v>11</v>
      </c>
    </row>
    <row r="1413" spans="1:37">
      <c r="A1413">
        <v>257688</v>
      </c>
      <c r="B1413" s="1">
        <v>45366</v>
      </c>
      <c r="C1413" t="s">
        <v>1305</v>
      </c>
      <c r="D1413" t="s">
        <v>1306</v>
      </c>
      <c r="E1413" t="s">
        <v>2</v>
      </c>
      <c r="F1413" t="s">
        <v>1307</v>
      </c>
      <c r="G1413" t="s">
        <v>28</v>
      </c>
      <c r="H1413">
        <v>34233</v>
      </c>
      <c r="I1413" t="s">
        <v>1305</v>
      </c>
      <c r="J1413" t="s">
        <v>1306</v>
      </c>
      <c r="K1413" t="s">
        <v>2</v>
      </c>
      <c r="L1413" t="s">
        <v>1307</v>
      </c>
      <c r="M1413" t="s">
        <v>28</v>
      </c>
      <c r="N1413">
        <v>34233</v>
      </c>
      <c r="O1413" t="s">
        <v>1312</v>
      </c>
      <c r="P1413" t="s">
        <v>2156</v>
      </c>
      <c r="Q1413" t="s">
        <v>21</v>
      </c>
      <c r="R1413">
        <v>415290</v>
      </c>
      <c r="S1413" t="s">
        <v>84</v>
      </c>
      <c r="T1413" s="2">
        <v>207</v>
      </c>
      <c r="U1413">
        <v>0</v>
      </c>
      <c r="V1413" t="s">
        <v>260</v>
      </c>
      <c r="W1413">
        <v>1</v>
      </c>
      <c r="X1413">
        <v>1</v>
      </c>
      <c r="Y1413">
        <v>0</v>
      </c>
      <c r="Z1413" t="s">
        <v>2269</v>
      </c>
      <c r="AA1413" t="s">
        <v>2270</v>
      </c>
      <c r="AB1413" t="s">
        <v>14</v>
      </c>
      <c r="AC1413">
        <v>1.64</v>
      </c>
      <c r="AD1413">
        <v>1.64</v>
      </c>
      <c r="AE1413">
        <v>726182084510</v>
      </c>
      <c r="AF1413">
        <v>399.61</v>
      </c>
      <c r="AG1413">
        <v>0</v>
      </c>
      <c r="AH1413">
        <v>15</v>
      </c>
      <c r="AI1413">
        <v>414.61</v>
      </c>
      <c r="AJ1413" t="s">
        <v>2</v>
      </c>
      <c r="AK1413" t="s">
        <v>11</v>
      </c>
    </row>
    <row r="1414" spans="1:37">
      <c r="A1414">
        <v>257688</v>
      </c>
      <c r="B1414" s="1">
        <v>45366</v>
      </c>
      <c r="C1414" t="s">
        <v>1305</v>
      </c>
      <c r="D1414" t="s">
        <v>1306</v>
      </c>
      <c r="E1414" t="s">
        <v>2</v>
      </c>
      <c r="F1414" t="s">
        <v>1307</v>
      </c>
      <c r="G1414" t="s">
        <v>28</v>
      </c>
      <c r="H1414">
        <v>34233</v>
      </c>
      <c r="I1414" t="s">
        <v>1305</v>
      </c>
      <c r="J1414" t="s">
        <v>1306</v>
      </c>
      <c r="K1414" t="s">
        <v>2</v>
      </c>
      <c r="L1414" t="s">
        <v>1307</v>
      </c>
      <c r="M1414" t="s">
        <v>28</v>
      </c>
      <c r="N1414">
        <v>34233</v>
      </c>
      <c r="O1414" t="s">
        <v>1312</v>
      </c>
      <c r="P1414" t="s">
        <v>2156</v>
      </c>
      <c r="Q1414" t="s">
        <v>21</v>
      </c>
      <c r="R1414">
        <v>415290</v>
      </c>
      <c r="S1414" t="s">
        <v>84</v>
      </c>
      <c r="T1414" s="2">
        <v>207</v>
      </c>
      <c r="U1414">
        <v>0</v>
      </c>
      <c r="V1414" t="s">
        <v>260</v>
      </c>
      <c r="W1414">
        <v>0</v>
      </c>
      <c r="X1414">
        <v>0</v>
      </c>
      <c r="Y1414">
        <v>0</v>
      </c>
      <c r="Z1414" t="s">
        <v>88</v>
      </c>
      <c r="AA1414" t="s">
        <v>1765</v>
      </c>
      <c r="AB1414" t="s">
        <v>10</v>
      </c>
      <c r="AC1414">
        <v>0</v>
      </c>
      <c r="AD1414">
        <v>0</v>
      </c>
      <c r="AE1414">
        <v>726182084510</v>
      </c>
      <c r="AF1414">
        <v>399.61</v>
      </c>
      <c r="AG1414">
        <v>0</v>
      </c>
      <c r="AH1414">
        <v>15</v>
      </c>
      <c r="AI1414">
        <v>414.61</v>
      </c>
      <c r="AJ1414" t="s">
        <v>2</v>
      </c>
      <c r="AK1414" t="s">
        <v>11</v>
      </c>
    </row>
    <row r="1415" spans="1:37">
      <c r="A1415">
        <v>257688</v>
      </c>
      <c r="B1415" s="1">
        <v>45366</v>
      </c>
      <c r="C1415" t="s">
        <v>1305</v>
      </c>
      <c r="D1415" t="s">
        <v>1306</v>
      </c>
      <c r="E1415" t="s">
        <v>2</v>
      </c>
      <c r="F1415" t="s">
        <v>1307</v>
      </c>
      <c r="G1415" t="s">
        <v>28</v>
      </c>
      <c r="H1415">
        <v>34233</v>
      </c>
      <c r="I1415" t="s">
        <v>1305</v>
      </c>
      <c r="J1415" t="s">
        <v>1306</v>
      </c>
      <c r="K1415" t="s">
        <v>2</v>
      </c>
      <c r="L1415" t="s">
        <v>1307</v>
      </c>
      <c r="M1415" t="s">
        <v>28</v>
      </c>
      <c r="N1415">
        <v>34233</v>
      </c>
      <c r="O1415" t="s">
        <v>1312</v>
      </c>
      <c r="P1415" t="s">
        <v>2156</v>
      </c>
      <c r="Q1415" t="s">
        <v>21</v>
      </c>
      <c r="R1415">
        <v>415290</v>
      </c>
      <c r="S1415" t="s">
        <v>84</v>
      </c>
      <c r="T1415" s="2">
        <v>207</v>
      </c>
      <c r="U1415">
        <v>0</v>
      </c>
      <c r="V1415" t="s">
        <v>260</v>
      </c>
      <c r="W1415">
        <v>2</v>
      </c>
      <c r="X1415">
        <v>0</v>
      </c>
      <c r="Y1415">
        <v>2</v>
      </c>
      <c r="Z1415" t="s">
        <v>2271</v>
      </c>
      <c r="AA1415" t="s">
        <v>2272</v>
      </c>
      <c r="AB1415" t="s">
        <v>14</v>
      </c>
      <c r="AC1415">
        <v>1.64</v>
      </c>
      <c r="AD1415">
        <v>0</v>
      </c>
      <c r="AE1415">
        <v>726182084510</v>
      </c>
      <c r="AF1415">
        <v>399.61</v>
      </c>
      <c r="AG1415">
        <v>0</v>
      </c>
      <c r="AH1415">
        <v>15</v>
      </c>
      <c r="AI1415">
        <v>414.61</v>
      </c>
      <c r="AJ1415" t="s">
        <v>2</v>
      </c>
      <c r="AK1415" t="s">
        <v>11</v>
      </c>
    </row>
    <row r="1416" spans="1:37">
      <c r="A1416">
        <v>257688</v>
      </c>
      <c r="B1416" s="1">
        <v>45366</v>
      </c>
      <c r="C1416" t="s">
        <v>1305</v>
      </c>
      <c r="D1416" t="s">
        <v>1306</v>
      </c>
      <c r="E1416" t="s">
        <v>2</v>
      </c>
      <c r="F1416" t="s">
        <v>1307</v>
      </c>
      <c r="G1416" t="s">
        <v>28</v>
      </c>
      <c r="H1416">
        <v>34233</v>
      </c>
      <c r="I1416" t="s">
        <v>1305</v>
      </c>
      <c r="J1416" t="s">
        <v>1306</v>
      </c>
      <c r="K1416" t="s">
        <v>2</v>
      </c>
      <c r="L1416" t="s">
        <v>1307</v>
      </c>
      <c r="M1416" t="s">
        <v>28</v>
      </c>
      <c r="N1416">
        <v>34233</v>
      </c>
      <c r="O1416" t="s">
        <v>1312</v>
      </c>
      <c r="P1416" t="s">
        <v>2156</v>
      </c>
      <c r="Q1416" t="s">
        <v>21</v>
      </c>
      <c r="R1416">
        <v>415290</v>
      </c>
      <c r="S1416" t="s">
        <v>84</v>
      </c>
      <c r="T1416" s="2">
        <v>207</v>
      </c>
      <c r="U1416">
        <v>0</v>
      </c>
      <c r="V1416" t="s">
        <v>260</v>
      </c>
      <c r="W1416">
        <v>0</v>
      </c>
      <c r="X1416">
        <v>0</v>
      </c>
      <c r="Y1416">
        <v>0</v>
      </c>
      <c r="Z1416" t="s">
        <v>88</v>
      </c>
      <c r="AA1416" t="s">
        <v>1765</v>
      </c>
      <c r="AB1416" t="s">
        <v>10</v>
      </c>
      <c r="AC1416">
        <v>0</v>
      </c>
      <c r="AD1416">
        <v>0</v>
      </c>
      <c r="AE1416">
        <v>726182084510</v>
      </c>
      <c r="AF1416">
        <v>399.61</v>
      </c>
      <c r="AG1416">
        <v>0</v>
      </c>
      <c r="AH1416">
        <v>15</v>
      </c>
      <c r="AI1416">
        <v>414.61</v>
      </c>
      <c r="AJ1416" t="s">
        <v>2</v>
      </c>
      <c r="AK1416" t="s">
        <v>11</v>
      </c>
    </row>
    <row r="1417" spans="1:37">
      <c r="A1417">
        <v>257688</v>
      </c>
      <c r="B1417" s="1">
        <v>45366</v>
      </c>
      <c r="C1417" t="s">
        <v>1305</v>
      </c>
      <c r="D1417" t="s">
        <v>1306</v>
      </c>
      <c r="E1417" t="s">
        <v>2</v>
      </c>
      <c r="F1417" t="s">
        <v>1307</v>
      </c>
      <c r="G1417" t="s">
        <v>28</v>
      </c>
      <c r="H1417">
        <v>34233</v>
      </c>
      <c r="I1417" t="s">
        <v>1305</v>
      </c>
      <c r="J1417" t="s">
        <v>1306</v>
      </c>
      <c r="K1417" t="s">
        <v>2</v>
      </c>
      <c r="L1417" t="s">
        <v>1307</v>
      </c>
      <c r="M1417" t="s">
        <v>28</v>
      </c>
      <c r="N1417">
        <v>34233</v>
      </c>
      <c r="O1417" t="s">
        <v>1312</v>
      </c>
      <c r="P1417" t="s">
        <v>2156</v>
      </c>
      <c r="Q1417" t="s">
        <v>21</v>
      </c>
      <c r="R1417">
        <v>415290</v>
      </c>
      <c r="S1417" t="s">
        <v>84</v>
      </c>
      <c r="T1417" s="2">
        <v>207</v>
      </c>
      <c r="U1417">
        <v>0</v>
      </c>
      <c r="V1417" t="s">
        <v>260</v>
      </c>
      <c r="W1417">
        <v>2</v>
      </c>
      <c r="X1417">
        <v>2</v>
      </c>
      <c r="Y1417">
        <v>0</v>
      </c>
      <c r="Z1417" t="s">
        <v>2273</v>
      </c>
      <c r="AA1417" t="s">
        <v>2274</v>
      </c>
      <c r="AB1417" t="s">
        <v>14</v>
      </c>
      <c r="AC1417">
        <v>1.3292999999999999</v>
      </c>
      <c r="AD1417">
        <v>2.66</v>
      </c>
      <c r="AE1417">
        <v>726182084510</v>
      </c>
      <c r="AF1417">
        <v>399.61</v>
      </c>
      <c r="AG1417">
        <v>0</v>
      </c>
      <c r="AH1417">
        <v>15</v>
      </c>
      <c r="AI1417">
        <v>414.61</v>
      </c>
      <c r="AJ1417" t="s">
        <v>2</v>
      </c>
      <c r="AK1417" t="s">
        <v>11</v>
      </c>
    </row>
    <row r="1418" spans="1:37">
      <c r="A1418">
        <v>257688</v>
      </c>
      <c r="B1418" s="1">
        <v>45366</v>
      </c>
      <c r="C1418" t="s">
        <v>1305</v>
      </c>
      <c r="D1418" t="s">
        <v>1306</v>
      </c>
      <c r="E1418" t="s">
        <v>2</v>
      </c>
      <c r="F1418" t="s">
        <v>1307</v>
      </c>
      <c r="G1418" t="s">
        <v>28</v>
      </c>
      <c r="H1418">
        <v>34233</v>
      </c>
      <c r="I1418" t="s">
        <v>1305</v>
      </c>
      <c r="J1418" t="s">
        <v>1306</v>
      </c>
      <c r="K1418" t="s">
        <v>2</v>
      </c>
      <c r="L1418" t="s">
        <v>1307</v>
      </c>
      <c r="M1418" t="s">
        <v>28</v>
      </c>
      <c r="N1418">
        <v>34233</v>
      </c>
      <c r="O1418" t="s">
        <v>1312</v>
      </c>
      <c r="P1418" t="s">
        <v>2156</v>
      </c>
      <c r="Q1418" t="s">
        <v>21</v>
      </c>
      <c r="R1418">
        <v>415290</v>
      </c>
      <c r="S1418" t="s">
        <v>84</v>
      </c>
      <c r="T1418" s="2">
        <v>207</v>
      </c>
      <c r="U1418">
        <v>0</v>
      </c>
      <c r="V1418" t="s">
        <v>260</v>
      </c>
      <c r="W1418">
        <v>0</v>
      </c>
      <c r="X1418">
        <v>0</v>
      </c>
      <c r="Y1418">
        <v>0</v>
      </c>
      <c r="Z1418" t="s">
        <v>88</v>
      </c>
      <c r="AA1418" t="s">
        <v>2275</v>
      </c>
      <c r="AB1418" t="s">
        <v>10</v>
      </c>
      <c r="AC1418">
        <v>0</v>
      </c>
      <c r="AD1418">
        <v>0</v>
      </c>
      <c r="AE1418">
        <v>726182084510</v>
      </c>
      <c r="AF1418">
        <v>399.61</v>
      </c>
      <c r="AG1418">
        <v>0</v>
      </c>
      <c r="AH1418">
        <v>15</v>
      </c>
      <c r="AI1418">
        <v>414.61</v>
      </c>
      <c r="AJ1418" t="s">
        <v>2</v>
      </c>
      <c r="AK1418" t="s">
        <v>11</v>
      </c>
    </row>
    <row r="1419" spans="1:37">
      <c r="A1419">
        <v>257688</v>
      </c>
      <c r="B1419" s="1">
        <v>45366</v>
      </c>
      <c r="C1419" t="s">
        <v>1305</v>
      </c>
      <c r="D1419" t="s">
        <v>1306</v>
      </c>
      <c r="E1419" t="s">
        <v>2</v>
      </c>
      <c r="F1419" t="s">
        <v>1307</v>
      </c>
      <c r="G1419" t="s">
        <v>28</v>
      </c>
      <c r="H1419">
        <v>34233</v>
      </c>
      <c r="I1419" t="s">
        <v>1305</v>
      </c>
      <c r="J1419" t="s">
        <v>1306</v>
      </c>
      <c r="K1419" t="s">
        <v>2</v>
      </c>
      <c r="L1419" t="s">
        <v>1307</v>
      </c>
      <c r="M1419" t="s">
        <v>28</v>
      </c>
      <c r="N1419">
        <v>34233</v>
      </c>
      <c r="O1419" t="s">
        <v>1312</v>
      </c>
      <c r="P1419" t="s">
        <v>2156</v>
      </c>
      <c r="Q1419" t="s">
        <v>21</v>
      </c>
      <c r="R1419">
        <v>415290</v>
      </c>
      <c r="S1419" t="s">
        <v>84</v>
      </c>
      <c r="T1419" s="2">
        <v>207</v>
      </c>
      <c r="U1419">
        <v>0</v>
      </c>
      <c r="V1419" t="s">
        <v>260</v>
      </c>
      <c r="W1419">
        <v>1</v>
      </c>
      <c r="X1419">
        <v>1</v>
      </c>
      <c r="Y1419">
        <v>0</v>
      </c>
      <c r="Z1419" t="s">
        <v>2276</v>
      </c>
      <c r="AA1419" t="s">
        <v>2277</v>
      </c>
      <c r="AB1419" t="s">
        <v>14</v>
      </c>
      <c r="AC1419">
        <v>1.3292999999999999</v>
      </c>
      <c r="AD1419">
        <v>1.33</v>
      </c>
      <c r="AE1419">
        <v>726182084510</v>
      </c>
      <c r="AF1419">
        <v>399.61</v>
      </c>
      <c r="AG1419">
        <v>0</v>
      </c>
      <c r="AH1419">
        <v>15</v>
      </c>
      <c r="AI1419">
        <v>414.61</v>
      </c>
      <c r="AJ1419" t="s">
        <v>2</v>
      </c>
      <c r="AK1419" t="s">
        <v>11</v>
      </c>
    </row>
    <row r="1420" spans="1:37">
      <c r="A1420">
        <v>257688</v>
      </c>
      <c r="B1420" s="1">
        <v>45366</v>
      </c>
      <c r="C1420" t="s">
        <v>1305</v>
      </c>
      <c r="D1420" t="s">
        <v>1306</v>
      </c>
      <c r="E1420" t="s">
        <v>2</v>
      </c>
      <c r="F1420" t="s">
        <v>1307</v>
      </c>
      <c r="G1420" t="s">
        <v>28</v>
      </c>
      <c r="H1420">
        <v>34233</v>
      </c>
      <c r="I1420" t="s">
        <v>1305</v>
      </c>
      <c r="J1420" t="s">
        <v>1306</v>
      </c>
      <c r="K1420" t="s">
        <v>2</v>
      </c>
      <c r="L1420" t="s">
        <v>1307</v>
      </c>
      <c r="M1420" t="s">
        <v>28</v>
      </c>
      <c r="N1420">
        <v>34233</v>
      </c>
      <c r="O1420" t="s">
        <v>1312</v>
      </c>
      <c r="P1420" t="s">
        <v>2156</v>
      </c>
      <c r="Q1420" t="s">
        <v>21</v>
      </c>
      <c r="R1420">
        <v>415290</v>
      </c>
      <c r="S1420" t="s">
        <v>84</v>
      </c>
      <c r="T1420" s="2">
        <v>207</v>
      </c>
      <c r="U1420">
        <v>0</v>
      </c>
      <c r="V1420" t="s">
        <v>260</v>
      </c>
      <c r="W1420">
        <v>0</v>
      </c>
      <c r="X1420">
        <v>0</v>
      </c>
      <c r="Y1420">
        <v>0</v>
      </c>
      <c r="Z1420" t="s">
        <v>88</v>
      </c>
      <c r="AA1420" t="s">
        <v>2275</v>
      </c>
      <c r="AB1420" t="s">
        <v>10</v>
      </c>
      <c r="AC1420">
        <v>0</v>
      </c>
      <c r="AD1420">
        <v>0</v>
      </c>
      <c r="AE1420">
        <v>726182084510</v>
      </c>
      <c r="AF1420">
        <v>399.61</v>
      </c>
      <c r="AG1420">
        <v>0</v>
      </c>
      <c r="AH1420">
        <v>15</v>
      </c>
      <c r="AI1420">
        <v>414.61</v>
      </c>
      <c r="AJ1420" t="s">
        <v>2</v>
      </c>
      <c r="AK1420" t="s">
        <v>11</v>
      </c>
    </row>
    <row r="1421" spans="1:37">
      <c r="A1421">
        <v>257688</v>
      </c>
      <c r="B1421" s="1">
        <v>45366</v>
      </c>
      <c r="C1421" t="s">
        <v>1305</v>
      </c>
      <c r="D1421" t="s">
        <v>1306</v>
      </c>
      <c r="E1421" t="s">
        <v>2</v>
      </c>
      <c r="F1421" t="s">
        <v>1307</v>
      </c>
      <c r="G1421" t="s">
        <v>28</v>
      </c>
      <c r="H1421">
        <v>34233</v>
      </c>
      <c r="I1421" t="s">
        <v>1305</v>
      </c>
      <c r="J1421" t="s">
        <v>1306</v>
      </c>
      <c r="K1421" t="s">
        <v>2</v>
      </c>
      <c r="L1421" t="s">
        <v>1307</v>
      </c>
      <c r="M1421" t="s">
        <v>28</v>
      </c>
      <c r="N1421">
        <v>34233</v>
      </c>
      <c r="O1421" t="s">
        <v>1312</v>
      </c>
      <c r="P1421" t="s">
        <v>2156</v>
      </c>
      <c r="Q1421" t="s">
        <v>21</v>
      </c>
      <c r="R1421">
        <v>415290</v>
      </c>
      <c r="S1421" t="s">
        <v>84</v>
      </c>
      <c r="T1421" s="2">
        <v>207</v>
      </c>
      <c r="U1421">
        <v>0</v>
      </c>
      <c r="V1421" t="s">
        <v>260</v>
      </c>
      <c r="W1421">
        <v>2</v>
      </c>
      <c r="X1421">
        <v>2</v>
      </c>
      <c r="Y1421">
        <v>0</v>
      </c>
      <c r="Z1421" t="s">
        <v>2278</v>
      </c>
      <c r="AA1421" t="s">
        <v>2279</v>
      </c>
      <c r="AB1421" t="s">
        <v>14</v>
      </c>
      <c r="AC1421">
        <v>1.3292999999999999</v>
      </c>
      <c r="AD1421">
        <v>2.66</v>
      </c>
      <c r="AE1421">
        <v>726182084510</v>
      </c>
      <c r="AF1421">
        <v>399.61</v>
      </c>
      <c r="AG1421">
        <v>0</v>
      </c>
      <c r="AH1421">
        <v>15</v>
      </c>
      <c r="AI1421">
        <v>414.61</v>
      </c>
      <c r="AJ1421" t="s">
        <v>2</v>
      </c>
      <c r="AK1421" t="s">
        <v>11</v>
      </c>
    </row>
    <row r="1422" spans="1:37">
      <c r="A1422">
        <v>257688</v>
      </c>
      <c r="B1422" s="1">
        <v>45366</v>
      </c>
      <c r="C1422" t="s">
        <v>1305</v>
      </c>
      <c r="D1422" t="s">
        <v>1306</v>
      </c>
      <c r="E1422" t="s">
        <v>2</v>
      </c>
      <c r="F1422" t="s">
        <v>1307</v>
      </c>
      <c r="G1422" t="s">
        <v>28</v>
      </c>
      <c r="H1422">
        <v>34233</v>
      </c>
      <c r="I1422" t="s">
        <v>1305</v>
      </c>
      <c r="J1422" t="s">
        <v>1306</v>
      </c>
      <c r="K1422" t="s">
        <v>2</v>
      </c>
      <c r="L1422" t="s">
        <v>1307</v>
      </c>
      <c r="M1422" t="s">
        <v>28</v>
      </c>
      <c r="N1422">
        <v>34233</v>
      </c>
      <c r="O1422" t="s">
        <v>1312</v>
      </c>
      <c r="P1422" t="s">
        <v>2156</v>
      </c>
      <c r="Q1422" t="s">
        <v>21</v>
      </c>
      <c r="R1422">
        <v>415290</v>
      </c>
      <c r="S1422" t="s">
        <v>84</v>
      </c>
      <c r="T1422" s="2">
        <v>207</v>
      </c>
      <c r="U1422">
        <v>0</v>
      </c>
      <c r="V1422" t="s">
        <v>260</v>
      </c>
      <c r="W1422">
        <v>0</v>
      </c>
      <c r="X1422">
        <v>0</v>
      </c>
      <c r="Y1422">
        <v>0</v>
      </c>
      <c r="Z1422" t="s">
        <v>88</v>
      </c>
      <c r="AA1422" t="s">
        <v>2275</v>
      </c>
      <c r="AB1422" t="s">
        <v>10</v>
      </c>
      <c r="AC1422">
        <v>0</v>
      </c>
      <c r="AD1422">
        <v>0</v>
      </c>
      <c r="AE1422">
        <v>726182084510</v>
      </c>
      <c r="AF1422">
        <v>399.61</v>
      </c>
      <c r="AG1422">
        <v>0</v>
      </c>
      <c r="AH1422">
        <v>15</v>
      </c>
      <c r="AI1422">
        <v>414.61</v>
      </c>
      <c r="AJ1422" t="s">
        <v>2</v>
      </c>
      <c r="AK1422" t="s">
        <v>11</v>
      </c>
    </row>
    <row r="1423" spans="1:37">
      <c r="A1423">
        <v>257688</v>
      </c>
      <c r="B1423" s="1">
        <v>45366</v>
      </c>
      <c r="C1423" t="s">
        <v>1305</v>
      </c>
      <c r="D1423" t="s">
        <v>1306</v>
      </c>
      <c r="E1423" t="s">
        <v>2</v>
      </c>
      <c r="F1423" t="s">
        <v>1307</v>
      </c>
      <c r="G1423" t="s">
        <v>28</v>
      </c>
      <c r="H1423">
        <v>34233</v>
      </c>
      <c r="I1423" t="s">
        <v>1305</v>
      </c>
      <c r="J1423" t="s">
        <v>1306</v>
      </c>
      <c r="K1423" t="s">
        <v>2</v>
      </c>
      <c r="L1423" t="s">
        <v>1307</v>
      </c>
      <c r="M1423" t="s">
        <v>28</v>
      </c>
      <c r="N1423">
        <v>34233</v>
      </c>
      <c r="O1423" t="s">
        <v>1312</v>
      </c>
      <c r="P1423" t="s">
        <v>2156</v>
      </c>
      <c r="Q1423" t="s">
        <v>21</v>
      </c>
      <c r="R1423">
        <v>415290</v>
      </c>
      <c r="S1423" t="s">
        <v>84</v>
      </c>
      <c r="T1423" s="2">
        <v>207</v>
      </c>
      <c r="U1423">
        <v>0</v>
      </c>
      <c r="V1423" t="s">
        <v>260</v>
      </c>
      <c r="W1423">
        <v>2</v>
      </c>
      <c r="X1423">
        <v>2</v>
      </c>
      <c r="Y1423">
        <v>0</v>
      </c>
      <c r="Z1423" t="s">
        <v>2280</v>
      </c>
      <c r="AA1423" t="s">
        <v>2281</v>
      </c>
      <c r="AB1423" t="s">
        <v>14</v>
      </c>
      <c r="AC1423">
        <v>1.3292999999999999</v>
      </c>
      <c r="AD1423">
        <v>2.66</v>
      </c>
      <c r="AE1423">
        <v>726182084510</v>
      </c>
      <c r="AF1423">
        <v>399.61</v>
      </c>
      <c r="AG1423">
        <v>0</v>
      </c>
      <c r="AH1423">
        <v>15</v>
      </c>
      <c r="AI1423">
        <v>414.61</v>
      </c>
      <c r="AJ1423" t="s">
        <v>2</v>
      </c>
      <c r="AK1423" t="s">
        <v>11</v>
      </c>
    </row>
    <row r="1424" spans="1:37">
      <c r="A1424">
        <v>257688</v>
      </c>
      <c r="B1424" s="1">
        <v>45366</v>
      </c>
      <c r="C1424" t="s">
        <v>1305</v>
      </c>
      <c r="D1424" t="s">
        <v>1306</v>
      </c>
      <c r="E1424" t="s">
        <v>2</v>
      </c>
      <c r="F1424" t="s">
        <v>1307</v>
      </c>
      <c r="G1424" t="s">
        <v>28</v>
      </c>
      <c r="H1424">
        <v>34233</v>
      </c>
      <c r="I1424" t="s">
        <v>1305</v>
      </c>
      <c r="J1424" t="s">
        <v>1306</v>
      </c>
      <c r="K1424" t="s">
        <v>2</v>
      </c>
      <c r="L1424" t="s">
        <v>1307</v>
      </c>
      <c r="M1424" t="s">
        <v>28</v>
      </c>
      <c r="N1424">
        <v>34233</v>
      </c>
      <c r="O1424" t="s">
        <v>1312</v>
      </c>
      <c r="P1424" t="s">
        <v>2156</v>
      </c>
      <c r="Q1424" t="s">
        <v>21</v>
      </c>
      <c r="R1424">
        <v>415290</v>
      </c>
      <c r="S1424" t="s">
        <v>84</v>
      </c>
      <c r="T1424" s="2">
        <v>207</v>
      </c>
      <c r="U1424">
        <v>0</v>
      </c>
      <c r="V1424" t="s">
        <v>260</v>
      </c>
      <c r="W1424">
        <v>0</v>
      </c>
      <c r="X1424">
        <v>0</v>
      </c>
      <c r="Y1424">
        <v>0</v>
      </c>
      <c r="Z1424" t="s">
        <v>88</v>
      </c>
      <c r="AA1424" t="s">
        <v>2275</v>
      </c>
      <c r="AB1424" t="s">
        <v>10</v>
      </c>
      <c r="AC1424">
        <v>0</v>
      </c>
      <c r="AD1424">
        <v>0</v>
      </c>
      <c r="AE1424">
        <v>726182084510</v>
      </c>
      <c r="AF1424">
        <v>399.61</v>
      </c>
      <c r="AG1424">
        <v>0</v>
      </c>
      <c r="AH1424">
        <v>15</v>
      </c>
      <c r="AI1424">
        <v>414.61</v>
      </c>
      <c r="AJ1424" t="s">
        <v>2</v>
      </c>
      <c r="AK1424" t="s">
        <v>11</v>
      </c>
    </row>
    <row r="1425" spans="1:37">
      <c r="A1425">
        <v>257688</v>
      </c>
      <c r="B1425" s="1">
        <v>45366</v>
      </c>
      <c r="C1425" t="s">
        <v>1305</v>
      </c>
      <c r="D1425" t="s">
        <v>1306</v>
      </c>
      <c r="E1425" t="s">
        <v>2</v>
      </c>
      <c r="F1425" t="s">
        <v>1307</v>
      </c>
      <c r="G1425" t="s">
        <v>28</v>
      </c>
      <c r="H1425">
        <v>34233</v>
      </c>
      <c r="I1425" t="s">
        <v>1305</v>
      </c>
      <c r="J1425" t="s">
        <v>1306</v>
      </c>
      <c r="K1425" t="s">
        <v>2</v>
      </c>
      <c r="L1425" t="s">
        <v>1307</v>
      </c>
      <c r="M1425" t="s">
        <v>28</v>
      </c>
      <c r="N1425">
        <v>34233</v>
      </c>
      <c r="O1425" t="s">
        <v>1312</v>
      </c>
      <c r="P1425" t="s">
        <v>2156</v>
      </c>
      <c r="Q1425" t="s">
        <v>21</v>
      </c>
      <c r="R1425">
        <v>415290</v>
      </c>
      <c r="S1425" t="s">
        <v>84</v>
      </c>
      <c r="T1425" s="2">
        <v>207</v>
      </c>
      <c r="U1425">
        <v>0</v>
      </c>
      <c r="V1425" t="s">
        <v>260</v>
      </c>
      <c r="W1425">
        <v>1</v>
      </c>
      <c r="X1425">
        <v>1</v>
      </c>
      <c r="Y1425">
        <v>0</v>
      </c>
      <c r="Z1425" t="s">
        <v>2282</v>
      </c>
      <c r="AA1425" t="s">
        <v>2283</v>
      </c>
      <c r="AB1425" t="s">
        <v>14</v>
      </c>
      <c r="AC1425">
        <v>1.3292999999999999</v>
      </c>
      <c r="AD1425">
        <v>1.33</v>
      </c>
      <c r="AE1425">
        <v>726182084510</v>
      </c>
      <c r="AF1425">
        <v>399.61</v>
      </c>
      <c r="AG1425">
        <v>0</v>
      </c>
      <c r="AH1425">
        <v>15</v>
      </c>
      <c r="AI1425">
        <v>414.61</v>
      </c>
      <c r="AJ1425" t="s">
        <v>2</v>
      </c>
      <c r="AK1425" t="s">
        <v>11</v>
      </c>
    </row>
    <row r="1426" spans="1:37">
      <c r="A1426">
        <v>257688</v>
      </c>
      <c r="B1426" s="1">
        <v>45366</v>
      </c>
      <c r="C1426" t="s">
        <v>1305</v>
      </c>
      <c r="D1426" t="s">
        <v>1306</v>
      </c>
      <c r="E1426" t="s">
        <v>2</v>
      </c>
      <c r="F1426" t="s">
        <v>1307</v>
      </c>
      <c r="G1426" t="s">
        <v>28</v>
      </c>
      <c r="H1426">
        <v>34233</v>
      </c>
      <c r="I1426" t="s">
        <v>1305</v>
      </c>
      <c r="J1426" t="s">
        <v>1306</v>
      </c>
      <c r="K1426" t="s">
        <v>2</v>
      </c>
      <c r="L1426" t="s">
        <v>1307</v>
      </c>
      <c r="M1426" t="s">
        <v>28</v>
      </c>
      <c r="N1426">
        <v>34233</v>
      </c>
      <c r="O1426" t="s">
        <v>1312</v>
      </c>
      <c r="P1426" t="s">
        <v>2156</v>
      </c>
      <c r="Q1426" t="s">
        <v>21</v>
      </c>
      <c r="R1426">
        <v>415290</v>
      </c>
      <c r="S1426" t="s">
        <v>84</v>
      </c>
      <c r="T1426" s="2">
        <v>207</v>
      </c>
      <c r="U1426">
        <v>0</v>
      </c>
      <c r="V1426" t="s">
        <v>260</v>
      </c>
      <c r="W1426">
        <v>0</v>
      </c>
      <c r="X1426">
        <v>0</v>
      </c>
      <c r="Y1426">
        <v>0</v>
      </c>
      <c r="Z1426" t="s">
        <v>88</v>
      </c>
      <c r="AA1426" t="s">
        <v>2275</v>
      </c>
      <c r="AB1426" t="s">
        <v>10</v>
      </c>
      <c r="AC1426">
        <v>0</v>
      </c>
      <c r="AD1426">
        <v>0</v>
      </c>
      <c r="AE1426">
        <v>726182084510</v>
      </c>
      <c r="AF1426">
        <v>399.61</v>
      </c>
      <c r="AG1426">
        <v>0</v>
      </c>
      <c r="AH1426">
        <v>15</v>
      </c>
      <c r="AI1426">
        <v>414.61</v>
      </c>
      <c r="AJ1426" t="s">
        <v>2</v>
      </c>
      <c r="AK1426" t="s">
        <v>11</v>
      </c>
    </row>
    <row r="1427" spans="1:37">
      <c r="A1427">
        <v>257688</v>
      </c>
      <c r="B1427" s="1">
        <v>45366</v>
      </c>
      <c r="C1427" t="s">
        <v>1305</v>
      </c>
      <c r="D1427" t="s">
        <v>1306</v>
      </c>
      <c r="E1427" t="s">
        <v>2</v>
      </c>
      <c r="F1427" t="s">
        <v>1307</v>
      </c>
      <c r="G1427" t="s">
        <v>28</v>
      </c>
      <c r="H1427">
        <v>34233</v>
      </c>
      <c r="I1427" t="s">
        <v>1305</v>
      </c>
      <c r="J1427" t="s">
        <v>1306</v>
      </c>
      <c r="K1427" t="s">
        <v>2</v>
      </c>
      <c r="L1427" t="s">
        <v>1307</v>
      </c>
      <c r="M1427" t="s">
        <v>28</v>
      </c>
      <c r="N1427">
        <v>34233</v>
      </c>
      <c r="O1427" t="s">
        <v>1312</v>
      </c>
      <c r="P1427" t="s">
        <v>2156</v>
      </c>
      <c r="Q1427" t="s">
        <v>21</v>
      </c>
      <c r="R1427">
        <v>415290</v>
      </c>
      <c r="S1427" t="s">
        <v>84</v>
      </c>
      <c r="T1427" s="2">
        <v>207</v>
      </c>
      <c r="U1427">
        <v>0</v>
      </c>
      <c r="V1427" t="s">
        <v>260</v>
      </c>
      <c r="W1427">
        <v>1</v>
      </c>
      <c r="X1427">
        <v>1</v>
      </c>
      <c r="Y1427">
        <v>0</v>
      </c>
      <c r="Z1427" t="s">
        <v>2284</v>
      </c>
      <c r="AA1427" t="s">
        <v>2285</v>
      </c>
      <c r="AB1427" t="s">
        <v>14</v>
      </c>
      <c r="AC1427">
        <v>1.3292999999999999</v>
      </c>
      <c r="AD1427">
        <v>1.33</v>
      </c>
      <c r="AE1427">
        <v>726182084510</v>
      </c>
      <c r="AF1427">
        <v>399.61</v>
      </c>
      <c r="AG1427">
        <v>0</v>
      </c>
      <c r="AH1427">
        <v>15</v>
      </c>
      <c r="AI1427">
        <v>414.61</v>
      </c>
      <c r="AJ1427" t="s">
        <v>2</v>
      </c>
      <c r="AK1427" t="s">
        <v>11</v>
      </c>
    </row>
    <row r="1428" spans="1:37">
      <c r="A1428">
        <v>257688</v>
      </c>
      <c r="B1428" s="1">
        <v>45366</v>
      </c>
      <c r="C1428" t="s">
        <v>1305</v>
      </c>
      <c r="D1428" t="s">
        <v>1306</v>
      </c>
      <c r="E1428" t="s">
        <v>2</v>
      </c>
      <c r="F1428" t="s">
        <v>1307</v>
      </c>
      <c r="G1428" t="s">
        <v>28</v>
      </c>
      <c r="H1428">
        <v>34233</v>
      </c>
      <c r="I1428" t="s">
        <v>1305</v>
      </c>
      <c r="J1428" t="s">
        <v>1306</v>
      </c>
      <c r="K1428" t="s">
        <v>2</v>
      </c>
      <c r="L1428" t="s">
        <v>1307</v>
      </c>
      <c r="M1428" t="s">
        <v>28</v>
      </c>
      <c r="N1428">
        <v>34233</v>
      </c>
      <c r="O1428" t="s">
        <v>1312</v>
      </c>
      <c r="P1428" t="s">
        <v>2156</v>
      </c>
      <c r="Q1428" t="s">
        <v>21</v>
      </c>
      <c r="R1428">
        <v>415290</v>
      </c>
      <c r="S1428" t="s">
        <v>84</v>
      </c>
      <c r="T1428" s="2">
        <v>207</v>
      </c>
      <c r="U1428">
        <v>0</v>
      </c>
      <c r="V1428" t="s">
        <v>260</v>
      </c>
      <c r="W1428">
        <v>0</v>
      </c>
      <c r="X1428">
        <v>0</v>
      </c>
      <c r="Y1428">
        <v>0</v>
      </c>
      <c r="Z1428" t="s">
        <v>88</v>
      </c>
      <c r="AA1428" t="s">
        <v>2275</v>
      </c>
      <c r="AB1428" t="s">
        <v>10</v>
      </c>
      <c r="AC1428">
        <v>0</v>
      </c>
      <c r="AD1428">
        <v>0</v>
      </c>
      <c r="AE1428">
        <v>726182084510</v>
      </c>
      <c r="AF1428">
        <v>399.61</v>
      </c>
      <c r="AG1428">
        <v>0</v>
      </c>
      <c r="AH1428">
        <v>15</v>
      </c>
      <c r="AI1428">
        <v>414.61</v>
      </c>
      <c r="AJ1428" t="s">
        <v>2</v>
      </c>
      <c r="AK1428" t="s">
        <v>11</v>
      </c>
    </row>
    <row r="1429" spans="1:37">
      <c r="A1429">
        <v>257688</v>
      </c>
      <c r="B1429" s="1">
        <v>45366</v>
      </c>
      <c r="C1429" t="s">
        <v>1305</v>
      </c>
      <c r="D1429" t="s">
        <v>1306</v>
      </c>
      <c r="E1429" t="s">
        <v>2</v>
      </c>
      <c r="F1429" t="s">
        <v>1307</v>
      </c>
      <c r="G1429" t="s">
        <v>28</v>
      </c>
      <c r="H1429">
        <v>34233</v>
      </c>
      <c r="I1429" t="s">
        <v>1305</v>
      </c>
      <c r="J1429" t="s">
        <v>1306</v>
      </c>
      <c r="K1429" t="s">
        <v>2</v>
      </c>
      <c r="L1429" t="s">
        <v>1307</v>
      </c>
      <c r="M1429" t="s">
        <v>28</v>
      </c>
      <c r="N1429">
        <v>34233</v>
      </c>
      <c r="O1429" t="s">
        <v>1312</v>
      </c>
      <c r="P1429" t="s">
        <v>2156</v>
      </c>
      <c r="Q1429" t="s">
        <v>21</v>
      </c>
      <c r="R1429">
        <v>415290</v>
      </c>
      <c r="S1429" t="s">
        <v>84</v>
      </c>
      <c r="T1429" s="2">
        <v>207</v>
      </c>
      <c r="U1429">
        <v>0</v>
      </c>
      <c r="V1429" t="s">
        <v>260</v>
      </c>
      <c r="W1429">
        <v>1</v>
      </c>
      <c r="X1429">
        <v>1</v>
      </c>
      <c r="Y1429">
        <v>0</v>
      </c>
      <c r="Z1429" t="s">
        <v>2286</v>
      </c>
      <c r="AA1429" t="s">
        <v>2287</v>
      </c>
      <c r="AB1429" t="s">
        <v>14</v>
      </c>
      <c r="AC1429">
        <v>1.3292999999999999</v>
      </c>
      <c r="AD1429">
        <v>1.33</v>
      </c>
      <c r="AE1429">
        <v>726182084510</v>
      </c>
      <c r="AF1429">
        <v>399.61</v>
      </c>
      <c r="AG1429">
        <v>0</v>
      </c>
      <c r="AH1429">
        <v>15</v>
      </c>
      <c r="AI1429">
        <v>414.61</v>
      </c>
      <c r="AJ1429" t="s">
        <v>2</v>
      </c>
      <c r="AK1429" t="s">
        <v>11</v>
      </c>
    </row>
    <row r="1430" spans="1:37">
      <c r="A1430">
        <v>257688</v>
      </c>
      <c r="B1430" s="1">
        <v>45366</v>
      </c>
      <c r="C1430" t="s">
        <v>1305</v>
      </c>
      <c r="D1430" t="s">
        <v>1306</v>
      </c>
      <c r="E1430" t="s">
        <v>2</v>
      </c>
      <c r="F1430" t="s">
        <v>1307</v>
      </c>
      <c r="G1430" t="s">
        <v>28</v>
      </c>
      <c r="H1430">
        <v>34233</v>
      </c>
      <c r="I1430" t="s">
        <v>1305</v>
      </c>
      <c r="J1430" t="s">
        <v>1306</v>
      </c>
      <c r="K1430" t="s">
        <v>2</v>
      </c>
      <c r="L1430" t="s">
        <v>1307</v>
      </c>
      <c r="M1430" t="s">
        <v>28</v>
      </c>
      <c r="N1430">
        <v>34233</v>
      </c>
      <c r="O1430" t="s">
        <v>1312</v>
      </c>
      <c r="P1430" t="s">
        <v>2156</v>
      </c>
      <c r="Q1430" t="s">
        <v>21</v>
      </c>
      <c r="R1430">
        <v>415290</v>
      </c>
      <c r="S1430" t="s">
        <v>84</v>
      </c>
      <c r="T1430" s="2">
        <v>207</v>
      </c>
      <c r="U1430">
        <v>0</v>
      </c>
      <c r="V1430" t="s">
        <v>260</v>
      </c>
      <c r="W1430">
        <v>0</v>
      </c>
      <c r="X1430">
        <v>0</v>
      </c>
      <c r="Y1430">
        <v>0</v>
      </c>
      <c r="Z1430" t="s">
        <v>88</v>
      </c>
      <c r="AA1430" t="s">
        <v>2275</v>
      </c>
      <c r="AB1430" t="s">
        <v>10</v>
      </c>
      <c r="AC1430">
        <v>0</v>
      </c>
      <c r="AD1430">
        <v>0</v>
      </c>
      <c r="AE1430">
        <v>726182084510</v>
      </c>
      <c r="AF1430">
        <v>399.61</v>
      </c>
      <c r="AG1430">
        <v>0</v>
      </c>
      <c r="AH1430">
        <v>15</v>
      </c>
      <c r="AI1430">
        <v>414.61</v>
      </c>
      <c r="AJ1430" t="s">
        <v>2</v>
      </c>
      <c r="AK1430" t="s">
        <v>11</v>
      </c>
    </row>
    <row r="1431" spans="1:37">
      <c r="A1431">
        <v>257688</v>
      </c>
      <c r="B1431" s="1">
        <v>45366</v>
      </c>
      <c r="C1431" t="s">
        <v>1305</v>
      </c>
      <c r="D1431" t="s">
        <v>1306</v>
      </c>
      <c r="E1431" t="s">
        <v>2</v>
      </c>
      <c r="F1431" t="s">
        <v>1307</v>
      </c>
      <c r="G1431" t="s">
        <v>28</v>
      </c>
      <c r="H1431">
        <v>34233</v>
      </c>
      <c r="I1431" t="s">
        <v>1305</v>
      </c>
      <c r="J1431" t="s">
        <v>1306</v>
      </c>
      <c r="K1431" t="s">
        <v>2</v>
      </c>
      <c r="L1431" t="s">
        <v>1307</v>
      </c>
      <c r="M1431" t="s">
        <v>28</v>
      </c>
      <c r="N1431">
        <v>34233</v>
      </c>
      <c r="O1431" t="s">
        <v>1312</v>
      </c>
      <c r="P1431" t="s">
        <v>2156</v>
      </c>
      <c r="Q1431" t="s">
        <v>21</v>
      </c>
      <c r="R1431">
        <v>415290</v>
      </c>
      <c r="S1431" t="s">
        <v>84</v>
      </c>
      <c r="T1431" s="2">
        <v>207</v>
      </c>
      <c r="U1431">
        <v>0</v>
      </c>
      <c r="V1431" t="s">
        <v>260</v>
      </c>
      <c r="W1431">
        <v>1</v>
      </c>
      <c r="X1431">
        <v>1</v>
      </c>
      <c r="Y1431">
        <v>0</v>
      </c>
      <c r="Z1431" t="s">
        <v>2288</v>
      </c>
      <c r="AA1431" t="s">
        <v>2289</v>
      </c>
      <c r="AB1431" t="s">
        <v>14</v>
      </c>
      <c r="AC1431">
        <v>1.3292999999999999</v>
      </c>
      <c r="AD1431">
        <v>1.33</v>
      </c>
      <c r="AE1431">
        <v>726182084510</v>
      </c>
      <c r="AF1431">
        <v>399.61</v>
      </c>
      <c r="AG1431">
        <v>0</v>
      </c>
      <c r="AH1431">
        <v>15</v>
      </c>
      <c r="AI1431">
        <v>414.61</v>
      </c>
      <c r="AJ1431" t="s">
        <v>2</v>
      </c>
      <c r="AK1431" t="s">
        <v>11</v>
      </c>
    </row>
    <row r="1432" spans="1:37">
      <c r="A1432">
        <v>257688</v>
      </c>
      <c r="B1432" s="1">
        <v>45366</v>
      </c>
      <c r="C1432" t="s">
        <v>1305</v>
      </c>
      <c r="D1432" t="s">
        <v>1306</v>
      </c>
      <c r="E1432" t="s">
        <v>2</v>
      </c>
      <c r="F1432" t="s">
        <v>1307</v>
      </c>
      <c r="G1432" t="s">
        <v>28</v>
      </c>
      <c r="H1432">
        <v>34233</v>
      </c>
      <c r="I1432" t="s">
        <v>1305</v>
      </c>
      <c r="J1432" t="s">
        <v>1306</v>
      </c>
      <c r="K1432" t="s">
        <v>2</v>
      </c>
      <c r="L1432" t="s">
        <v>1307</v>
      </c>
      <c r="M1432" t="s">
        <v>28</v>
      </c>
      <c r="N1432">
        <v>34233</v>
      </c>
      <c r="O1432" t="s">
        <v>1312</v>
      </c>
      <c r="P1432" t="s">
        <v>2156</v>
      </c>
      <c r="Q1432" t="s">
        <v>21</v>
      </c>
      <c r="R1432">
        <v>415290</v>
      </c>
      <c r="S1432" t="s">
        <v>84</v>
      </c>
      <c r="T1432" s="2">
        <v>207</v>
      </c>
      <c r="U1432">
        <v>0</v>
      </c>
      <c r="V1432" t="s">
        <v>260</v>
      </c>
      <c r="W1432">
        <v>0</v>
      </c>
      <c r="X1432">
        <v>0</v>
      </c>
      <c r="Y1432">
        <v>0</v>
      </c>
      <c r="Z1432" t="s">
        <v>88</v>
      </c>
      <c r="AA1432" t="s">
        <v>2275</v>
      </c>
      <c r="AB1432" t="s">
        <v>10</v>
      </c>
      <c r="AC1432">
        <v>0</v>
      </c>
      <c r="AD1432">
        <v>0</v>
      </c>
      <c r="AE1432">
        <v>726182084510</v>
      </c>
      <c r="AF1432">
        <v>399.61</v>
      </c>
      <c r="AG1432">
        <v>0</v>
      </c>
      <c r="AH1432">
        <v>15</v>
      </c>
      <c r="AI1432">
        <v>414.61</v>
      </c>
      <c r="AJ1432" t="s">
        <v>2</v>
      </c>
      <c r="AK1432" t="s">
        <v>11</v>
      </c>
    </row>
    <row r="1433" spans="1:37">
      <c r="A1433">
        <v>257688</v>
      </c>
      <c r="B1433" s="1">
        <v>45366</v>
      </c>
      <c r="C1433" t="s">
        <v>1305</v>
      </c>
      <c r="D1433" t="s">
        <v>1306</v>
      </c>
      <c r="E1433" t="s">
        <v>2</v>
      </c>
      <c r="F1433" t="s">
        <v>1307</v>
      </c>
      <c r="G1433" t="s">
        <v>28</v>
      </c>
      <c r="H1433">
        <v>34233</v>
      </c>
      <c r="I1433" t="s">
        <v>1305</v>
      </c>
      <c r="J1433" t="s">
        <v>1306</v>
      </c>
      <c r="K1433" t="s">
        <v>2</v>
      </c>
      <c r="L1433" t="s">
        <v>1307</v>
      </c>
      <c r="M1433" t="s">
        <v>28</v>
      </c>
      <c r="N1433">
        <v>34233</v>
      </c>
      <c r="O1433" t="s">
        <v>1312</v>
      </c>
      <c r="P1433" t="s">
        <v>2156</v>
      </c>
      <c r="Q1433" t="s">
        <v>21</v>
      </c>
      <c r="R1433">
        <v>415290</v>
      </c>
      <c r="S1433" t="s">
        <v>84</v>
      </c>
      <c r="T1433" s="2">
        <v>207</v>
      </c>
      <c r="U1433">
        <v>0</v>
      </c>
      <c r="V1433" t="s">
        <v>260</v>
      </c>
      <c r="W1433">
        <v>1</v>
      </c>
      <c r="X1433">
        <v>1</v>
      </c>
      <c r="Y1433">
        <v>0</v>
      </c>
      <c r="Z1433" t="s">
        <v>2290</v>
      </c>
      <c r="AA1433" t="s">
        <v>2291</v>
      </c>
      <c r="AB1433" t="s">
        <v>14</v>
      </c>
      <c r="AC1433">
        <v>1.3292999999999999</v>
      </c>
      <c r="AD1433">
        <v>1.33</v>
      </c>
      <c r="AE1433">
        <v>726182084510</v>
      </c>
      <c r="AF1433">
        <v>399.61</v>
      </c>
      <c r="AG1433">
        <v>0</v>
      </c>
      <c r="AH1433">
        <v>15</v>
      </c>
      <c r="AI1433">
        <v>414.61</v>
      </c>
      <c r="AJ1433" t="s">
        <v>2</v>
      </c>
      <c r="AK1433" t="s">
        <v>11</v>
      </c>
    </row>
    <row r="1434" spans="1:37">
      <c r="A1434">
        <v>257688</v>
      </c>
      <c r="B1434" s="1">
        <v>45366</v>
      </c>
      <c r="C1434" t="s">
        <v>1305</v>
      </c>
      <c r="D1434" t="s">
        <v>1306</v>
      </c>
      <c r="E1434" t="s">
        <v>2</v>
      </c>
      <c r="F1434" t="s">
        <v>1307</v>
      </c>
      <c r="G1434" t="s">
        <v>28</v>
      </c>
      <c r="H1434">
        <v>34233</v>
      </c>
      <c r="I1434" t="s">
        <v>1305</v>
      </c>
      <c r="J1434" t="s">
        <v>1306</v>
      </c>
      <c r="K1434" t="s">
        <v>2</v>
      </c>
      <c r="L1434" t="s">
        <v>1307</v>
      </c>
      <c r="M1434" t="s">
        <v>28</v>
      </c>
      <c r="N1434">
        <v>34233</v>
      </c>
      <c r="O1434" t="s">
        <v>1312</v>
      </c>
      <c r="P1434" t="s">
        <v>2156</v>
      </c>
      <c r="Q1434" t="s">
        <v>21</v>
      </c>
      <c r="R1434">
        <v>415290</v>
      </c>
      <c r="S1434" t="s">
        <v>84</v>
      </c>
      <c r="T1434" s="2">
        <v>207</v>
      </c>
      <c r="U1434">
        <v>0</v>
      </c>
      <c r="V1434" t="s">
        <v>260</v>
      </c>
      <c r="W1434">
        <v>0</v>
      </c>
      <c r="X1434">
        <v>0</v>
      </c>
      <c r="Y1434">
        <v>0</v>
      </c>
      <c r="Z1434" t="s">
        <v>88</v>
      </c>
      <c r="AA1434" t="s">
        <v>2275</v>
      </c>
      <c r="AB1434" t="s">
        <v>10</v>
      </c>
      <c r="AC1434">
        <v>0</v>
      </c>
      <c r="AD1434">
        <v>0</v>
      </c>
      <c r="AE1434">
        <v>726182084510</v>
      </c>
      <c r="AF1434">
        <v>399.61</v>
      </c>
      <c r="AG1434">
        <v>0</v>
      </c>
      <c r="AH1434">
        <v>15</v>
      </c>
      <c r="AI1434">
        <v>414.61</v>
      </c>
      <c r="AJ1434" t="s">
        <v>2</v>
      </c>
      <c r="AK1434" t="s">
        <v>11</v>
      </c>
    </row>
    <row r="1435" spans="1:37">
      <c r="A1435">
        <v>257688</v>
      </c>
      <c r="B1435" s="1">
        <v>45366</v>
      </c>
      <c r="C1435" t="s">
        <v>1305</v>
      </c>
      <c r="D1435" t="s">
        <v>1306</v>
      </c>
      <c r="E1435" t="s">
        <v>2</v>
      </c>
      <c r="F1435" t="s">
        <v>1307</v>
      </c>
      <c r="G1435" t="s">
        <v>28</v>
      </c>
      <c r="H1435">
        <v>34233</v>
      </c>
      <c r="I1435" t="s">
        <v>1305</v>
      </c>
      <c r="J1435" t="s">
        <v>1306</v>
      </c>
      <c r="K1435" t="s">
        <v>2</v>
      </c>
      <c r="L1435" t="s">
        <v>1307</v>
      </c>
      <c r="M1435" t="s">
        <v>28</v>
      </c>
      <c r="N1435">
        <v>34233</v>
      </c>
      <c r="O1435" t="s">
        <v>1312</v>
      </c>
      <c r="P1435" t="s">
        <v>2156</v>
      </c>
      <c r="Q1435" t="s">
        <v>21</v>
      </c>
      <c r="R1435">
        <v>415290</v>
      </c>
      <c r="S1435" t="s">
        <v>84</v>
      </c>
      <c r="T1435" s="2">
        <v>207</v>
      </c>
      <c r="U1435">
        <v>0</v>
      </c>
      <c r="V1435" t="s">
        <v>260</v>
      </c>
      <c r="W1435">
        <v>2</v>
      </c>
      <c r="X1435">
        <v>2</v>
      </c>
      <c r="Y1435">
        <v>0</v>
      </c>
      <c r="Z1435" t="s">
        <v>2292</v>
      </c>
      <c r="AA1435" t="s">
        <v>2293</v>
      </c>
      <c r="AB1435" t="s">
        <v>14</v>
      </c>
      <c r="AC1435">
        <v>1.3292999999999999</v>
      </c>
      <c r="AD1435">
        <v>2.66</v>
      </c>
      <c r="AE1435">
        <v>726182084510</v>
      </c>
      <c r="AF1435">
        <v>399.61</v>
      </c>
      <c r="AG1435">
        <v>0</v>
      </c>
      <c r="AH1435">
        <v>15</v>
      </c>
      <c r="AI1435">
        <v>414.61</v>
      </c>
      <c r="AJ1435" t="s">
        <v>2</v>
      </c>
      <c r="AK1435" t="s">
        <v>11</v>
      </c>
    </row>
    <row r="1436" spans="1:37">
      <c r="A1436">
        <v>257688</v>
      </c>
      <c r="B1436" s="1">
        <v>45366</v>
      </c>
      <c r="C1436" t="s">
        <v>1305</v>
      </c>
      <c r="D1436" t="s">
        <v>1306</v>
      </c>
      <c r="E1436" t="s">
        <v>2</v>
      </c>
      <c r="F1436" t="s">
        <v>1307</v>
      </c>
      <c r="G1436" t="s">
        <v>28</v>
      </c>
      <c r="H1436">
        <v>34233</v>
      </c>
      <c r="I1436" t="s">
        <v>1305</v>
      </c>
      <c r="J1436" t="s">
        <v>1306</v>
      </c>
      <c r="K1436" t="s">
        <v>2</v>
      </c>
      <c r="L1436" t="s">
        <v>1307</v>
      </c>
      <c r="M1436" t="s">
        <v>28</v>
      </c>
      <c r="N1436">
        <v>34233</v>
      </c>
      <c r="O1436" t="s">
        <v>1312</v>
      </c>
      <c r="P1436" t="s">
        <v>2156</v>
      </c>
      <c r="Q1436" t="s">
        <v>21</v>
      </c>
      <c r="R1436">
        <v>415290</v>
      </c>
      <c r="S1436" t="s">
        <v>84</v>
      </c>
      <c r="T1436" s="2">
        <v>207</v>
      </c>
      <c r="U1436">
        <v>0</v>
      </c>
      <c r="V1436" t="s">
        <v>260</v>
      </c>
      <c r="W1436">
        <v>0</v>
      </c>
      <c r="X1436">
        <v>0</v>
      </c>
      <c r="Y1436">
        <v>0</v>
      </c>
      <c r="Z1436" t="s">
        <v>88</v>
      </c>
      <c r="AA1436" t="s">
        <v>2275</v>
      </c>
      <c r="AB1436" t="s">
        <v>10</v>
      </c>
      <c r="AC1436">
        <v>0</v>
      </c>
      <c r="AD1436">
        <v>0</v>
      </c>
      <c r="AE1436">
        <v>726182084510</v>
      </c>
      <c r="AF1436">
        <v>399.61</v>
      </c>
      <c r="AG1436">
        <v>0</v>
      </c>
      <c r="AH1436">
        <v>15</v>
      </c>
      <c r="AI1436">
        <v>414.61</v>
      </c>
      <c r="AJ1436" t="s">
        <v>2</v>
      </c>
      <c r="AK1436" t="s">
        <v>11</v>
      </c>
    </row>
    <row r="1437" spans="1:37">
      <c r="A1437">
        <v>257688</v>
      </c>
      <c r="B1437" s="1">
        <v>45366</v>
      </c>
      <c r="C1437" t="s">
        <v>1305</v>
      </c>
      <c r="D1437" t="s">
        <v>1306</v>
      </c>
      <c r="E1437" t="s">
        <v>2</v>
      </c>
      <c r="F1437" t="s">
        <v>1307</v>
      </c>
      <c r="G1437" t="s">
        <v>28</v>
      </c>
      <c r="H1437">
        <v>34233</v>
      </c>
      <c r="I1437" t="s">
        <v>1305</v>
      </c>
      <c r="J1437" t="s">
        <v>1306</v>
      </c>
      <c r="K1437" t="s">
        <v>2</v>
      </c>
      <c r="L1437" t="s">
        <v>1307</v>
      </c>
      <c r="M1437" t="s">
        <v>28</v>
      </c>
      <c r="N1437">
        <v>34233</v>
      </c>
      <c r="O1437" t="s">
        <v>1312</v>
      </c>
      <c r="P1437" t="s">
        <v>2156</v>
      </c>
      <c r="Q1437" t="s">
        <v>21</v>
      </c>
      <c r="R1437">
        <v>415290</v>
      </c>
      <c r="S1437" t="s">
        <v>84</v>
      </c>
      <c r="T1437" s="2">
        <v>207</v>
      </c>
      <c r="U1437">
        <v>0</v>
      </c>
      <c r="V1437" t="s">
        <v>260</v>
      </c>
      <c r="W1437">
        <v>2</v>
      </c>
      <c r="X1437">
        <v>2</v>
      </c>
      <c r="Y1437">
        <v>0</v>
      </c>
      <c r="Z1437" t="s">
        <v>2294</v>
      </c>
      <c r="AA1437" t="s">
        <v>2295</v>
      </c>
      <c r="AB1437" t="s">
        <v>14</v>
      </c>
      <c r="AC1437">
        <v>1.3292999999999999</v>
      </c>
      <c r="AD1437">
        <v>2.66</v>
      </c>
      <c r="AE1437">
        <v>726182084510</v>
      </c>
      <c r="AF1437">
        <v>399.61</v>
      </c>
      <c r="AG1437">
        <v>0</v>
      </c>
      <c r="AH1437">
        <v>15</v>
      </c>
      <c r="AI1437">
        <v>414.61</v>
      </c>
      <c r="AJ1437" t="s">
        <v>2</v>
      </c>
      <c r="AK1437" t="s">
        <v>11</v>
      </c>
    </row>
    <row r="1438" spans="1:37">
      <c r="A1438">
        <v>257688</v>
      </c>
      <c r="B1438" s="1">
        <v>45366</v>
      </c>
      <c r="C1438" t="s">
        <v>1305</v>
      </c>
      <c r="D1438" t="s">
        <v>1306</v>
      </c>
      <c r="E1438" t="s">
        <v>2</v>
      </c>
      <c r="F1438" t="s">
        <v>1307</v>
      </c>
      <c r="G1438" t="s">
        <v>28</v>
      </c>
      <c r="H1438">
        <v>34233</v>
      </c>
      <c r="I1438" t="s">
        <v>1305</v>
      </c>
      <c r="J1438" t="s">
        <v>1306</v>
      </c>
      <c r="K1438" t="s">
        <v>2</v>
      </c>
      <c r="L1438" t="s">
        <v>1307</v>
      </c>
      <c r="M1438" t="s">
        <v>28</v>
      </c>
      <c r="N1438">
        <v>34233</v>
      </c>
      <c r="O1438" t="s">
        <v>1312</v>
      </c>
      <c r="P1438" t="s">
        <v>2156</v>
      </c>
      <c r="Q1438" t="s">
        <v>21</v>
      </c>
      <c r="R1438">
        <v>415290</v>
      </c>
      <c r="S1438" t="s">
        <v>84</v>
      </c>
      <c r="T1438" s="2">
        <v>207</v>
      </c>
      <c r="U1438">
        <v>0</v>
      </c>
      <c r="V1438" t="s">
        <v>260</v>
      </c>
      <c r="W1438">
        <v>0</v>
      </c>
      <c r="X1438">
        <v>0</v>
      </c>
      <c r="Y1438">
        <v>0</v>
      </c>
      <c r="Z1438" t="s">
        <v>88</v>
      </c>
      <c r="AA1438" t="s">
        <v>2275</v>
      </c>
      <c r="AB1438" t="s">
        <v>10</v>
      </c>
      <c r="AC1438">
        <v>0</v>
      </c>
      <c r="AD1438">
        <v>0</v>
      </c>
      <c r="AE1438">
        <v>726182084510</v>
      </c>
      <c r="AF1438">
        <v>399.61</v>
      </c>
      <c r="AG1438">
        <v>0</v>
      </c>
      <c r="AH1438">
        <v>15</v>
      </c>
      <c r="AI1438">
        <v>414.61</v>
      </c>
      <c r="AJ1438" t="s">
        <v>2</v>
      </c>
      <c r="AK1438" t="s">
        <v>11</v>
      </c>
    </row>
    <row r="1439" spans="1:37">
      <c r="A1439">
        <v>257688</v>
      </c>
      <c r="B1439" s="1">
        <v>45366</v>
      </c>
      <c r="C1439" t="s">
        <v>1305</v>
      </c>
      <c r="D1439" t="s">
        <v>1306</v>
      </c>
      <c r="E1439" t="s">
        <v>2</v>
      </c>
      <c r="F1439" t="s">
        <v>1307</v>
      </c>
      <c r="G1439" t="s">
        <v>28</v>
      </c>
      <c r="H1439">
        <v>34233</v>
      </c>
      <c r="I1439" t="s">
        <v>1305</v>
      </c>
      <c r="J1439" t="s">
        <v>1306</v>
      </c>
      <c r="K1439" t="s">
        <v>2</v>
      </c>
      <c r="L1439" t="s">
        <v>1307</v>
      </c>
      <c r="M1439" t="s">
        <v>28</v>
      </c>
      <c r="N1439">
        <v>34233</v>
      </c>
      <c r="O1439" t="s">
        <v>1312</v>
      </c>
      <c r="P1439" t="s">
        <v>2156</v>
      </c>
      <c r="Q1439" t="s">
        <v>21</v>
      </c>
      <c r="R1439">
        <v>415290</v>
      </c>
      <c r="S1439" t="s">
        <v>84</v>
      </c>
      <c r="T1439" s="2">
        <v>207</v>
      </c>
      <c r="U1439">
        <v>0</v>
      </c>
      <c r="V1439" t="s">
        <v>260</v>
      </c>
      <c r="W1439">
        <v>2</v>
      </c>
      <c r="X1439">
        <v>2</v>
      </c>
      <c r="Y1439">
        <v>0</v>
      </c>
      <c r="Z1439" t="s">
        <v>2296</v>
      </c>
      <c r="AA1439" t="s">
        <v>2297</v>
      </c>
      <c r="AB1439" t="s">
        <v>14</v>
      </c>
      <c r="AC1439">
        <v>1.3292999999999999</v>
      </c>
      <c r="AD1439">
        <v>2.66</v>
      </c>
      <c r="AE1439">
        <v>726182084510</v>
      </c>
      <c r="AF1439">
        <v>399.61</v>
      </c>
      <c r="AG1439">
        <v>0</v>
      </c>
      <c r="AH1439">
        <v>15</v>
      </c>
      <c r="AI1439">
        <v>414.61</v>
      </c>
      <c r="AJ1439" t="s">
        <v>2</v>
      </c>
      <c r="AK1439" t="s">
        <v>11</v>
      </c>
    </row>
    <row r="1440" spans="1:37">
      <c r="A1440">
        <v>257688</v>
      </c>
      <c r="B1440" s="1">
        <v>45366</v>
      </c>
      <c r="C1440" t="s">
        <v>1305</v>
      </c>
      <c r="D1440" t="s">
        <v>1306</v>
      </c>
      <c r="E1440" t="s">
        <v>2</v>
      </c>
      <c r="F1440" t="s">
        <v>1307</v>
      </c>
      <c r="G1440" t="s">
        <v>28</v>
      </c>
      <c r="H1440">
        <v>34233</v>
      </c>
      <c r="I1440" t="s">
        <v>1305</v>
      </c>
      <c r="J1440" t="s">
        <v>1306</v>
      </c>
      <c r="K1440" t="s">
        <v>2</v>
      </c>
      <c r="L1440" t="s">
        <v>1307</v>
      </c>
      <c r="M1440" t="s">
        <v>28</v>
      </c>
      <c r="N1440">
        <v>34233</v>
      </c>
      <c r="O1440" t="s">
        <v>1312</v>
      </c>
      <c r="P1440" t="s">
        <v>2156</v>
      </c>
      <c r="Q1440" t="s">
        <v>21</v>
      </c>
      <c r="R1440">
        <v>415290</v>
      </c>
      <c r="S1440" t="s">
        <v>84</v>
      </c>
      <c r="T1440" s="2">
        <v>207</v>
      </c>
      <c r="U1440">
        <v>0</v>
      </c>
      <c r="V1440" t="s">
        <v>260</v>
      </c>
      <c r="W1440">
        <v>0</v>
      </c>
      <c r="X1440">
        <v>0</v>
      </c>
      <c r="Y1440">
        <v>0</v>
      </c>
      <c r="Z1440" t="s">
        <v>88</v>
      </c>
      <c r="AA1440" t="s">
        <v>2275</v>
      </c>
      <c r="AB1440" t="s">
        <v>10</v>
      </c>
      <c r="AC1440">
        <v>0</v>
      </c>
      <c r="AD1440">
        <v>0</v>
      </c>
      <c r="AE1440">
        <v>726182084510</v>
      </c>
      <c r="AF1440">
        <v>399.61</v>
      </c>
      <c r="AG1440">
        <v>0</v>
      </c>
      <c r="AH1440">
        <v>15</v>
      </c>
      <c r="AI1440">
        <v>414.61</v>
      </c>
      <c r="AJ1440" t="s">
        <v>2</v>
      </c>
      <c r="AK1440" t="s">
        <v>11</v>
      </c>
    </row>
    <row r="1441" spans="1:37">
      <c r="A1441">
        <v>257688</v>
      </c>
      <c r="B1441" s="1">
        <v>45366</v>
      </c>
      <c r="C1441" t="s">
        <v>1305</v>
      </c>
      <c r="D1441" t="s">
        <v>1306</v>
      </c>
      <c r="E1441" t="s">
        <v>2</v>
      </c>
      <c r="F1441" t="s">
        <v>1307</v>
      </c>
      <c r="G1441" t="s">
        <v>28</v>
      </c>
      <c r="H1441">
        <v>34233</v>
      </c>
      <c r="I1441" t="s">
        <v>1305</v>
      </c>
      <c r="J1441" t="s">
        <v>1306</v>
      </c>
      <c r="K1441" t="s">
        <v>2</v>
      </c>
      <c r="L1441" t="s">
        <v>1307</v>
      </c>
      <c r="M1441" t="s">
        <v>28</v>
      </c>
      <c r="N1441">
        <v>34233</v>
      </c>
      <c r="O1441" t="s">
        <v>1312</v>
      </c>
      <c r="P1441" t="s">
        <v>2156</v>
      </c>
      <c r="Q1441" t="s">
        <v>21</v>
      </c>
      <c r="R1441">
        <v>415290</v>
      </c>
      <c r="S1441" t="s">
        <v>84</v>
      </c>
      <c r="T1441" s="2">
        <v>207</v>
      </c>
      <c r="U1441">
        <v>0</v>
      </c>
      <c r="V1441" t="s">
        <v>260</v>
      </c>
      <c r="W1441">
        <v>2</v>
      </c>
      <c r="X1441">
        <v>2</v>
      </c>
      <c r="Y1441">
        <v>0</v>
      </c>
      <c r="Z1441" t="s">
        <v>2298</v>
      </c>
      <c r="AA1441" t="s">
        <v>2299</v>
      </c>
      <c r="AB1441" t="s">
        <v>14</v>
      </c>
      <c r="AC1441">
        <v>1.3292999999999999</v>
      </c>
      <c r="AD1441">
        <v>2.66</v>
      </c>
      <c r="AE1441">
        <v>726182084510</v>
      </c>
      <c r="AF1441">
        <v>399.61</v>
      </c>
      <c r="AG1441">
        <v>0</v>
      </c>
      <c r="AH1441">
        <v>15</v>
      </c>
      <c r="AI1441">
        <v>414.61</v>
      </c>
      <c r="AJ1441" t="s">
        <v>2</v>
      </c>
      <c r="AK1441" t="s">
        <v>11</v>
      </c>
    </row>
    <row r="1442" spans="1:37">
      <c r="A1442">
        <v>257688</v>
      </c>
      <c r="B1442" s="1">
        <v>45366</v>
      </c>
      <c r="C1442" t="s">
        <v>1305</v>
      </c>
      <c r="D1442" t="s">
        <v>1306</v>
      </c>
      <c r="E1442" t="s">
        <v>2</v>
      </c>
      <c r="F1442" t="s">
        <v>1307</v>
      </c>
      <c r="G1442" t="s">
        <v>28</v>
      </c>
      <c r="H1442">
        <v>34233</v>
      </c>
      <c r="I1442" t="s">
        <v>1305</v>
      </c>
      <c r="J1442" t="s">
        <v>1306</v>
      </c>
      <c r="K1442" t="s">
        <v>2</v>
      </c>
      <c r="L1442" t="s">
        <v>1307</v>
      </c>
      <c r="M1442" t="s">
        <v>28</v>
      </c>
      <c r="N1442">
        <v>34233</v>
      </c>
      <c r="O1442" t="s">
        <v>1312</v>
      </c>
      <c r="P1442" t="s">
        <v>2156</v>
      </c>
      <c r="Q1442" t="s">
        <v>21</v>
      </c>
      <c r="R1442">
        <v>415290</v>
      </c>
      <c r="S1442" t="s">
        <v>84</v>
      </c>
      <c r="T1442" s="2">
        <v>207</v>
      </c>
      <c r="U1442">
        <v>0</v>
      </c>
      <c r="V1442" t="s">
        <v>260</v>
      </c>
      <c r="W1442">
        <v>0</v>
      </c>
      <c r="X1442">
        <v>0</v>
      </c>
      <c r="Y1442">
        <v>0</v>
      </c>
      <c r="Z1442" t="s">
        <v>88</v>
      </c>
      <c r="AA1442" t="s">
        <v>2275</v>
      </c>
      <c r="AB1442" t="s">
        <v>10</v>
      </c>
      <c r="AC1442">
        <v>0</v>
      </c>
      <c r="AD1442">
        <v>0</v>
      </c>
      <c r="AE1442">
        <v>726182084510</v>
      </c>
      <c r="AF1442">
        <v>399.61</v>
      </c>
      <c r="AG1442">
        <v>0</v>
      </c>
      <c r="AH1442">
        <v>15</v>
      </c>
      <c r="AI1442">
        <v>414.61</v>
      </c>
      <c r="AJ1442" t="s">
        <v>2</v>
      </c>
      <c r="AK1442" t="s">
        <v>11</v>
      </c>
    </row>
    <row r="1443" spans="1:37">
      <c r="A1443">
        <v>257688</v>
      </c>
      <c r="B1443" s="1">
        <v>45366</v>
      </c>
      <c r="C1443" t="s">
        <v>1305</v>
      </c>
      <c r="D1443" t="s">
        <v>1306</v>
      </c>
      <c r="E1443" t="s">
        <v>2</v>
      </c>
      <c r="F1443" t="s">
        <v>1307</v>
      </c>
      <c r="G1443" t="s">
        <v>28</v>
      </c>
      <c r="H1443">
        <v>34233</v>
      </c>
      <c r="I1443" t="s">
        <v>1305</v>
      </c>
      <c r="J1443" t="s">
        <v>1306</v>
      </c>
      <c r="K1443" t="s">
        <v>2</v>
      </c>
      <c r="L1443" t="s">
        <v>1307</v>
      </c>
      <c r="M1443" t="s">
        <v>28</v>
      </c>
      <c r="N1443">
        <v>34233</v>
      </c>
      <c r="O1443" t="s">
        <v>1312</v>
      </c>
      <c r="P1443" t="s">
        <v>2156</v>
      </c>
      <c r="Q1443" t="s">
        <v>21</v>
      </c>
      <c r="R1443">
        <v>415290</v>
      </c>
      <c r="S1443" t="s">
        <v>84</v>
      </c>
      <c r="T1443" s="2">
        <v>207</v>
      </c>
      <c r="U1443">
        <v>0</v>
      </c>
      <c r="V1443" t="s">
        <v>260</v>
      </c>
      <c r="W1443">
        <v>2</v>
      </c>
      <c r="X1443">
        <v>2</v>
      </c>
      <c r="Y1443">
        <v>0</v>
      </c>
      <c r="Z1443" t="s">
        <v>2300</v>
      </c>
      <c r="AA1443" t="s">
        <v>2301</v>
      </c>
      <c r="AB1443" t="s">
        <v>14</v>
      </c>
      <c r="AC1443">
        <v>1.3292999999999999</v>
      </c>
      <c r="AD1443">
        <v>2.66</v>
      </c>
      <c r="AE1443">
        <v>726182084510</v>
      </c>
      <c r="AF1443">
        <v>399.61</v>
      </c>
      <c r="AG1443">
        <v>0</v>
      </c>
      <c r="AH1443">
        <v>15</v>
      </c>
      <c r="AI1443">
        <v>414.61</v>
      </c>
      <c r="AJ1443" t="s">
        <v>2</v>
      </c>
      <c r="AK1443" t="s">
        <v>11</v>
      </c>
    </row>
    <row r="1444" spans="1:37">
      <c r="A1444">
        <v>257688</v>
      </c>
      <c r="B1444" s="1">
        <v>45366</v>
      </c>
      <c r="C1444" t="s">
        <v>1305</v>
      </c>
      <c r="D1444" t="s">
        <v>1306</v>
      </c>
      <c r="E1444" t="s">
        <v>2</v>
      </c>
      <c r="F1444" t="s">
        <v>1307</v>
      </c>
      <c r="G1444" t="s">
        <v>28</v>
      </c>
      <c r="H1444">
        <v>34233</v>
      </c>
      <c r="I1444" t="s">
        <v>1305</v>
      </c>
      <c r="J1444" t="s">
        <v>1306</v>
      </c>
      <c r="K1444" t="s">
        <v>2</v>
      </c>
      <c r="L1444" t="s">
        <v>1307</v>
      </c>
      <c r="M1444" t="s">
        <v>28</v>
      </c>
      <c r="N1444">
        <v>34233</v>
      </c>
      <c r="O1444" t="s">
        <v>1312</v>
      </c>
      <c r="P1444" t="s">
        <v>2156</v>
      </c>
      <c r="Q1444" t="s">
        <v>21</v>
      </c>
      <c r="R1444">
        <v>415290</v>
      </c>
      <c r="S1444" t="s">
        <v>84</v>
      </c>
      <c r="T1444" s="2">
        <v>207</v>
      </c>
      <c r="U1444">
        <v>0</v>
      </c>
      <c r="V1444" t="s">
        <v>260</v>
      </c>
      <c r="W1444">
        <v>0</v>
      </c>
      <c r="X1444">
        <v>0</v>
      </c>
      <c r="Y1444">
        <v>0</v>
      </c>
      <c r="Z1444" t="s">
        <v>88</v>
      </c>
      <c r="AA1444" t="s">
        <v>2275</v>
      </c>
      <c r="AB1444" t="s">
        <v>10</v>
      </c>
      <c r="AC1444">
        <v>0</v>
      </c>
      <c r="AD1444">
        <v>0</v>
      </c>
      <c r="AE1444">
        <v>726182084510</v>
      </c>
      <c r="AF1444">
        <v>399.61</v>
      </c>
      <c r="AG1444">
        <v>0</v>
      </c>
      <c r="AH1444">
        <v>15</v>
      </c>
      <c r="AI1444">
        <v>414.61</v>
      </c>
      <c r="AJ1444" t="s">
        <v>2</v>
      </c>
      <c r="AK1444" t="s">
        <v>11</v>
      </c>
    </row>
    <row r="1445" spans="1:37">
      <c r="A1445">
        <v>257688</v>
      </c>
      <c r="B1445" s="1">
        <v>45366</v>
      </c>
      <c r="C1445" t="s">
        <v>1305</v>
      </c>
      <c r="D1445" t="s">
        <v>1306</v>
      </c>
      <c r="E1445" t="s">
        <v>2</v>
      </c>
      <c r="F1445" t="s">
        <v>1307</v>
      </c>
      <c r="G1445" t="s">
        <v>28</v>
      </c>
      <c r="H1445">
        <v>34233</v>
      </c>
      <c r="I1445" t="s">
        <v>1305</v>
      </c>
      <c r="J1445" t="s">
        <v>1306</v>
      </c>
      <c r="K1445" t="s">
        <v>2</v>
      </c>
      <c r="L1445" t="s">
        <v>1307</v>
      </c>
      <c r="M1445" t="s">
        <v>28</v>
      </c>
      <c r="N1445">
        <v>34233</v>
      </c>
      <c r="O1445" t="s">
        <v>1312</v>
      </c>
      <c r="P1445" t="s">
        <v>2156</v>
      </c>
      <c r="Q1445" t="s">
        <v>21</v>
      </c>
      <c r="R1445">
        <v>415290</v>
      </c>
      <c r="S1445" t="s">
        <v>84</v>
      </c>
      <c r="T1445" s="2">
        <v>207</v>
      </c>
      <c r="U1445">
        <v>0</v>
      </c>
      <c r="V1445" t="s">
        <v>260</v>
      </c>
      <c r="W1445">
        <v>2</v>
      </c>
      <c r="X1445">
        <v>2</v>
      </c>
      <c r="Y1445">
        <v>0</v>
      </c>
      <c r="Z1445" t="s">
        <v>2302</v>
      </c>
      <c r="AA1445" t="s">
        <v>2303</v>
      </c>
      <c r="AB1445" t="s">
        <v>14</v>
      </c>
      <c r="AC1445">
        <v>1.3292999999999999</v>
      </c>
      <c r="AD1445">
        <v>2.66</v>
      </c>
      <c r="AE1445">
        <v>726182084510</v>
      </c>
      <c r="AF1445">
        <v>399.61</v>
      </c>
      <c r="AG1445">
        <v>0</v>
      </c>
      <c r="AH1445">
        <v>15</v>
      </c>
      <c r="AI1445">
        <v>414.61</v>
      </c>
      <c r="AJ1445" t="s">
        <v>2</v>
      </c>
      <c r="AK1445" t="s">
        <v>11</v>
      </c>
    </row>
    <row r="1446" spans="1:37">
      <c r="A1446">
        <v>257688</v>
      </c>
      <c r="B1446" s="1">
        <v>45366</v>
      </c>
      <c r="C1446" t="s">
        <v>1305</v>
      </c>
      <c r="D1446" t="s">
        <v>1306</v>
      </c>
      <c r="E1446" t="s">
        <v>2</v>
      </c>
      <c r="F1446" t="s">
        <v>1307</v>
      </c>
      <c r="G1446" t="s">
        <v>28</v>
      </c>
      <c r="H1446">
        <v>34233</v>
      </c>
      <c r="I1446" t="s">
        <v>1305</v>
      </c>
      <c r="J1446" t="s">
        <v>1306</v>
      </c>
      <c r="K1446" t="s">
        <v>2</v>
      </c>
      <c r="L1446" t="s">
        <v>1307</v>
      </c>
      <c r="M1446" t="s">
        <v>28</v>
      </c>
      <c r="N1446">
        <v>34233</v>
      </c>
      <c r="O1446" t="s">
        <v>1312</v>
      </c>
      <c r="P1446" t="s">
        <v>2156</v>
      </c>
      <c r="Q1446" t="s">
        <v>21</v>
      </c>
      <c r="R1446">
        <v>415290</v>
      </c>
      <c r="S1446" t="s">
        <v>84</v>
      </c>
      <c r="T1446" s="2">
        <v>207</v>
      </c>
      <c r="U1446">
        <v>0</v>
      </c>
      <c r="V1446" t="s">
        <v>260</v>
      </c>
      <c r="W1446">
        <v>0</v>
      </c>
      <c r="X1446">
        <v>0</v>
      </c>
      <c r="Y1446">
        <v>0</v>
      </c>
      <c r="Z1446" t="s">
        <v>88</v>
      </c>
      <c r="AA1446" t="s">
        <v>2275</v>
      </c>
      <c r="AB1446" t="s">
        <v>10</v>
      </c>
      <c r="AC1446">
        <v>0</v>
      </c>
      <c r="AD1446">
        <v>0</v>
      </c>
      <c r="AE1446">
        <v>726182084510</v>
      </c>
      <c r="AF1446">
        <v>399.61</v>
      </c>
      <c r="AG1446">
        <v>0</v>
      </c>
      <c r="AH1446">
        <v>15</v>
      </c>
      <c r="AI1446">
        <v>414.61</v>
      </c>
      <c r="AJ1446" t="s">
        <v>2</v>
      </c>
      <c r="AK1446" t="s">
        <v>11</v>
      </c>
    </row>
    <row r="1447" spans="1:37">
      <c r="A1447">
        <v>257688</v>
      </c>
      <c r="B1447" s="1">
        <v>45366</v>
      </c>
      <c r="C1447" t="s">
        <v>1305</v>
      </c>
      <c r="D1447" t="s">
        <v>1306</v>
      </c>
      <c r="E1447" t="s">
        <v>2</v>
      </c>
      <c r="F1447" t="s">
        <v>1307</v>
      </c>
      <c r="G1447" t="s">
        <v>28</v>
      </c>
      <c r="H1447">
        <v>34233</v>
      </c>
      <c r="I1447" t="s">
        <v>1305</v>
      </c>
      <c r="J1447" t="s">
        <v>1306</v>
      </c>
      <c r="K1447" t="s">
        <v>2</v>
      </c>
      <c r="L1447" t="s">
        <v>1307</v>
      </c>
      <c r="M1447" t="s">
        <v>28</v>
      </c>
      <c r="N1447">
        <v>34233</v>
      </c>
      <c r="O1447" t="s">
        <v>1312</v>
      </c>
      <c r="P1447" t="s">
        <v>2156</v>
      </c>
      <c r="Q1447" t="s">
        <v>21</v>
      </c>
      <c r="R1447">
        <v>415290</v>
      </c>
      <c r="S1447" t="s">
        <v>84</v>
      </c>
      <c r="T1447" s="2">
        <v>207</v>
      </c>
      <c r="U1447">
        <v>0</v>
      </c>
      <c r="V1447" t="s">
        <v>260</v>
      </c>
      <c r="W1447">
        <v>1</v>
      </c>
      <c r="X1447">
        <v>1</v>
      </c>
      <c r="Y1447">
        <v>0</v>
      </c>
      <c r="Z1447" t="s">
        <v>2304</v>
      </c>
      <c r="AA1447" t="s">
        <v>2305</v>
      </c>
      <c r="AB1447" t="s">
        <v>14</v>
      </c>
      <c r="AC1447">
        <v>1.3292999999999999</v>
      </c>
      <c r="AD1447">
        <v>1.33</v>
      </c>
      <c r="AE1447">
        <v>726182084510</v>
      </c>
      <c r="AF1447">
        <v>399.61</v>
      </c>
      <c r="AG1447">
        <v>0</v>
      </c>
      <c r="AH1447">
        <v>15</v>
      </c>
      <c r="AI1447">
        <v>414.61</v>
      </c>
      <c r="AJ1447" t="s">
        <v>2</v>
      </c>
      <c r="AK1447" t="s">
        <v>11</v>
      </c>
    </row>
    <row r="1448" spans="1:37">
      <c r="A1448">
        <v>257688</v>
      </c>
      <c r="B1448" s="1">
        <v>45366</v>
      </c>
      <c r="C1448" t="s">
        <v>1305</v>
      </c>
      <c r="D1448" t="s">
        <v>1306</v>
      </c>
      <c r="E1448" t="s">
        <v>2</v>
      </c>
      <c r="F1448" t="s">
        <v>1307</v>
      </c>
      <c r="G1448" t="s">
        <v>28</v>
      </c>
      <c r="H1448">
        <v>34233</v>
      </c>
      <c r="I1448" t="s">
        <v>1305</v>
      </c>
      <c r="J1448" t="s">
        <v>1306</v>
      </c>
      <c r="K1448" t="s">
        <v>2</v>
      </c>
      <c r="L1448" t="s">
        <v>1307</v>
      </c>
      <c r="M1448" t="s">
        <v>28</v>
      </c>
      <c r="N1448">
        <v>34233</v>
      </c>
      <c r="O1448" t="s">
        <v>1312</v>
      </c>
      <c r="P1448" t="s">
        <v>2156</v>
      </c>
      <c r="Q1448" t="s">
        <v>21</v>
      </c>
      <c r="R1448">
        <v>415290</v>
      </c>
      <c r="S1448" t="s">
        <v>84</v>
      </c>
      <c r="T1448" s="2">
        <v>207</v>
      </c>
      <c r="U1448">
        <v>0</v>
      </c>
      <c r="V1448" t="s">
        <v>260</v>
      </c>
      <c r="W1448">
        <v>0</v>
      </c>
      <c r="X1448">
        <v>0</v>
      </c>
      <c r="Y1448">
        <v>0</v>
      </c>
      <c r="Z1448" t="s">
        <v>88</v>
      </c>
      <c r="AA1448" t="s">
        <v>2275</v>
      </c>
      <c r="AB1448" t="s">
        <v>10</v>
      </c>
      <c r="AC1448">
        <v>0</v>
      </c>
      <c r="AD1448">
        <v>0</v>
      </c>
      <c r="AE1448">
        <v>726182084510</v>
      </c>
      <c r="AF1448">
        <v>399.61</v>
      </c>
      <c r="AG1448">
        <v>0</v>
      </c>
      <c r="AH1448">
        <v>15</v>
      </c>
      <c r="AI1448">
        <v>414.61</v>
      </c>
      <c r="AJ1448" t="s">
        <v>2</v>
      </c>
      <c r="AK1448" t="s">
        <v>11</v>
      </c>
    </row>
    <row r="1449" spans="1:37">
      <c r="A1449">
        <v>257688</v>
      </c>
      <c r="B1449" s="1">
        <v>45366</v>
      </c>
      <c r="C1449" t="s">
        <v>1305</v>
      </c>
      <c r="D1449" t="s">
        <v>1306</v>
      </c>
      <c r="E1449" t="s">
        <v>2</v>
      </c>
      <c r="F1449" t="s">
        <v>1307</v>
      </c>
      <c r="G1449" t="s">
        <v>28</v>
      </c>
      <c r="H1449">
        <v>34233</v>
      </c>
      <c r="I1449" t="s">
        <v>1305</v>
      </c>
      <c r="J1449" t="s">
        <v>1306</v>
      </c>
      <c r="K1449" t="s">
        <v>2</v>
      </c>
      <c r="L1449" t="s">
        <v>1307</v>
      </c>
      <c r="M1449" t="s">
        <v>28</v>
      </c>
      <c r="N1449">
        <v>34233</v>
      </c>
      <c r="O1449" t="s">
        <v>1312</v>
      </c>
      <c r="P1449" t="s">
        <v>2156</v>
      </c>
      <c r="Q1449" t="s">
        <v>21</v>
      </c>
      <c r="R1449">
        <v>415290</v>
      </c>
      <c r="S1449" t="s">
        <v>84</v>
      </c>
      <c r="T1449" s="2">
        <v>207</v>
      </c>
      <c r="U1449">
        <v>0</v>
      </c>
      <c r="V1449" t="s">
        <v>260</v>
      </c>
      <c r="W1449">
        <v>1</v>
      </c>
      <c r="X1449">
        <v>1</v>
      </c>
      <c r="Y1449">
        <v>0</v>
      </c>
      <c r="Z1449" t="s">
        <v>2306</v>
      </c>
      <c r="AA1449" t="s">
        <v>2307</v>
      </c>
      <c r="AB1449" t="s">
        <v>14</v>
      </c>
      <c r="AC1449">
        <v>1.3292999999999999</v>
      </c>
      <c r="AD1449">
        <v>1.33</v>
      </c>
      <c r="AE1449">
        <v>726182084510</v>
      </c>
      <c r="AF1449">
        <v>399.61</v>
      </c>
      <c r="AG1449">
        <v>0</v>
      </c>
      <c r="AH1449">
        <v>15</v>
      </c>
      <c r="AI1449">
        <v>414.61</v>
      </c>
      <c r="AJ1449" t="s">
        <v>2</v>
      </c>
      <c r="AK1449" t="s">
        <v>11</v>
      </c>
    </row>
    <row r="1450" spans="1:37">
      <c r="A1450">
        <v>257688</v>
      </c>
      <c r="B1450" s="1">
        <v>45366</v>
      </c>
      <c r="C1450" t="s">
        <v>1305</v>
      </c>
      <c r="D1450" t="s">
        <v>1306</v>
      </c>
      <c r="E1450" t="s">
        <v>2</v>
      </c>
      <c r="F1450" t="s">
        <v>1307</v>
      </c>
      <c r="G1450" t="s">
        <v>28</v>
      </c>
      <c r="H1450">
        <v>34233</v>
      </c>
      <c r="I1450" t="s">
        <v>1305</v>
      </c>
      <c r="J1450" t="s">
        <v>1306</v>
      </c>
      <c r="K1450" t="s">
        <v>2</v>
      </c>
      <c r="L1450" t="s">
        <v>1307</v>
      </c>
      <c r="M1450" t="s">
        <v>28</v>
      </c>
      <c r="N1450">
        <v>34233</v>
      </c>
      <c r="O1450" t="s">
        <v>1312</v>
      </c>
      <c r="P1450" t="s">
        <v>2156</v>
      </c>
      <c r="Q1450" t="s">
        <v>21</v>
      </c>
      <c r="R1450">
        <v>415290</v>
      </c>
      <c r="S1450" t="s">
        <v>84</v>
      </c>
      <c r="T1450" s="2">
        <v>207</v>
      </c>
      <c r="U1450">
        <v>0</v>
      </c>
      <c r="V1450" t="s">
        <v>260</v>
      </c>
      <c r="W1450">
        <v>0</v>
      </c>
      <c r="X1450">
        <v>0</v>
      </c>
      <c r="Y1450">
        <v>0</v>
      </c>
      <c r="Z1450" t="s">
        <v>88</v>
      </c>
      <c r="AA1450" t="s">
        <v>2275</v>
      </c>
      <c r="AB1450" t="s">
        <v>10</v>
      </c>
      <c r="AC1450">
        <v>0</v>
      </c>
      <c r="AD1450">
        <v>0</v>
      </c>
      <c r="AE1450">
        <v>726182084510</v>
      </c>
      <c r="AF1450">
        <v>399.61</v>
      </c>
      <c r="AG1450">
        <v>0</v>
      </c>
      <c r="AH1450">
        <v>15</v>
      </c>
      <c r="AI1450">
        <v>414.61</v>
      </c>
      <c r="AJ1450" t="s">
        <v>2</v>
      </c>
      <c r="AK1450" t="s">
        <v>11</v>
      </c>
    </row>
    <row r="1451" spans="1:37">
      <c r="A1451">
        <v>257688</v>
      </c>
      <c r="B1451" s="1">
        <v>45366</v>
      </c>
      <c r="C1451" t="s">
        <v>1305</v>
      </c>
      <c r="D1451" t="s">
        <v>1306</v>
      </c>
      <c r="E1451" t="s">
        <v>2</v>
      </c>
      <c r="F1451" t="s">
        <v>1307</v>
      </c>
      <c r="G1451" t="s">
        <v>28</v>
      </c>
      <c r="H1451">
        <v>34233</v>
      </c>
      <c r="I1451" t="s">
        <v>1305</v>
      </c>
      <c r="J1451" t="s">
        <v>1306</v>
      </c>
      <c r="K1451" t="s">
        <v>2</v>
      </c>
      <c r="L1451" t="s">
        <v>1307</v>
      </c>
      <c r="M1451" t="s">
        <v>28</v>
      </c>
      <c r="N1451">
        <v>34233</v>
      </c>
      <c r="O1451" t="s">
        <v>1312</v>
      </c>
      <c r="P1451" t="s">
        <v>2156</v>
      </c>
      <c r="Q1451" t="s">
        <v>21</v>
      </c>
      <c r="R1451">
        <v>415290</v>
      </c>
      <c r="S1451" t="s">
        <v>84</v>
      </c>
      <c r="T1451" s="2">
        <v>207</v>
      </c>
      <c r="U1451">
        <v>0</v>
      </c>
      <c r="V1451" t="s">
        <v>260</v>
      </c>
      <c r="W1451">
        <v>2</v>
      </c>
      <c r="X1451">
        <v>2</v>
      </c>
      <c r="Y1451">
        <v>0</v>
      </c>
      <c r="Z1451" t="s">
        <v>2308</v>
      </c>
      <c r="AA1451" t="s">
        <v>2309</v>
      </c>
      <c r="AB1451" t="s">
        <v>14</v>
      </c>
      <c r="AC1451">
        <v>1.3292999999999999</v>
      </c>
      <c r="AD1451">
        <v>2.66</v>
      </c>
      <c r="AE1451">
        <v>726182084510</v>
      </c>
      <c r="AF1451">
        <v>399.61</v>
      </c>
      <c r="AG1451">
        <v>0</v>
      </c>
      <c r="AH1451">
        <v>15</v>
      </c>
      <c r="AI1451">
        <v>414.61</v>
      </c>
      <c r="AJ1451" t="s">
        <v>2</v>
      </c>
      <c r="AK1451" t="s">
        <v>11</v>
      </c>
    </row>
    <row r="1452" spans="1:37">
      <c r="A1452">
        <v>257688</v>
      </c>
      <c r="B1452" s="1">
        <v>45366</v>
      </c>
      <c r="C1452" t="s">
        <v>1305</v>
      </c>
      <c r="D1452" t="s">
        <v>1306</v>
      </c>
      <c r="E1452" t="s">
        <v>2</v>
      </c>
      <c r="F1452" t="s">
        <v>1307</v>
      </c>
      <c r="G1452" t="s">
        <v>28</v>
      </c>
      <c r="H1452">
        <v>34233</v>
      </c>
      <c r="I1452" t="s">
        <v>1305</v>
      </c>
      <c r="J1452" t="s">
        <v>1306</v>
      </c>
      <c r="K1452" t="s">
        <v>2</v>
      </c>
      <c r="L1452" t="s">
        <v>1307</v>
      </c>
      <c r="M1452" t="s">
        <v>28</v>
      </c>
      <c r="N1452">
        <v>34233</v>
      </c>
      <c r="O1452" t="s">
        <v>1312</v>
      </c>
      <c r="P1452" t="s">
        <v>2156</v>
      </c>
      <c r="Q1452" t="s">
        <v>21</v>
      </c>
      <c r="R1452">
        <v>415290</v>
      </c>
      <c r="S1452" t="s">
        <v>84</v>
      </c>
      <c r="T1452" s="2">
        <v>207</v>
      </c>
      <c r="U1452">
        <v>0</v>
      </c>
      <c r="V1452" t="s">
        <v>260</v>
      </c>
      <c r="W1452">
        <v>0</v>
      </c>
      <c r="X1452">
        <v>0</v>
      </c>
      <c r="Y1452">
        <v>0</v>
      </c>
      <c r="Z1452" t="s">
        <v>88</v>
      </c>
      <c r="AA1452" t="s">
        <v>2275</v>
      </c>
      <c r="AB1452" t="s">
        <v>10</v>
      </c>
      <c r="AC1452">
        <v>0</v>
      </c>
      <c r="AD1452">
        <v>0</v>
      </c>
      <c r="AE1452">
        <v>726182084510</v>
      </c>
      <c r="AF1452">
        <v>399.61</v>
      </c>
      <c r="AG1452">
        <v>0</v>
      </c>
      <c r="AH1452">
        <v>15</v>
      </c>
      <c r="AI1452">
        <v>414.61</v>
      </c>
      <c r="AJ1452" t="s">
        <v>2</v>
      </c>
      <c r="AK1452" t="s">
        <v>11</v>
      </c>
    </row>
    <row r="1453" spans="1:37">
      <c r="A1453">
        <v>257688</v>
      </c>
      <c r="B1453" s="1">
        <v>45366</v>
      </c>
      <c r="C1453" t="s">
        <v>1305</v>
      </c>
      <c r="D1453" t="s">
        <v>1306</v>
      </c>
      <c r="E1453" t="s">
        <v>2</v>
      </c>
      <c r="F1453" t="s">
        <v>1307</v>
      </c>
      <c r="G1453" t="s">
        <v>28</v>
      </c>
      <c r="H1453">
        <v>34233</v>
      </c>
      <c r="I1453" t="s">
        <v>1305</v>
      </c>
      <c r="J1453" t="s">
        <v>1306</v>
      </c>
      <c r="K1453" t="s">
        <v>2</v>
      </c>
      <c r="L1453" t="s">
        <v>1307</v>
      </c>
      <c r="M1453" t="s">
        <v>28</v>
      </c>
      <c r="N1453">
        <v>34233</v>
      </c>
      <c r="O1453" t="s">
        <v>1312</v>
      </c>
      <c r="P1453" t="s">
        <v>2156</v>
      </c>
      <c r="Q1453" t="s">
        <v>21</v>
      </c>
      <c r="R1453">
        <v>415290</v>
      </c>
      <c r="S1453" t="s">
        <v>84</v>
      </c>
      <c r="T1453" s="2">
        <v>207</v>
      </c>
      <c r="U1453">
        <v>0</v>
      </c>
      <c r="V1453" t="s">
        <v>260</v>
      </c>
      <c r="W1453">
        <v>2</v>
      </c>
      <c r="X1453">
        <v>2</v>
      </c>
      <c r="Y1453">
        <v>0</v>
      </c>
      <c r="Z1453" t="s">
        <v>2310</v>
      </c>
      <c r="AA1453" t="s">
        <v>2311</v>
      </c>
      <c r="AB1453" t="s">
        <v>14</v>
      </c>
      <c r="AC1453">
        <v>1.3292999999999999</v>
      </c>
      <c r="AD1453">
        <v>2.66</v>
      </c>
      <c r="AE1453">
        <v>726182084510</v>
      </c>
      <c r="AF1453">
        <v>399.61</v>
      </c>
      <c r="AG1453">
        <v>0</v>
      </c>
      <c r="AH1453">
        <v>15</v>
      </c>
      <c r="AI1453">
        <v>414.61</v>
      </c>
      <c r="AJ1453" t="s">
        <v>2</v>
      </c>
      <c r="AK1453" t="s">
        <v>11</v>
      </c>
    </row>
    <row r="1454" spans="1:37">
      <c r="A1454">
        <v>257688</v>
      </c>
      <c r="B1454" s="1">
        <v>45366</v>
      </c>
      <c r="C1454" t="s">
        <v>1305</v>
      </c>
      <c r="D1454" t="s">
        <v>1306</v>
      </c>
      <c r="E1454" t="s">
        <v>2</v>
      </c>
      <c r="F1454" t="s">
        <v>1307</v>
      </c>
      <c r="G1454" t="s">
        <v>28</v>
      </c>
      <c r="H1454">
        <v>34233</v>
      </c>
      <c r="I1454" t="s">
        <v>1305</v>
      </c>
      <c r="J1454" t="s">
        <v>1306</v>
      </c>
      <c r="K1454" t="s">
        <v>2</v>
      </c>
      <c r="L1454" t="s">
        <v>1307</v>
      </c>
      <c r="M1454" t="s">
        <v>28</v>
      </c>
      <c r="N1454">
        <v>34233</v>
      </c>
      <c r="O1454" t="s">
        <v>1312</v>
      </c>
      <c r="P1454" t="s">
        <v>2156</v>
      </c>
      <c r="Q1454" t="s">
        <v>21</v>
      </c>
      <c r="R1454">
        <v>415290</v>
      </c>
      <c r="S1454" t="s">
        <v>84</v>
      </c>
      <c r="T1454" s="2">
        <v>207</v>
      </c>
      <c r="U1454">
        <v>0</v>
      </c>
      <c r="V1454" t="s">
        <v>260</v>
      </c>
      <c r="W1454">
        <v>0</v>
      </c>
      <c r="X1454">
        <v>0</v>
      </c>
      <c r="Y1454">
        <v>0</v>
      </c>
      <c r="Z1454" t="s">
        <v>88</v>
      </c>
      <c r="AA1454" t="s">
        <v>2275</v>
      </c>
      <c r="AB1454" t="s">
        <v>10</v>
      </c>
      <c r="AC1454">
        <v>0</v>
      </c>
      <c r="AD1454">
        <v>0</v>
      </c>
      <c r="AE1454">
        <v>726182084510</v>
      </c>
      <c r="AF1454">
        <v>399.61</v>
      </c>
      <c r="AG1454">
        <v>0</v>
      </c>
      <c r="AH1454">
        <v>15</v>
      </c>
      <c r="AI1454">
        <v>414.61</v>
      </c>
      <c r="AJ1454" t="s">
        <v>2</v>
      </c>
      <c r="AK1454" t="s">
        <v>11</v>
      </c>
    </row>
    <row r="1455" spans="1:37">
      <c r="A1455">
        <v>257688</v>
      </c>
      <c r="B1455" s="1">
        <v>45366</v>
      </c>
      <c r="C1455" t="s">
        <v>1305</v>
      </c>
      <c r="D1455" t="s">
        <v>1306</v>
      </c>
      <c r="E1455" t="s">
        <v>2</v>
      </c>
      <c r="F1455" t="s">
        <v>1307</v>
      </c>
      <c r="G1455" t="s">
        <v>28</v>
      </c>
      <c r="H1455">
        <v>34233</v>
      </c>
      <c r="I1455" t="s">
        <v>1305</v>
      </c>
      <c r="J1455" t="s">
        <v>1306</v>
      </c>
      <c r="K1455" t="s">
        <v>2</v>
      </c>
      <c r="L1455" t="s">
        <v>1307</v>
      </c>
      <c r="M1455" t="s">
        <v>28</v>
      </c>
      <c r="N1455">
        <v>34233</v>
      </c>
      <c r="O1455" t="s">
        <v>1312</v>
      </c>
      <c r="P1455" t="s">
        <v>2156</v>
      </c>
      <c r="Q1455" t="s">
        <v>21</v>
      </c>
      <c r="R1455">
        <v>415290</v>
      </c>
      <c r="S1455" t="s">
        <v>84</v>
      </c>
      <c r="T1455" s="2">
        <v>207</v>
      </c>
      <c r="U1455">
        <v>0</v>
      </c>
      <c r="V1455" t="s">
        <v>260</v>
      </c>
      <c r="W1455">
        <v>2</v>
      </c>
      <c r="X1455">
        <v>2</v>
      </c>
      <c r="Y1455">
        <v>0</v>
      </c>
      <c r="Z1455" t="s">
        <v>2312</v>
      </c>
      <c r="AA1455" t="s">
        <v>2313</v>
      </c>
      <c r="AB1455" t="s">
        <v>14</v>
      </c>
      <c r="AC1455">
        <v>1.3292999999999999</v>
      </c>
      <c r="AD1455">
        <v>2.66</v>
      </c>
      <c r="AE1455">
        <v>726182084510</v>
      </c>
      <c r="AF1455">
        <v>399.61</v>
      </c>
      <c r="AG1455">
        <v>0</v>
      </c>
      <c r="AH1455">
        <v>15</v>
      </c>
      <c r="AI1455">
        <v>414.61</v>
      </c>
      <c r="AJ1455" t="s">
        <v>2</v>
      </c>
      <c r="AK1455" t="s">
        <v>11</v>
      </c>
    </row>
    <row r="1456" spans="1:37">
      <c r="A1456">
        <v>257688</v>
      </c>
      <c r="B1456" s="1">
        <v>45366</v>
      </c>
      <c r="C1456" t="s">
        <v>1305</v>
      </c>
      <c r="D1456" t="s">
        <v>1306</v>
      </c>
      <c r="E1456" t="s">
        <v>2</v>
      </c>
      <c r="F1456" t="s">
        <v>1307</v>
      </c>
      <c r="G1456" t="s">
        <v>28</v>
      </c>
      <c r="H1456">
        <v>34233</v>
      </c>
      <c r="I1456" t="s">
        <v>1305</v>
      </c>
      <c r="J1456" t="s">
        <v>1306</v>
      </c>
      <c r="K1456" t="s">
        <v>2</v>
      </c>
      <c r="L1456" t="s">
        <v>1307</v>
      </c>
      <c r="M1456" t="s">
        <v>28</v>
      </c>
      <c r="N1456">
        <v>34233</v>
      </c>
      <c r="O1456" t="s">
        <v>1312</v>
      </c>
      <c r="P1456" t="s">
        <v>2156</v>
      </c>
      <c r="Q1456" t="s">
        <v>21</v>
      </c>
      <c r="R1456">
        <v>415290</v>
      </c>
      <c r="S1456" t="s">
        <v>84</v>
      </c>
      <c r="T1456" s="2">
        <v>207</v>
      </c>
      <c r="U1456">
        <v>0</v>
      </c>
      <c r="V1456" t="s">
        <v>260</v>
      </c>
      <c r="W1456">
        <v>0</v>
      </c>
      <c r="X1456">
        <v>0</v>
      </c>
      <c r="Y1456">
        <v>0</v>
      </c>
      <c r="Z1456" t="s">
        <v>88</v>
      </c>
      <c r="AA1456" t="s">
        <v>2275</v>
      </c>
      <c r="AB1456" t="s">
        <v>10</v>
      </c>
      <c r="AC1456">
        <v>0</v>
      </c>
      <c r="AD1456">
        <v>0</v>
      </c>
      <c r="AE1456">
        <v>726182084510</v>
      </c>
      <c r="AF1456">
        <v>399.61</v>
      </c>
      <c r="AG1456">
        <v>0</v>
      </c>
      <c r="AH1456">
        <v>15</v>
      </c>
      <c r="AI1456">
        <v>414.61</v>
      </c>
      <c r="AJ1456" t="s">
        <v>2</v>
      </c>
      <c r="AK1456" t="s">
        <v>11</v>
      </c>
    </row>
    <row r="1457" spans="1:37">
      <c r="A1457">
        <v>257688</v>
      </c>
      <c r="B1457" s="1">
        <v>45366</v>
      </c>
      <c r="C1457" t="s">
        <v>1305</v>
      </c>
      <c r="D1457" t="s">
        <v>1306</v>
      </c>
      <c r="E1457" t="s">
        <v>2</v>
      </c>
      <c r="F1457" t="s">
        <v>1307</v>
      </c>
      <c r="G1457" t="s">
        <v>28</v>
      </c>
      <c r="H1457">
        <v>34233</v>
      </c>
      <c r="I1457" t="s">
        <v>1305</v>
      </c>
      <c r="J1457" t="s">
        <v>1306</v>
      </c>
      <c r="K1457" t="s">
        <v>2</v>
      </c>
      <c r="L1457" t="s">
        <v>1307</v>
      </c>
      <c r="M1457" t="s">
        <v>28</v>
      </c>
      <c r="N1457">
        <v>34233</v>
      </c>
      <c r="O1457" t="s">
        <v>1312</v>
      </c>
      <c r="P1457" t="s">
        <v>2156</v>
      </c>
      <c r="Q1457" t="s">
        <v>21</v>
      </c>
      <c r="R1457">
        <v>415290</v>
      </c>
      <c r="S1457" t="s">
        <v>84</v>
      </c>
      <c r="T1457" s="2">
        <v>207</v>
      </c>
      <c r="U1457">
        <v>0</v>
      </c>
      <c r="V1457" t="s">
        <v>260</v>
      </c>
      <c r="W1457">
        <v>1</v>
      </c>
      <c r="X1457">
        <v>1</v>
      </c>
      <c r="Y1457">
        <v>0</v>
      </c>
      <c r="Z1457" t="s">
        <v>2314</v>
      </c>
      <c r="AA1457" t="s">
        <v>2315</v>
      </c>
      <c r="AB1457" t="s">
        <v>14</v>
      </c>
      <c r="AC1457">
        <v>1.3292999999999999</v>
      </c>
      <c r="AD1457">
        <v>1.33</v>
      </c>
      <c r="AE1457">
        <v>726182084510</v>
      </c>
      <c r="AF1457">
        <v>399.61</v>
      </c>
      <c r="AG1457">
        <v>0</v>
      </c>
      <c r="AH1457">
        <v>15</v>
      </c>
      <c r="AI1457">
        <v>414.61</v>
      </c>
      <c r="AJ1457" t="s">
        <v>2</v>
      </c>
      <c r="AK1457" t="s">
        <v>11</v>
      </c>
    </row>
    <row r="1458" spans="1:37">
      <c r="A1458">
        <v>257688</v>
      </c>
      <c r="B1458" s="1">
        <v>45366</v>
      </c>
      <c r="C1458" t="s">
        <v>1305</v>
      </c>
      <c r="D1458" t="s">
        <v>1306</v>
      </c>
      <c r="E1458" t="s">
        <v>2</v>
      </c>
      <c r="F1458" t="s">
        <v>1307</v>
      </c>
      <c r="G1458" t="s">
        <v>28</v>
      </c>
      <c r="H1458">
        <v>34233</v>
      </c>
      <c r="I1458" t="s">
        <v>1305</v>
      </c>
      <c r="J1458" t="s">
        <v>1306</v>
      </c>
      <c r="K1458" t="s">
        <v>2</v>
      </c>
      <c r="L1458" t="s">
        <v>1307</v>
      </c>
      <c r="M1458" t="s">
        <v>28</v>
      </c>
      <c r="N1458">
        <v>34233</v>
      </c>
      <c r="O1458" t="s">
        <v>1312</v>
      </c>
      <c r="P1458" t="s">
        <v>2156</v>
      </c>
      <c r="Q1458" t="s">
        <v>21</v>
      </c>
      <c r="R1458">
        <v>415290</v>
      </c>
      <c r="S1458" t="s">
        <v>84</v>
      </c>
      <c r="T1458" s="2">
        <v>207</v>
      </c>
      <c r="U1458">
        <v>0</v>
      </c>
      <c r="V1458" t="s">
        <v>260</v>
      </c>
      <c r="W1458">
        <v>0</v>
      </c>
      <c r="X1458">
        <v>0</v>
      </c>
      <c r="Y1458">
        <v>0</v>
      </c>
      <c r="Z1458" t="s">
        <v>88</v>
      </c>
      <c r="AA1458" t="s">
        <v>2275</v>
      </c>
      <c r="AB1458" t="s">
        <v>10</v>
      </c>
      <c r="AC1458">
        <v>0</v>
      </c>
      <c r="AD1458">
        <v>0</v>
      </c>
      <c r="AE1458">
        <v>726182084510</v>
      </c>
      <c r="AF1458">
        <v>399.61</v>
      </c>
      <c r="AG1458">
        <v>0</v>
      </c>
      <c r="AH1458">
        <v>15</v>
      </c>
      <c r="AI1458">
        <v>414.61</v>
      </c>
      <c r="AJ1458" t="s">
        <v>2</v>
      </c>
      <c r="AK1458" t="s">
        <v>11</v>
      </c>
    </row>
    <row r="1459" spans="1:37">
      <c r="A1459">
        <v>257688</v>
      </c>
      <c r="B1459" s="1">
        <v>45366</v>
      </c>
      <c r="C1459" t="s">
        <v>1305</v>
      </c>
      <c r="D1459" t="s">
        <v>1306</v>
      </c>
      <c r="E1459" t="s">
        <v>2</v>
      </c>
      <c r="F1459" t="s">
        <v>1307</v>
      </c>
      <c r="G1459" t="s">
        <v>28</v>
      </c>
      <c r="H1459">
        <v>34233</v>
      </c>
      <c r="I1459" t="s">
        <v>1305</v>
      </c>
      <c r="J1459" t="s">
        <v>1306</v>
      </c>
      <c r="K1459" t="s">
        <v>2</v>
      </c>
      <c r="L1459" t="s">
        <v>1307</v>
      </c>
      <c r="M1459" t="s">
        <v>28</v>
      </c>
      <c r="N1459">
        <v>34233</v>
      </c>
      <c r="O1459" t="s">
        <v>1312</v>
      </c>
      <c r="P1459" t="s">
        <v>2156</v>
      </c>
      <c r="Q1459" t="s">
        <v>21</v>
      </c>
      <c r="R1459">
        <v>415290</v>
      </c>
      <c r="S1459" t="s">
        <v>84</v>
      </c>
      <c r="T1459" s="2">
        <v>207</v>
      </c>
      <c r="U1459">
        <v>0</v>
      </c>
      <c r="V1459" t="s">
        <v>260</v>
      </c>
      <c r="W1459">
        <v>1</v>
      </c>
      <c r="X1459">
        <v>1</v>
      </c>
      <c r="Y1459">
        <v>0</v>
      </c>
      <c r="Z1459" t="s">
        <v>2316</v>
      </c>
      <c r="AA1459" t="s">
        <v>2317</v>
      </c>
      <c r="AB1459" t="s">
        <v>14</v>
      </c>
      <c r="AC1459">
        <v>1.3292999999999999</v>
      </c>
      <c r="AD1459">
        <v>1.33</v>
      </c>
      <c r="AE1459">
        <v>726182084510</v>
      </c>
      <c r="AF1459">
        <v>399.61</v>
      </c>
      <c r="AG1459">
        <v>0</v>
      </c>
      <c r="AH1459">
        <v>15</v>
      </c>
      <c r="AI1459">
        <v>414.61</v>
      </c>
      <c r="AJ1459" t="s">
        <v>2</v>
      </c>
      <c r="AK1459" t="s">
        <v>11</v>
      </c>
    </row>
    <row r="1460" spans="1:37">
      <c r="A1460">
        <v>257688</v>
      </c>
      <c r="B1460" s="1">
        <v>45366</v>
      </c>
      <c r="C1460" t="s">
        <v>1305</v>
      </c>
      <c r="D1460" t="s">
        <v>1306</v>
      </c>
      <c r="E1460" t="s">
        <v>2</v>
      </c>
      <c r="F1460" t="s">
        <v>1307</v>
      </c>
      <c r="G1460" t="s">
        <v>28</v>
      </c>
      <c r="H1460">
        <v>34233</v>
      </c>
      <c r="I1460" t="s">
        <v>1305</v>
      </c>
      <c r="J1460" t="s">
        <v>1306</v>
      </c>
      <c r="K1460" t="s">
        <v>2</v>
      </c>
      <c r="L1460" t="s">
        <v>1307</v>
      </c>
      <c r="M1460" t="s">
        <v>28</v>
      </c>
      <c r="N1460">
        <v>34233</v>
      </c>
      <c r="O1460" t="s">
        <v>1312</v>
      </c>
      <c r="P1460" t="s">
        <v>2156</v>
      </c>
      <c r="Q1460" t="s">
        <v>21</v>
      </c>
      <c r="R1460">
        <v>415290</v>
      </c>
      <c r="S1460" t="s">
        <v>84</v>
      </c>
      <c r="T1460" s="2">
        <v>207</v>
      </c>
      <c r="U1460">
        <v>0</v>
      </c>
      <c r="V1460" t="s">
        <v>260</v>
      </c>
      <c r="W1460">
        <v>0</v>
      </c>
      <c r="X1460">
        <v>0</v>
      </c>
      <c r="Y1460">
        <v>0</v>
      </c>
      <c r="Z1460" t="s">
        <v>88</v>
      </c>
      <c r="AA1460" t="s">
        <v>2275</v>
      </c>
      <c r="AB1460" t="s">
        <v>10</v>
      </c>
      <c r="AC1460">
        <v>0</v>
      </c>
      <c r="AD1460">
        <v>0</v>
      </c>
      <c r="AE1460">
        <v>726182084510</v>
      </c>
      <c r="AF1460">
        <v>399.61</v>
      </c>
      <c r="AG1460">
        <v>0</v>
      </c>
      <c r="AH1460">
        <v>15</v>
      </c>
      <c r="AI1460">
        <v>414.61</v>
      </c>
      <c r="AJ1460" t="s">
        <v>2</v>
      </c>
      <c r="AK1460" t="s">
        <v>11</v>
      </c>
    </row>
    <row r="1461" spans="1:37">
      <c r="A1461">
        <v>257688</v>
      </c>
      <c r="B1461" s="1">
        <v>45366</v>
      </c>
      <c r="C1461" t="s">
        <v>1305</v>
      </c>
      <c r="D1461" t="s">
        <v>1306</v>
      </c>
      <c r="E1461" t="s">
        <v>2</v>
      </c>
      <c r="F1461" t="s">
        <v>1307</v>
      </c>
      <c r="G1461" t="s">
        <v>28</v>
      </c>
      <c r="H1461">
        <v>34233</v>
      </c>
      <c r="I1461" t="s">
        <v>1305</v>
      </c>
      <c r="J1461" t="s">
        <v>1306</v>
      </c>
      <c r="K1461" t="s">
        <v>2</v>
      </c>
      <c r="L1461" t="s">
        <v>1307</v>
      </c>
      <c r="M1461" t="s">
        <v>28</v>
      </c>
      <c r="N1461">
        <v>34233</v>
      </c>
      <c r="O1461" t="s">
        <v>1312</v>
      </c>
      <c r="P1461" t="s">
        <v>2156</v>
      </c>
      <c r="Q1461" t="s">
        <v>21</v>
      </c>
      <c r="R1461">
        <v>415290</v>
      </c>
      <c r="S1461" t="s">
        <v>84</v>
      </c>
      <c r="T1461" s="2">
        <v>207</v>
      </c>
      <c r="U1461">
        <v>0</v>
      </c>
      <c r="V1461" t="s">
        <v>260</v>
      </c>
      <c r="W1461">
        <v>1</v>
      </c>
      <c r="X1461">
        <v>1</v>
      </c>
      <c r="Y1461">
        <v>0</v>
      </c>
      <c r="Z1461" t="s">
        <v>2318</v>
      </c>
      <c r="AA1461" t="s">
        <v>2319</v>
      </c>
      <c r="AB1461" t="s">
        <v>14</v>
      </c>
      <c r="AC1461">
        <v>1.3292999999999999</v>
      </c>
      <c r="AD1461">
        <v>1.33</v>
      </c>
      <c r="AE1461">
        <v>726182084510</v>
      </c>
      <c r="AF1461">
        <v>399.61</v>
      </c>
      <c r="AG1461">
        <v>0</v>
      </c>
      <c r="AH1461">
        <v>15</v>
      </c>
      <c r="AI1461">
        <v>414.61</v>
      </c>
      <c r="AJ1461" t="s">
        <v>2</v>
      </c>
      <c r="AK1461" t="s">
        <v>11</v>
      </c>
    </row>
    <row r="1462" spans="1:37">
      <c r="A1462">
        <v>257688</v>
      </c>
      <c r="B1462" s="1">
        <v>45366</v>
      </c>
      <c r="C1462" t="s">
        <v>1305</v>
      </c>
      <c r="D1462" t="s">
        <v>1306</v>
      </c>
      <c r="E1462" t="s">
        <v>2</v>
      </c>
      <c r="F1462" t="s">
        <v>1307</v>
      </c>
      <c r="G1462" t="s">
        <v>28</v>
      </c>
      <c r="H1462">
        <v>34233</v>
      </c>
      <c r="I1462" t="s">
        <v>1305</v>
      </c>
      <c r="J1462" t="s">
        <v>1306</v>
      </c>
      <c r="K1462" t="s">
        <v>2</v>
      </c>
      <c r="L1462" t="s">
        <v>1307</v>
      </c>
      <c r="M1462" t="s">
        <v>28</v>
      </c>
      <c r="N1462">
        <v>34233</v>
      </c>
      <c r="O1462" t="s">
        <v>1312</v>
      </c>
      <c r="P1462" t="s">
        <v>2156</v>
      </c>
      <c r="Q1462" t="s">
        <v>21</v>
      </c>
      <c r="R1462">
        <v>415290</v>
      </c>
      <c r="S1462" t="s">
        <v>84</v>
      </c>
      <c r="T1462" s="2">
        <v>207</v>
      </c>
      <c r="U1462">
        <v>0</v>
      </c>
      <c r="V1462" t="s">
        <v>260</v>
      </c>
      <c r="W1462">
        <v>0</v>
      </c>
      <c r="X1462">
        <v>0</v>
      </c>
      <c r="Y1462">
        <v>0</v>
      </c>
      <c r="Z1462" t="s">
        <v>88</v>
      </c>
      <c r="AA1462" t="s">
        <v>2275</v>
      </c>
      <c r="AB1462" t="s">
        <v>10</v>
      </c>
      <c r="AC1462">
        <v>0</v>
      </c>
      <c r="AD1462">
        <v>0</v>
      </c>
      <c r="AE1462">
        <v>726182084510</v>
      </c>
      <c r="AF1462">
        <v>399.61</v>
      </c>
      <c r="AG1462">
        <v>0</v>
      </c>
      <c r="AH1462">
        <v>15</v>
      </c>
      <c r="AI1462">
        <v>414.61</v>
      </c>
      <c r="AJ1462" t="s">
        <v>2</v>
      </c>
      <c r="AK1462" t="s">
        <v>11</v>
      </c>
    </row>
    <row r="1463" spans="1:37">
      <c r="A1463">
        <v>257688</v>
      </c>
      <c r="B1463" s="1">
        <v>45366</v>
      </c>
      <c r="C1463" t="s">
        <v>1305</v>
      </c>
      <c r="D1463" t="s">
        <v>1306</v>
      </c>
      <c r="E1463" t="s">
        <v>2</v>
      </c>
      <c r="F1463" t="s">
        <v>1307</v>
      </c>
      <c r="G1463" t="s">
        <v>28</v>
      </c>
      <c r="H1463">
        <v>34233</v>
      </c>
      <c r="I1463" t="s">
        <v>1305</v>
      </c>
      <c r="J1463" t="s">
        <v>1306</v>
      </c>
      <c r="K1463" t="s">
        <v>2</v>
      </c>
      <c r="L1463" t="s">
        <v>1307</v>
      </c>
      <c r="M1463" t="s">
        <v>28</v>
      </c>
      <c r="N1463">
        <v>34233</v>
      </c>
      <c r="O1463" t="s">
        <v>1312</v>
      </c>
      <c r="P1463" t="s">
        <v>2156</v>
      </c>
      <c r="Q1463" t="s">
        <v>21</v>
      </c>
      <c r="R1463">
        <v>415290</v>
      </c>
      <c r="S1463" t="s">
        <v>84</v>
      </c>
      <c r="T1463" s="2">
        <v>207</v>
      </c>
      <c r="U1463">
        <v>0</v>
      </c>
      <c r="V1463" t="s">
        <v>260</v>
      </c>
      <c r="W1463">
        <v>7</v>
      </c>
      <c r="X1463">
        <v>7</v>
      </c>
      <c r="Y1463">
        <v>0</v>
      </c>
      <c r="Z1463" t="s">
        <v>2320</v>
      </c>
      <c r="AA1463" t="s">
        <v>2321</v>
      </c>
      <c r="AB1463" t="s">
        <v>14</v>
      </c>
      <c r="AC1463">
        <v>1.66</v>
      </c>
      <c r="AD1463">
        <v>11.62</v>
      </c>
      <c r="AE1463">
        <v>726182084510</v>
      </c>
      <c r="AF1463">
        <v>399.61</v>
      </c>
      <c r="AG1463">
        <v>0</v>
      </c>
      <c r="AH1463">
        <v>15</v>
      </c>
      <c r="AI1463">
        <v>414.61</v>
      </c>
      <c r="AJ1463" t="s">
        <v>2</v>
      </c>
      <c r="AK1463" t="s">
        <v>11</v>
      </c>
    </row>
    <row r="1464" spans="1:37">
      <c r="A1464">
        <v>257688</v>
      </c>
      <c r="B1464" s="1">
        <v>45366</v>
      </c>
      <c r="C1464" t="s">
        <v>1305</v>
      </c>
      <c r="D1464" t="s">
        <v>1306</v>
      </c>
      <c r="E1464" t="s">
        <v>2</v>
      </c>
      <c r="F1464" t="s">
        <v>1307</v>
      </c>
      <c r="G1464" t="s">
        <v>28</v>
      </c>
      <c r="H1464">
        <v>34233</v>
      </c>
      <c r="I1464" t="s">
        <v>1305</v>
      </c>
      <c r="J1464" t="s">
        <v>1306</v>
      </c>
      <c r="K1464" t="s">
        <v>2</v>
      </c>
      <c r="L1464" t="s">
        <v>1307</v>
      </c>
      <c r="M1464" t="s">
        <v>28</v>
      </c>
      <c r="N1464">
        <v>34233</v>
      </c>
      <c r="O1464" t="s">
        <v>1312</v>
      </c>
      <c r="P1464" t="s">
        <v>2156</v>
      </c>
      <c r="Q1464" t="s">
        <v>21</v>
      </c>
      <c r="R1464">
        <v>415290</v>
      </c>
      <c r="S1464" t="s">
        <v>84</v>
      </c>
      <c r="T1464" s="2">
        <v>207</v>
      </c>
      <c r="U1464">
        <v>0</v>
      </c>
      <c r="V1464" t="s">
        <v>260</v>
      </c>
      <c r="W1464">
        <v>0</v>
      </c>
      <c r="X1464">
        <v>0</v>
      </c>
      <c r="Y1464">
        <v>0</v>
      </c>
      <c r="Z1464" t="s">
        <v>88</v>
      </c>
      <c r="AA1464" t="s">
        <v>2322</v>
      </c>
      <c r="AB1464" t="s">
        <v>10</v>
      </c>
      <c r="AC1464">
        <v>0</v>
      </c>
      <c r="AD1464">
        <v>0</v>
      </c>
      <c r="AE1464">
        <v>726182084510</v>
      </c>
      <c r="AF1464">
        <v>399.61</v>
      </c>
      <c r="AG1464">
        <v>0</v>
      </c>
      <c r="AH1464">
        <v>15</v>
      </c>
      <c r="AI1464">
        <v>414.61</v>
      </c>
      <c r="AJ1464" t="s">
        <v>2</v>
      </c>
      <c r="AK1464" t="s">
        <v>11</v>
      </c>
    </row>
    <row r="1465" spans="1:37">
      <c r="A1465">
        <v>257688</v>
      </c>
      <c r="B1465" s="1">
        <v>45366</v>
      </c>
      <c r="C1465" t="s">
        <v>1305</v>
      </c>
      <c r="D1465" t="s">
        <v>1306</v>
      </c>
      <c r="E1465" t="s">
        <v>2</v>
      </c>
      <c r="F1465" t="s">
        <v>1307</v>
      </c>
      <c r="G1465" t="s">
        <v>28</v>
      </c>
      <c r="H1465">
        <v>34233</v>
      </c>
      <c r="I1465" t="s">
        <v>1305</v>
      </c>
      <c r="J1465" t="s">
        <v>1306</v>
      </c>
      <c r="K1465" t="s">
        <v>2</v>
      </c>
      <c r="L1465" t="s">
        <v>1307</v>
      </c>
      <c r="M1465" t="s">
        <v>28</v>
      </c>
      <c r="N1465">
        <v>34233</v>
      </c>
      <c r="O1465" t="s">
        <v>1312</v>
      </c>
      <c r="P1465" t="s">
        <v>2156</v>
      </c>
      <c r="Q1465" t="s">
        <v>21</v>
      </c>
      <c r="R1465">
        <v>415290</v>
      </c>
      <c r="S1465" t="s">
        <v>84</v>
      </c>
      <c r="T1465" s="2">
        <v>207</v>
      </c>
      <c r="U1465">
        <v>0</v>
      </c>
      <c r="V1465" t="s">
        <v>260</v>
      </c>
      <c r="W1465">
        <v>3</v>
      </c>
      <c r="X1465">
        <v>0</v>
      </c>
      <c r="Y1465">
        <v>3</v>
      </c>
      <c r="Z1465" t="s">
        <v>2323</v>
      </c>
      <c r="AA1465" t="s">
        <v>2324</v>
      </c>
      <c r="AB1465" t="s">
        <v>14</v>
      </c>
      <c r="AC1465">
        <v>1.66</v>
      </c>
      <c r="AD1465">
        <v>0</v>
      </c>
      <c r="AE1465">
        <v>726182084510</v>
      </c>
      <c r="AF1465">
        <v>399.61</v>
      </c>
      <c r="AG1465">
        <v>0</v>
      </c>
      <c r="AH1465">
        <v>15</v>
      </c>
      <c r="AI1465">
        <v>414.61</v>
      </c>
      <c r="AJ1465" t="s">
        <v>2</v>
      </c>
      <c r="AK1465" t="s">
        <v>11</v>
      </c>
    </row>
    <row r="1466" spans="1:37">
      <c r="A1466">
        <v>257688</v>
      </c>
      <c r="B1466" s="1">
        <v>45366</v>
      </c>
      <c r="C1466" t="s">
        <v>1305</v>
      </c>
      <c r="D1466" t="s">
        <v>1306</v>
      </c>
      <c r="E1466" t="s">
        <v>2</v>
      </c>
      <c r="F1466" t="s">
        <v>1307</v>
      </c>
      <c r="G1466" t="s">
        <v>28</v>
      </c>
      <c r="H1466">
        <v>34233</v>
      </c>
      <c r="I1466" t="s">
        <v>1305</v>
      </c>
      <c r="J1466" t="s">
        <v>1306</v>
      </c>
      <c r="K1466" t="s">
        <v>2</v>
      </c>
      <c r="L1466" t="s">
        <v>1307</v>
      </c>
      <c r="M1466" t="s">
        <v>28</v>
      </c>
      <c r="N1466">
        <v>34233</v>
      </c>
      <c r="O1466" t="s">
        <v>1312</v>
      </c>
      <c r="P1466" t="s">
        <v>2156</v>
      </c>
      <c r="Q1466" t="s">
        <v>21</v>
      </c>
      <c r="R1466">
        <v>415290</v>
      </c>
      <c r="S1466" t="s">
        <v>84</v>
      </c>
      <c r="T1466" s="2">
        <v>207</v>
      </c>
      <c r="U1466">
        <v>0</v>
      </c>
      <c r="V1466" t="s">
        <v>260</v>
      </c>
      <c r="W1466">
        <v>0</v>
      </c>
      <c r="X1466">
        <v>0</v>
      </c>
      <c r="Y1466">
        <v>0</v>
      </c>
      <c r="Z1466" t="s">
        <v>88</v>
      </c>
      <c r="AA1466" t="s">
        <v>2322</v>
      </c>
      <c r="AB1466" t="s">
        <v>10</v>
      </c>
      <c r="AC1466">
        <v>0</v>
      </c>
      <c r="AD1466">
        <v>0</v>
      </c>
      <c r="AE1466">
        <v>726182084510</v>
      </c>
      <c r="AF1466">
        <v>399.61</v>
      </c>
      <c r="AG1466">
        <v>0</v>
      </c>
      <c r="AH1466">
        <v>15</v>
      </c>
      <c r="AI1466">
        <v>414.61</v>
      </c>
      <c r="AJ1466" t="s">
        <v>2</v>
      </c>
      <c r="AK1466" t="s">
        <v>11</v>
      </c>
    </row>
    <row r="1467" spans="1:37">
      <c r="A1467">
        <v>257688</v>
      </c>
      <c r="B1467" s="1">
        <v>45366</v>
      </c>
      <c r="C1467" t="s">
        <v>1305</v>
      </c>
      <c r="D1467" t="s">
        <v>1306</v>
      </c>
      <c r="E1467" t="s">
        <v>2</v>
      </c>
      <c r="F1467" t="s">
        <v>1307</v>
      </c>
      <c r="G1467" t="s">
        <v>28</v>
      </c>
      <c r="H1467">
        <v>34233</v>
      </c>
      <c r="I1467" t="s">
        <v>1305</v>
      </c>
      <c r="J1467" t="s">
        <v>1306</v>
      </c>
      <c r="K1467" t="s">
        <v>2</v>
      </c>
      <c r="L1467" t="s">
        <v>1307</v>
      </c>
      <c r="M1467" t="s">
        <v>28</v>
      </c>
      <c r="N1467">
        <v>34233</v>
      </c>
      <c r="O1467" t="s">
        <v>1312</v>
      </c>
      <c r="P1467" t="s">
        <v>2156</v>
      </c>
      <c r="Q1467" t="s">
        <v>21</v>
      </c>
      <c r="R1467">
        <v>415290</v>
      </c>
      <c r="S1467" t="s">
        <v>84</v>
      </c>
      <c r="T1467" s="2">
        <v>207</v>
      </c>
      <c r="U1467">
        <v>0</v>
      </c>
      <c r="V1467" t="s">
        <v>260</v>
      </c>
      <c r="W1467">
        <v>3</v>
      </c>
      <c r="X1467">
        <v>3</v>
      </c>
      <c r="Y1467">
        <v>0</v>
      </c>
      <c r="Z1467" t="s">
        <v>2325</v>
      </c>
      <c r="AA1467" t="s">
        <v>2326</v>
      </c>
      <c r="AB1467" t="s">
        <v>14</v>
      </c>
      <c r="AC1467">
        <v>1.66</v>
      </c>
      <c r="AD1467">
        <v>4.9800000000000004</v>
      </c>
      <c r="AE1467">
        <v>726182084510</v>
      </c>
      <c r="AF1467">
        <v>399.61</v>
      </c>
      <c r="AG1467">
        <v>0</v>
      </c>
      <c r="AH1467">
        <v>15</v>
      </c>
      <c r="AI1467">
        <v>414.61</v>
      </c>
      <c r="AJ1467" t="s">
        <v>2</v>
      </c>
      <c r="AK1467" t="s">
        <v>11</v>
      </c>
    </row>
    <row r="1468" spans="1:37">
      <c r="A1468">
        <v>257688</v>
      </c>
      <c r="B1468" s="1">
        <v>45366</v>
      </c>
      <c r="C1468" t="s">
        <v>1305</v>
      </c>
      <c r="D1468" t="s">
        <v>1306</v>
      </c>
      <c r="E1468" t="s">
        <v>2</v>
      </c>
      <c r="F1468" t="s">
        <v>1307</v>
      </c>
      <c r="G1468" t="s">
        <v>28</v>
      </c>
      <c r="H1468">
        <v>34233</v>
      </c>
      <c r="I1468" t="s">
        <v>1305</v>
      </c>
      <c r="J1468" t="s">
        <v>1306</v>
      </c>
      <c r="K1468" t="s">
        <v>2</v>
      </c>
      <c r="L1468" t="s">
        <v>1307</v>
      </c>
      <c r="M1468" t="s">
        <v>28</v>
      </c>
      <c r="N1468">
        <v>34233</v>
      </c>
      <c r="O1468" t="s">
        <v>1312</v>
      </c>
      <c r="P1468" t="s">
        <v>2156</v>
      </c>
      <c r="Q1468" t="s">
        <v>21</v>
      </c>
      <c r="R1468">
        <v>415290</v>
      </c>
      <c r="S1468" t="s">
        <v>84</v>
      </c>
      <c r="T1468" s="2">
        <v>207</v>
      </c>
      <c r="U1468">
        <v>0</v>
      </c>
      <c r="V1468" t="s">
        <v>260</v>
      </c>
      <c r="W1468">
        <v>0</v>
      </c>
      <c r="X1468">
        <v>0</v>
      </c>
      <c r="Y1468">
        <v>0</v>
      </c>
      <c r="Z1468" t="s">
        <v>88</v>
      </c>
      <c r="AA1468" t="s">
        <v>2322</v>
      </c>
      <c r="AB1468" t="s">
        <v>10</v>
      </c>
      <c r="AC1468">
        <v>0</v>
      </c>
      <c r="AD1468">
        <v>0</v>
      </c>
      <c r="AE1468">
        <v>726182084510</v>
      </c>
      <c r="AF1468">
        <v>399.61</v>
      </c>
      <c r="AG1468">
        <v>0</v>
      </c>
      <c r="AH1468">
        <v>15</v>
      </c>
      <c r="AI1468">
        <v>414.61</v>
      </c>
      <c r="AJ1468" t="s">
        <v>2</v>
      </c>
      <c r="AK1468" t="s">
        <v>11</v>
      </c>
    </row>
    <row r="1469" spans="1:37">
      <c r="A1469">
        <v>257688</v>
      </c>
      <c r="B1469" s="1">
        <v>45366</v>
      </c>
      <c r="C1469" t="s">
        <v>1305</v>
      </c>
      <c r="D1469" t="s">
        <v>1306</v>
      </c>
      <c r="E1469" t="s">
        <v>2</v>
      </c>
      <c r="F1469" t="s">
        <v>1307</v>
      </c>
      <c r="G1469" t="s">
        <v>28</v>
      </c>
      <c r="H1469">
        <v>34233</v>
      </c>
      <c r="I1469" t="s">
        <v>1305</v>
      </c>
      <c r="J1469" t="s">
        <v>1306</v>
      </c>
      <c r="K1469" t="s">
        <v>2</v>
      </c>
      <c r="L1469" t="s">
        <v>1307</v>
      </c>
      <c r="M1469" t="s">
        <v>28</v>
      </c>
      <c r="N1469">
        <v>34233</v>
      </c>
      <c r="O1469" t="s">
        <v>1312</v>
      </c>
      <c r="P1469" t="s">
        <v>2156</v>
      </c>
      <c r="Q1469" t="s">
        <v>21</v>
      </c>
      <c r="R1469">
        <v>415290</v>
      </c>
      <c r="S1469" t="s">
        <v>84</v>
      </c>
      <c r="T1469" s="2">
        <v>207</v>
      </c>
      <c r="U1469">
        <v>0</v>
      </c>
      <c r="V1469" t="s">
        <v>260</v>
      </c>
      <c r="W1469">
        <v>3</v>
      </c>
      <c r="X1469">
        <v>3</v>
      </c>
      <c r="Y1469">
        <v>0</v>
      </c>
      <c r="Z1469" t="s">
        <v>2327</v>
      </c>
      <c r="AA1469" t="s">
        <v>2328</v>
      </c>
      <c r="AB1469" t="s">
        <v>14</v>
      </c>
      <c r="AC1469">
        <v>1.66</v>
      </c>
      <c r="AD1469">
        <v>4.9800000000000004</v>
      </c>
      <c r="AE1469">
        <v>726182084510</v>
      </c>
      <c r="AF1469">
        <v>399.61</v>
      </c>
      <c r="AG1469">
        <v>0</v>
      </c>
      <c r="AH1469">
        <v>15</v>
      </c>
      <c r="AI1469">
        <v>414.61</v>
      </c>
      <c r="AJ1469" t="s">
        <v>2</v>
      </c>
      <c r="AK1469" t="s">
        <v>11</v>
      </c>
    </row>
    <row r="1470" spans="1:37">
      <c r="A1470">
        <v>257688</v>
      </c>
      <c r="B1470" s="1">
        <v>45366</v>
      </c>
      <c r="C1470" t="s">
        <v>1305</v>
      </c>
      <c r="D1470" t="s">
        <v>1306</v>
      </c>
      <c r="E1470" t="s">
        <v>2</v>
      </c>
      <c r="F1470" t="s">
        <v>1307</v>
      </c>
      <c r="G1470" t="s">
        <v>28</v>
      </c>
      <c r="H1470">
        <v>34233</v>
      </c>
      <c r="I1470" t="s">
        <v>1305</v>
      </c>
      <c r="J1470" t="s">
        <v>1306</v>
      </c>
      <c r="K1470" t="s">
        <v>2</v>
      </c>
      <c r="L1470" t="s">
        <v>1307</v>
      </c>
      <c r="M1470" t="s">
        <v>28</v>
      </c>
      <c r="N1470">
        <v>34233</v>
      </c>
      <c r="O1470" t="s">
        <v>1312</v>
      </c>
      <c r="P1470" t="s">
        <v>2156</v>
      </c>
      <c r="Q1470" t="s">
        <v>21</v>
      </c>
      <c r="R1470">
        <v>415290</v>
      </c>
      <c r="S1470" t="s">
        <v>84</v>
      </c>
      <c r="T1470" s="2">
        <v>207</v>
      </c>
      <c r="U1470">
        <v>0</v>
      </c>
      <c r="V1470" t="s">
        <v>260</v>
      </c>
      <c r="W1470">
        <v>0</v>
      </c>
      <c r="X1470">
        <v>0</v>
      </c>
      <c r="Y1470">
        <v>0</v>
      </c>
      <c r="Z1470" t="s">
        <v>88</v>
      </c>
      <c r="AA1470" t="s">
        <v>2322</v>
      </c>
      <c r="AB1470" t="s">
        <v>10</v>
      </c>
      <c r="AC1470">
        <v>0</v>
      </c>
      <c r="AD1470">
        <v>0</v>
      </c>
      <c r="AE1470">
        <v>726182084510</v>
      </c>
      <c r="AF1470">
        <v>399.61</v>
      </c>
      <c r="AG1470">
        <v>0</v>
      </c>
      <c r="AH1470">
        <v>15</v>
      </c>
      <c r="AI1470">
        <v>414.61</v>
      </c>
      <c r="AJ1470" t="s">
        <v>2</v>
      </c>
      <c r="AK1470" t="s">
        <v>11</v>
      </c>
    </row>
    <row r="1471" spans="1:37">
      <c r="A1471">
        <v>257688</v>
      </c>
      <c r="B1471" s="1">
        <v>45366</v>
      </c>
      <c r="C1471" t="s">
        <v>1305</v>
      </c>
      <c r="D1471" t="s">
        <v>1306</v>
      </c>
      <c r="E1471" t="s">
        <v>2</v>
      </c>
      <c r="F1471" t="s">
        <v>1307</v>
      </c>
      <c r="G1471" t="s">
        <v>28</v>
      </c>
      <c r="H1471">
        <v>34233</v>
      </c>
      <c r="I1471" t="s">
        <v>1305</v>
      </c>
      <c r="J1471" t="s">
        <v>1306</v>
      </c>
      <c r="K1471" t="s">
        <v>2</v>
      </c>
      <c r="L1471" t="s">
        <v>1307</v>
      </c>
      <c r="M1471" t="s">
        <v>28</v>
      </c>
      <c r="N1471">
        <v>34233</v>
      </c>
      <c r="O1471" t="s">
        <v>1312</v>
      </c>
      <c r="P1471" t="s">
        <v>2156</v>
      </c>
      <c r="Q1471" t="s">
        <v>21</v>
      </c>
      <c r="R1471">
        <v>415290</v>
      </c>
      <c r="S1471" t="s">
        <v>84</v>
      </c>
      <c r="T1471" s="2">
        <v>207</v>
      </c>
      <c r="U1471">
        <v>0</v>
      </c>
      <c r="V1471" t="s">
        <v>260</v>
      </c>
      <c r="W1471">
        <v>3</v>
      </c>
      <c r="X1471">
        <v>3</v>
      </c>
      <c r="Y1471">
        <v>0</v>
      </c>
      <c r="Z1471" t="s">
        <v>2329</v>
      </c>
      <c r="AA1471" t="s">
        <v>2330</v>
      </c>
      <c r="AB1471" t="s">
        <v>14</v>
      </c>
      <c r="AC1471">
        <v>2.14</v>
      </c>
      <c r="AD1471">
        <v>6.42</v>
      </c>
      <c r="AE1471">
        <v>726182084510</v>
      </c>
      <c r="AF1471">
        <v>399.61</v>
      </c>
      <c r="AG1471">
        <v>0</v>
      </c>
      <c r="AH1471">
        <v>15</v>
      </c>
      <c r="AI1471">
        <v>414.61</v>
      </c>
      <c r="AJ1471" t="s">
        <v>2</v>
      </c>
      <c r="AK1471" t="s">
        <v>11</v>
      </c>
    </row>
    <row r="1472" spans="1:37">
      <c r="A1472">
        <v>257688</v>
      </c>
      <c r="B1472" s="1">
        <v>45366</v>
      </c>
      <c r="C1472" t="s">
        <v>1305</v>
      </c>
      <c r="D1472" t="s">
        <v>1306</v>
      </c>
      <c r="E1472" t="s">
        <v>2</v>
      </c>
      <c r="F1472" t="s">
        <v>1307</v>
      </c>
      <c r="G1472" t="s">
        <v>28</v>
      </c>
      <c r="H1472">
        <v>34233</v>
      </c>
      <c r="I1472" t="s">
        <v>1305</v>
      </c>
      <c r="J1472" t="s">
        <v>1306</v>
      </c>
      <c r="K1472" t="s">
        <v>2</v>
      </c>
      <c r="L1472" t="s">
        <v>1307</v>
      </c>
      <c r="M1472" t="s">
        <v>28</v>
      </c>
      <c r="N1472">
        <v>34233</v>
      </c>
      <c r="O1472" t="s">
        <v>1312</v>
      </c>
      <c r="P1472" t="s">
        <v>2156</v>
      </c>
      <c r="Q1472" t="s">
        <v>21</v>
      </c>
      <c r="R1472">
        <v>415290</v>
      </c>
      <c r="S1472" t="s">
        <v>84</v>
      </c>
      <c r="T1472" s="2">
        <v>207</v>
      </c>
      <c r="U1472">
        <v>0</v>
      </c>
      <c r="V1472" t="s">
        <v>260</v>
      </c>
      <c r="W1472">
        <v>0</v>
      </c>
      <c r="X1472">
        <v>0</v>
      </c>
      <c r="Y1472">
        <v>0</v>
      </c>
      <c r="Z1472" t="s">
        <v>88</v>
      </c>
      <c r="AA1472" t="s">
        <v>1740</v>
      </c>
      <c r="AB1472" t="s">
        <v>10</v>
      </c>
      <c r="AC1472">
        <v>0</v>
      </c>
      <c r="AD1472">
        <v>0</v>
      </c>
      <c r="AE1472">
        <v>726182084510</v>
      </c>
      <c r="AF1472">
        <v>399.61</v>
      </c>
      <c r="AG1472">
        <v>0</v>
      </c>
      <c r="AH1472">
        <v>15</v>
      </c>
      <c r="AI1472">
        <v>414.61</v>
      </c>
      <c r="AJ1472" t="s">
        <v>2</v>
      </c>
      <c r="AK1472" t="s">
        <v>11</v>
      </c>
    </row>
    <row r="1473" spans="1:37">
      <c r="A1473">
        <v>257688</v>
      </c>
      <c r="B1473" s="1">
        <v>45366</v>
      </c>
      <c r="C1473" t="s">
        <v>1305</v>
      </c>
      <c r="D1473" t="s">
        <v>1306</v>
      </c>
      <c r="E1473" t="s">
        <v>2</v>
      </c>
      <c r="F1473" t="s">
        <v>1307</v>
      </c>
      <c r="G1473" t="s">
        <v>28</v>
      </c>
      <c r="H1473">
        <v>34233</v>
      </c>
      <c r="I1473" t="s">
        <v>1305</v>
      </c>
      <c r="J1473" t="s">
        <v>1306</v>
      </c>
      <c r="K1473" t="s">
        <v>2</v>
      </c>
      <c r="L1473" t="s">
        <v>1307</v>
      </c>
      <c r="M1473" t="s">
        <v>28</v>
      </c>
      <c r="N1473">
        <v>34233</v>
      </c>
      <c r="O1473" t="s">
        <v>1312</v>
      </c>
      <c r="P1473" t="s">
        <v>2156</v>
      </c>
      <c r="Q1473" t="s">
        <v>21</v>
      </c>
      <c r="R1473">
        <v>415290</v>
      </c>
      <c r="S1473" t="s">
        <v>84</v>
      </c>
      <c r="T1473" s="2">
        <v>207</v>
      </c>
      <c r="U1473">
        <v>0</v>
      </c>
      <c r="V1473" t="s">
        <v>260</v>
      </c>
      <c r="W1473">
        <v>3</v>
      </c>
      <c r="X1473">
        <v>3</v>
      </c>
      <c r="Y1473">
        <v>0</v>
      </c>
      <c r="Z1473" t="s">
        <v>2331</v>
      </c>
      <c r="AA1473" t="s">
        <v>2332</v>
      </c>
      <c r="AB1473" t="s">
        <v>14</v>
      </c>
      <c r="AC1473">
        <v>2.14</v>
      </c>
      <c r="AD1473">
        <v>6.42</v>
      </c>
      <c r="AE1473">
        <v>726182084510</v>
      </c>
      <c r="AF1473">
        <v>399.61</v>
      </c>
      <c r="AG1473">
        <v>0</v>
      </c>
      <c r="AH1473">
        <v>15</v>
      </c>
      <c r="AI1473">
        <v>414.61</v>
      </c>
      <c r="AJ1473" t="s">
        <v>2</v>
      </c>
      <c r="AK1473" t="s">
        <v>11</v>
      </c>
    </row>
    <row r="1474" spans="1:37">
      <c r="A1474">
        <v>257688</v>
      </c>
      <c r="B1474" s="1">
        <v>45366</v>
      </c>
      <c r="C1474" t="s">
        <v>1305</v>
      </c>
      <c r="D1474" t="s">
        <v>1306</v>
      </c>
      <c r="E1474" t="s">
        <v>2</v>
      </c>
      <c r="F1474" t="s">
        <v>1307</v>
      </c>
      <c r="G1474" t="s">
        <v>28</v>
      </c>
      <c r="H1474">
        <v>34233</v>
      </c>
      <c r="I1474" t="s">
        <v>1305</v>
      </c>
      <c r="J1474" t="s">
        <v>1306</v>
      </c>
      <c r="K1474" t="s">
        <v>2</v>
      </c>
      <c r="L1474" t="s">
        <v>1307</v>
      </c>
      <c r="M1474" t="s">
        <v>28</v>
      </c>
      <c r="N1474">
        <v>34233</v>
      </c>
      <c r="O1474" t="s">
        <v>1312</v>
      </c>
      <c r="P1474" t="s">
        <v>2156</v>
      </c>
      <c r="Q1474" t="s">
        <v>21</v>
      </c>
      <c r="R1474">
        <v>415290</v>
      </c>
      <c r="S1474" t="s">
        <v>84</v>
      </c>
      <c r="T1474" s="2">
        <v>207</v>
      </c>
      <c r="U1474">
        <v>0</v>
      </c>
      <c r="V1474" t="s">
        <v>260</v>
      </c>
      <c r="W1474">
        <v>0</v>
      </c>
      <c r="X1474">
        <v>0</v>
      </c>
      <c r="Y1474">
        <v>0</v>
      </c>
      <c r="Z1474" t="s">
        <v>88</v>
      </c>
      <c r="AA1474" t="s">
        <v>1740</v>
      </c>
      <c r="AB1474" t="s">
        <v>10</v>
      </c>
      <c r="AC1474">
        <v>0</v>
      </c>
      <c r="AD1474">
        <v>0</v>
      </c>
      <c r="AE1474">
        <v>726182084510</v>
      </c>
      <c r="AF1474">
        <v>399.61</v>
      </c>
      <c r="AG1474">
        <v>0</v>
      </c>
      <c r="AH1474">
        <v>15</v>
      </c>
      <c r="AI1474">
        <v>414.61</v>
      </c>
      <c r="AJ1474" t="s">
        <v>2</v>
      </c>
      <c r="AK1474" t="s">
        <v>11</v>
      </c>
    </row>
    <row r="1475" spans="1:37">
      <c r="A1475">
        <v>257688</v>
      </c>
      <c r="B1475" s="1">
        <v>45366</v>
      </c>
      <c r="C1475" t="s">
        <v>1305</v>
      </c>
      <c r="D1475" t="s">
        <v>1306</v>
      </c>
      <c r="E1475" t="s">
        <v>2</v>
      </c>
      <c r="F1475" t="s">
        <v>1307</v>
      </c>
      <c r="G1475" t="s">
        <v>28</v>
      </c>
      <c r="H1475">
        <v>34233</v>
      </c>
      <c r="I1475" t="s">
        <v>1305</v>
      </c>
      <c r="J1475" t="s">
        <v>1306</v>
      </c>
      <c r="K1475" t="s">
        <v>2</v>
      </c>
      <c r="L1475" t="s">
        <v>1307</v>
      </c>
      <c r="M1475" t="s">
        <v>28</v>
      </c>
      <c r="N1475">
        <v>34233</v>
      </c>
      <c r="O1475" t="s">
        <v>1312</v>
      </c>
      <c r="P1475" t="s">
        <v>2156</v>
      </c>
      <c r="Q1475" t="s">
        <v>21</v>
      </c>
      <c r="R1475">
        <v>415290</v>
      </c>
      <c r="S1475" t="s">
        <v>84</v>
      </c>
      <c r="T1475" s="2">
        <v>207</v>
      </c>
      <c r="U1475">
        <v>0</v>
      </c>
      <c r="V1475" t="s">
        <v>260</v>
      </c>
      <c r="W1475">
        <v>3</v>
      </c>
      <c r="X1475">
        <v>3</v>
      </c>
      <c r="Y1475">
        <v>0</v>
      </c>
      <c r="Z1475" t="s">
        <v>2333</v>
      </c>
      <c r="AA1475" t="s">
        <v>2334</v>
      </c>
      <c r="AB1475" t="s">
        <v>14</v>
      </c>
      <c r="AC1475">
        <v>2.14</v>
      </c>
      <c r="AD1475">
        <v>6.42</v>
      </c>
      <c r="AE1475">
        <v>726182084510</v>
      </c>
      <c r="AF1475">
        <v>399.61</v>
      </c>
      <c r="AG1475">
        <v>0</v>
      </c>
      <c r="AH1475">
        <v>15</v>
      </c>
      <c r="AI1475">
        <v>414.61</v>
      </c>
      <c r="AJ1475" t="s">
        <v>2</v>
      </c>
      <c r="AK1475" t="s">
        <v>11</v>
      </c>
    </row>
    <row r="1476" spans="1:37">
      <c r="A1476">
        <v>257688</v>
      </c>
      <c r="B1476" s="1">
        <v>45366</v>
      </c>
      <c r="C1476" t="s">
        <v>1305</v>
      </c>
      <c r="D1476" t="s">
        <v>1306</v>
      </c>
      <c r="E1476" t="s">
        <v>2</v>
      </c>
      <c r="F1476" t="s">
        <v>1307</v>
      </c>
      <c r="G1476" t="s">
        <v>28</v>
      </c>
      <c r="H1476">
        <v>34233</v>
      </c>
      <c r="I1476" t="s">
        <v>1305</v>
      </c>
      <c r="J1476" t="s">
        <v>1306</v>
      </c>
      <c r="K1476" t="s">
        <v>2</v>
      </c>
      <c r="L1476" t="s">
        <v>1307</v>
      </c>
      <c r="M1476" t="s">
        <v>28</v>
      </c>
      <c r="N1476">
        <v>34233</v>
      </c>
      <c r="O1476" t="s">
        <v>1312</v>
      </c>
      <c r="P1476" t="s">
        <v>2156</v>
      </c>
      <c r="Q1476" t="s">
        <v>21</v>
      </c>
      <c r="R1476">
        <v>415290</v>
      </c>
      <c r="S1476" t="s">
        <v>84</v>
      </c>
      <c r="T1476" s="2">
        <v>207</v>
      </c>
      <c r="U1476">
        <v>0</v>
      </c>
      <c r="V1476" t="s">
        <v>260</v>
      </c>
      <c r="W1476">
        <v>0</v>
      </c>
      <c r="X1476">
        <v>0</v>
      </c>
      <c r="Y1476">
        <v>0</v>
      </c>
      <c r="Z1476" t="s">
        <v>88</v>
      </c>
      <c r="AA1476" t="s">
        <v>1740</v>
      </c>
      <c r="AB1476" t="s">
        <v>10</v>
      </c>
      <c r="AC1476">
        <v>0</v>
      </c>
      <c r="AD1476">
        <v>0</v>
      </c>
      <c r="AE1476">
        <v>726182084510</v>
      </c>
      <c r="AF1476">
        <v>399.61</v>
      </c>
      <c r="AG1476">
        <v>0</v>
      </c>
      <c r="AH1476">
        <v>15</v>
      </c>
      <c r="AI1476">
        <v>414.61</v>
      </c>
      <c r="AJ1476" t="s">
        <v>2</v>
      </c>
      <c r="AK1476" t="s">
        <v>11</v>
      </c>
    </row>
    <row r="1477" spans="1:37">
      <c r="A1477">
        <v>257688</v>
      </c>
      <c r="B1477" s="1">
        <v>45366</v>
      </c>
      <c r="C1477" t="s">
        <v>1305</v>
      </c>
      <c r="D1477" t="s">
        <v>1306</v>
      </c>
      <c r="E1477" t="s">
        <v>2</v>
      </c>
      <c r="F1477" t="s">
        <v>1307</v>
      </c>
      <c r="G1477" t="s">
        <v>28</v>
      </c>
      <c r="H1477">
        <v>34233</v>
      </c>
      <c r="I1477" t="s">
        <v>1305</v>
      </c>
      <c r="J1477" t="s">
        <v>1306</v>
      </c>
      <c r="K1477" t="s">
        <v>2</v>
      </c>
      <c r="L1477" t="s">
        <v>1307</v>
      </c>
      <c r="M1477" t="s">
        <v>28</v>
      </c>
      <c r="N1477">
        <v>34233</v>
      </c>
      <c r="O1477" t="s">
        <v>1312</v>
      </c>
      <c r="P1477" t="s">
        <v>2156</v>
      </c>
      <c r="Q1477" t="s">
        <v>21</v>
      </c>
      <c r="R1477">
        <v>415290</v>
      </c>
      <c r="S1477" t="s">
        <v>84</v>
      </c>
      <c r="T1477" s="2">
        <v>207</v>
      </c>
      <c r="U1477">
        <v>0</v>
      </c>
      <c r="V1477" t="s">
        <v>260</v>
      </c>
      <c r="W1477">
        <v>3</v>
      </c>
      <c r="X1477">
        <v>3</v>
      </c>
      <c r="Y1477">
        <v>0</v>
      </c>
      <c r="Z1477" t="s">
        <v>2335</v>
      </c>
      <c r="AA1477" t="s">
        <v>2336</v>
      </c>
      <c r="AB1477" t="s">
        <v>14</v>
      </c>
      <c r="AC1477">
        <v>2.14</v>
      </c>
      <c r="AD1477">
        <v>6.42</v>
      </c>
      <c r="AE1477">
        <v>726182084510</v>
      </c>
      <c r="AF1477">
        <v>399.61</v>
      </c>
      <c r="AG1477">
        <v>0</v>
      </c>
      <c r="AH1477">
        <v>15</v>
      </c>
      <c r="AI1477">
        <v>414.61</v>
      </c>
      <c r="AJ1477" t="s">
        <v>2</v>
      </c>
      <c r="AK1477" t="s">
        <v>11</v>
      </c>
    </row>
    <row r="1478" spans="1:37">
      <c r="A1478">
        <v>257688</v>
      </c>
      <c r="B1478" s="1">
        <v>45366</v>
      </c>
      <c r="C1478" t="s">
        <v>1305</v>
      </c>
      <c r="D1478" t="s">
        <v>1306</v>
      </c>
      <c r="E1478" t="s">
        <v>2</v>
      </c>
      <c r="F1478" t="s">
        <v>1307</v>
      </c>
      <c r="G1478" t="s">
        <v>28</v>
      </c>
      <c r="H1478">
        <v>34233</v>
      </c>
      <c r="I1478" t="s">
        <v>1305</v>
      </c>
      <c r="J1478" t="s">
        <v>1306</v>
      </c>
      <c r="K1478" t="s">
        <v>2</v>
      </c>
      <c r="L1478" t="s">
        <v>1307</v>
      </c>
      <c r="M1478" t="s">
        <v>28</v>
      </c>
      <c r="N1478">
        <v>34233</v>
      </c>
      <c r="O1478" t="s">
        <v>1312</v>
      </c>
      <c r="P1478" t="s">
        <v>2156</v>
      </c>
      <c r="Q1478" t="s">
        <v>21</v>
      </c>
      <c r="R1478">
        <v>415290</v>
      </c>
      <c r="S1478" t="s">
        <v>84</v>
      </c>
      <c r="T1478" s="2">
        <v>207</v>
      </c>
      <c r="U1478">
        <v>0</v>
      </c>
      <c r="V1478" t="s">
        <v>260</v>
      </c>
      <c r="W1478">
        <v>0</v>
      </c>
      <c r="X1478">
        <v>0</v>
      </c>
      <c r="Y1478">
        <v>0</v>
      </c>
      <c r="Z1478" t="s">
        <v>88</v>
      </c>
      <c r="AA1478" t="s">
        <v>1740</v>
      </c>
      <c r="AB1478" t="s">
        <v>10</v>
      </c>
      <c r="AC1478">
        <v>0</v>
      </c>
      <c r="AD1478">
        <v>0</v>
      </c>
      <c r="AE1478">
        <v>726182084510</v>
      </c>
      <c r="AF1478">
        <v>399.61</v>
      </c>
      <c r="AG1478">
        <v>0</v>
      </c>
      <c r="AH1478">
        <v>15</v>
      </c>
      <c r="AI1478">
        <v>414.61</v>
      </c>
      <c r="AJ1478" t="s">
        <v>2</v>
      </c>
      <c r="AK1478" t="s">
        <v>11</v>
      </c>
    </row>
    <row r="1479" spans="1:37">
      <c r="A1479">
        <v>257688</v>
      </c>
      <c r="B1479" s="1">
        <v>45366</v>
      </c>
      <c r="C1479" t="s">
        <v>1305</v>
      </c>
      <c r="D1479" t="s">
        <v>1306</v>
      </c>
      <c r="E1479" t="s">
        <v>2</v>
      </c>
      <c r="F1479" t="s">
        <v>1307</v>
      </c>
      <c r="G1479" t="s">
        <v>28</v>
      </c>
      <c r="H1479">
        <v>34233</v>
      </c>
      <c r="I1479" t="s">
        <v>1305</v>
      </c>
      <c r="J1479" t="s">
        <v>1306</v>
      </c>
      <c r="K1479" t="s">
        <v>2</v>
      </c>
      <c r="L1479" t="s">
        <v>1307</v>
      </c>
      <c r="M1479" t="s">
        <v>28</v>
      </c>
      <c r="N1479">
        <v>34233</v>
      </c>
      <c r="O1479" t="s">
        <v>1312</v>
      </c>
      <c r="P1479" t="s">
        <v>2156</v>
      </c>
      <c r="Q1479" t="s">
        <v>21</v>
      </c>
      <c r="R1479">
        <v>415290</v>
      </c>
      <c r="S1479" t="s">
        <v>84</v>
      </c>
      <c r="T1479" s="2">
        <v>207</v>
      </c>
      <c r="U1479">
        <v>0</v>
      </c>
      <c r="V1479" t="s">
        <v>260</v>
      </c>
      <c r="W1479">
        <v>3</v>
      </c>
      <c r="X1479">
        <v>3</v>
      </c>
      <c r="Y1479">
        <v>0</v>
      </c>
      <c r="Z1479" t="s">
        <v>2337</v>
      </c>
      <c r="AA1479" t="s">
        <v>2338</v>
      </c>
      <c r="AB1479" t="s">
        <v>14</v>
      </c>
      <c r="AC1479">
        <v>2.14</v>
      </c>
      <c r="AD1479">
        <v>6.42</v>
      </c>
      <c r="AE1479">
        <v>726182084510</v>
      </c>
      <c r="AF1479">
        <v>399.61</v>
      </c>
      <c r="AG1479">
        <v>0</v>
      </c>
      <c r="AH1479">
        <v>15</v>
      </c>
      <c r="AI1479">
        <v>414.61</v>
      </c>
      <c r="AJ1479" t="s">
        <v>2</v>
      </c>
      <c r="AK1479" t="s">
        <v>11</v>
      </c>
    </row>
    <row r="1480" spans="1:37">
      <c r="A1480">
        <v>257688</v>
      </c>
      <c r="B1480" s="1">
        <v>45366</v>
      </c>
      <c r="C1480" t="s">
        <v>1305</v>
      </c>
      <c r="D1480" t="s">
        <v>1306</v>
      </c>
      <c r="E1480" t="s">
        <v>2</v>
      </c>
      <c r="F1480" t="s">
        <v>1307</v>
      </c>
      <c r="G1480" t="s">
        <v>28</v>
      </c>
      <c r="H1480">
        <v>34233</v>
      </c>
      <c r="I1480" t="s">
        <v>1305</v>
      </c>
      <c r="J1480" t="s">
        <v>1306</v>
      </c>
      <c r="K1480" t="s">
        <v>2</v>
      </c>
      <c r="L1480" t="s">
        <v>1307</v>
      </c>
      <c r="M1480" t="s">
        <v>28</v>
      </c>
      <c r="N1480">
        <v>34233</v>
      </c>
      <c r="O1480" t="s">
        <v>1312</v>
      </c>
      <c r="P1480" t="s">
        <v>2156</v>
      </c>
      <c r="Q1480" t="s">
        <v>21</v>
      </c>
      <c r="R1480">
        <v>415290</v>
      </c>
      <c r="S1480" t="s">
        <v>84</v>
      </c>
      <c r="T1480" s="2">
        <v>207</v>
      </c>
      <c r="U1480">
        <v>0</v>
      </c>
      <c r="V1480" t="s">
        <v>260</v>
      </c>
      <c r="W1480">
        <v>0</v>
      </c>
      <c r="X1480">
        <v>0</v>
      </c>
      <c r="Y1480">
        <v>0</v>
      </c>
      <c r="Z1480" t="s">
        <v>88</v>
      </c>
      <c r="AA1480" t="s">
        <v>1740</v>
      </c>
      <c r="AB1480" t="s">
        <v>10</v>
      </c>
      <c r="AC1480">
        <v>0</v>
      </c>
      <c r="AD1480">
        <v>0</v>
      </c>
      <c r="AE1480">
        <v>726182084510</v>
      </c>
      <c r="AF1480">
        <v>399.61</v>
      </c>
      <c r="AG1480">
        <v>0</v>
      </c>
      <c r="AH1480">
        <v>15</v>
      </c>
      <c r="AI1480">
        <v>414.61</v>
      </c>
      <c r="AJ1480" t="s">
        <v>2</v>
      </c>
      <c r="AK1480" t="s">
        <v>11</v>
      </c>
    </row>
    <row r="1481" spans="1:37">
      <c r="A1481">
        <v>257688</v>
      </c>
      <c r="B1481" s="1">
        <v>45366</v>
      </c>
      <c r="C1481" t="s">
        <v>1305</v>
      </c>
      <c r="D1481" t="s">
        <v>1306</v>
      </c>
      <c r="E1481" t="s">
        <v>2</v>
      </c>
      <c r="F1481" t="s">
        <v>1307</v>
      </c>
      <c r="G1481" t="s">
        <v>28</v>
      </c>
      <c r="H1481">
        <v>34233</v>
      </c>
      <c r="I1481" t="s">
        <v>1305</v>
      </c>
      <c r="J1481" t="s">
        <v>1306</v>
      </c>
      <c r="K1481" t="s">
        <v>2</v>
      </c>
      <c r="L1481" t="s">
        <v>1307</v>
      </c>
      <c r="M1481" t="s">
        <v>28</v>
      </c>
      <c r="N1481">
        <v>34233</v>
      </c>
      <c r="O1481" t="s">
        <v>1312</v>
      </c>
      <c r="P1481" t="s">
        <v>2156</v>
      </c>
      <c r="Q1481" t="s">
        <v>21</v>
      </c>
      <c r="R1481">
        <v>415290</v>
      </c>
      <c r="S1481" t="s">
        <v>84</v>
      </c>
      <c r="T1481" s="2">
        <v>207</v>
      </c>
      <c r="U1481">
        <v>0</v>
      </c>
      <c r="V1481" t="s">
        <v>260</v>
      </c>
      <c r="W1481">
        <v>3</v>
      </c>
      <c r="X1481">
        <v>3</v>
      </c>
      <c r="Y1481">
        <v>0</v>
      </c>
      <c r="Z1481" t="s">
        <v>2339</v>
      </c>
      <c r="AA1481" t="s">
        <v>2340</v>
      </c>
      <c r="AB1481" t="s">
        <v>14</v>
      </c>
      <c r="AC1481">
        <v>2.14</v>
      </c>
      <c r="AD1481">
        <v>6.42</v>
      </c>
      <c r="AE1481">
        <v>726182084510</v>
      </c>
      <c r="AF1481">
        <v>399.61</v>
      </c>
      <c r="AG1481">
        <v>0</v>
      </c>
      <c r="AH1481">
        <v>15</v>
      </c>
      <c r="AI1481">
        <v>414.61</v>
      </c>
      <c r="AJ1481" t="s">
        <v>2</v>
      </c>
      <c r="AK1481" t="s">
        <v>11</v>
      </c>
    </row>
    <row r="1482" spans="1:37">
      <c r="A1482">
        <v>257688</v>
      </c>
      <c r="B1482" s="1">
        <v>45366</v>
      </c>
      <c r="C1482" t="s">
        <v>1305</v>
      </c>
      <c r="D1482" t="s">
        <v>1306</v>
      </c>
      <c r="E1482" t="s">
        <v>2</v>
      </c>
      <c r="F1482" t="s">
        <v>1307</v>
      </c>
      <c r="G1482" t="s">
        <v>28</v>
      </c>
      <c r="H1482">
        <v>34233</v>
      </c>
      <c r="I1482" t="s">
        <v>1305</v>
      </c>
      <c r="J1482" t="s">
        <v>1306</v>
      </c>
      <c r="K1482" t="s">
        <v>2</v>
      </c>
      <c r="L1482" t="s">
        <v>1307</v>
      </c>
      <c r="M1482" t="s">
        <v>28</v>
      </c>
      <c r="N1482">
        <v>34233</v>
      </c>
      <c r="O1482" t="s">
        <v>1312</v>
      </c>
      <c r="P1482" t="s">
        <v>2156</v>
      </c>
      <c r="Q1482" t="s">
        <v>21</v>
      </c>
      <c r="R1482">
        <v>415290</v>
      </c>
      <c r="S1482" t="s">
        <v>84</v>
      </c>
      <c r="T1482" s="2">
        <v>207</v>
      </c>
      <c r="U1482">
        <v>0</v>
      </c>
      <c r="V1482" t="s">
        <v>260</v>
      </c>
      <c r="W1482">
        <v>0</v>
      </c>
      <c r="X1482">
        <v>0</v>
      </c>
      <c r="Y1482">
        <v>0</v>
      </c>
      <c r="Z1482" t="s">
        <v>88</v>
      </c>
      <c r="AA1482" t="s">
        <v>1740</v>
      </c>
      <c r="AB1482" t="s">
        <v>10</v>
      </c>
      <c r="AC1482">
        <v>0</v>
      </c>
      <c r="AD1482">
        <v>0</v>
      </c>
      <c r="AE1482">
        <v>726182084510</v>
      </c>
      <c r="AF1482">
        <v>399.61</v>
      </c>
      <c r="AG1482">
        <v>0</v>
      </c>
      <c r="AH1482">
        <v>15</v>
      </c>
      <c r="AI1482">
        <v>414.61</v>
      </c>
      <c r="AJ1482" t="s">
        <v>2</v>
      </c>
      <c r="AK1482" t="s">
        <v>11</v>
      </c>
    </row>
    <row r="1483" spans="1:37">
      <c r="A1483">
        <v>257688</v>
      </c>
      <c r="B1483" s="1">
        <v>45366</v>
      </c>
      <c r="C1483" t="s">
        <v>1305</v>
      </c>
      <c r="D1483" t="s">
        <v>1306</v>
      </c>
      <c r="E1483" t="s">
        <v>2</v>
      </c>
      <c r="F1483" t="s">
        <v>1307</v>
      </c>
      <c r="G1483" t="s">
        <v>28</v>
      </c>
      <c r="H1483">
        <v>34233</v>
      </c>
      <c r="I1483" t="s">
        <v>1305</v>
      </c>
      <c r="J1483" t="s">
        <v>1306</v>
      </c>
      <c r="K1483" t="s">
        <v>2</v>
      </c>
      <c r="L1483" t="s">
        <v>1307</v>
      </c>
      <c r="M1483" t="s">
        <v>28</v>
      </c>
      <c r="N1483">
        <v>34233</v>
      </c>
      <c r="O1483" t="s">
        <v>1312</v>
      </c>
      <c r="P1483" t="s">
        <v>2156</v>
      </c>
      <c r="Q1483" t="s">
        <v>21</v>
      </c>
      <c r="R1483">
        <v>415290</v>
      </c>
      <c r="S1483" t="s">
        <v>84</v>
      </c>
      <c r="T1483" s="2">
        <v>207</v>
      </c>
      <c r="U1483">
        <v>0</v>
      </c>
      <c r="V1483" t="s">
        <v>260</v>
      </c>
      <c r="W1483">
        <v>3</v>
      </c>
      <c r="X1483">
        <v>3</v>
      </c>
      <c r="Y1483">
        <v>0</v>
      </c>
      <c r="Z1483" t="s">
        <v>2341</v>
      </c>
      <c r="AA1483" t="s">
        <v>2342</v>
      </c>
      <c r="AB1483" t="s">
        <v>14</v>
      </c>
      <c r="AC1483">
        <v>2.14</v>
      </c>
      <c r="AD1483">
        <v>6.42</v>
      </c>
      <c r="AE1483">
        <v>726182084510</v>
      </c>
      <c r="AF1483">
        <v>399.61</v>
      </c>
      <c r="AG1483">
        <v>0</v>
      </c>
      <c r="AH1483">
        <v>15</v>
      </c>
      <c r="AI1483">
        <v>414.61</v>
      </c>
      <c r="AJ1483" t="s">
        <v>2</v>
      </c>
      <c r="AK1483" t="s">
        <v>11</v>
      </c>
    </row>
    <row r="1484" spans="1:37">
      <c r="A1484">
        <v>257688</v>
      </c>
      <c r="B1484" s="1">
        <v>45366</v>
      </c>
      <c r="C1484" t="s">
        <v>1305</v>
      </c>
      <c r="D1484" t="s">
        <v>1306</v>
      </c>
      <c r="E1484" t="s">
        <v>2</v>
      </c>
      <c r="F1484" t="s">
        <v>1307</v>
      </c>
      <c r="G1484" t="s">
        <v>28</v>
      </c>
      <c r="H1484">
        <v>34233</v>
      </c>
      <c r="I1484" t="s">
        <v>1305</v>
      </c>
      <c r="J1484" t="s">
        <v>1306</v>
      </c>
      <c r="K1484" t="s">
        <v>2</v>
      </c>
      <c r="L1484" t="s">
        <v>1307</v>
      </c>
      <c r="M1484" t="s">
        <v>28</v>
      </c>
      <c r="N1484">
        <v>34233</v>
      </c>
      <c r="O1484" t="s">
        <v>1312</v>
      </c>
      <c r="P1484" t="s">
        <v>2156</v>
      </c>
      <c r="Q1484" t="s">
        <v>21</v>
      </c>
      <c r="R1484">
        <v>415290</v>
      </c>
      <c r="S1484" t="s">
        <v>84</v>
      </c>
      <c r="T1484" s="2">
        <v>207</v>
      </c>
      <c r="U1484">
        <v>0</v>
      </c>
      <c r="V1484" t="s">
        <v>260</v>
      </c>
      <c r="W1484">
        <v>0</v>
      </c>
      <c r="X1484">
        <v>0</v>
      </c>
      <c r="Y1484">
        <v>0</v>
      </c>
      <c r="Z1484" t="s">
        <v>88</v>
      </c>
      <c r="AA1484" t="s">
        <v>1740</v>
      </c>
      <c r="AB1484" t="s">
        <v>10</v>
      </c>
      <c r="AC1484">
        <v>0</v>
      </c>
      <c r="AD1484">
        <v>0</v>
      </c>
      <c r="AE1484">
        <v>726182084510</v>
      </c>
      <c r="AF1484">
        <v>399.61</v>
      </c>
      <c r="AG1484">
        <v>0</v>
      </c>
      <c r="AH1484">
        <v>15</v>
      </c>
      <c r="AI1484">
        <v>414.61</v>
      </c>
      <c r="AJ1484" t="s">
        <v>2</v>
      </c>
      <c r="AK1484" t="s">
        <v>11</v>
      </c>
    </row>
    <row r="1485" spans="1:37">
      <c r="A1485">
        <v>257688</v>
      </c>
      <c r="B1485" s="1">
        <v>45366</v>
      </c>
      <c r="C1485" t="s">
        <v>1305</v>
      </c>
      <c r="D1485" t="s">
        <v>1306</v>
      </c>
      <c r="E1485" t="s">
        <v>2</v>
      </c>
      <c r="F1485" t="s">
        <v>1307</v>
      </c>
      <c r="G1485" t="s">
        <v>28</v>
      </c>
      <c r="H1485">
        <v>34233</v>
      </c>
      <c r="I1485" t="s">
        <v>1305</v>
      </c>
      <c r="J1485" t="s">
        <v>1306</v>
      </c>
      <c r="K1485" t="s">
        <v>2</v>
      </c>
      <c r="L1485" t="s">
        <v>1307</v>
      </c>
      <c r="M1485" t="s">
        <v>28</v>
      </c>
      <c r="N1485">
        <v>34233</v>
      </c>
      <c r="O1485" t="s">
        <v>1312</v>
      </c>
      <c r="P1485" t="s">
        <v>2156</v>
      </c>
      <c r="Q1485" t="s">
        <v>21</v>
      </c>
      <c r="R1485">
        <v>415290</v>
      </c>
      <c r="S1485" t="s">
        <v>84</v>
      </c>
      <c r="T1485" s="2">
        <v>207</v>
      </c>
      <c r="U1485">
        <v>0</v>
      </c>
      <c r="V1485" t="s">
        <v>260</v>
      </c>
      <c r="W1485">
        <v>3</v>
      </c>
      <c r="X1485">
        <v>3</v>
      </c>
      <c r="Y1485">
        <v>0</v>
      </c>
      <c r="Z1485" t="s">
        <v>2343</v>
      </c>
      <c r="AA1485" t="s">
        <v>2344</v>
      </c>
      <c r="AB1485" t="s">
        <v>14</v>
      </c>
      <c r="AC1485">
        <v>2.14</v>
      </c>
      <c r="AD1485">
        <v>6.42</v>
      </c>
      <c r="AE1485">
        <v>726182084510</v>
      </c>
      <c r="AF1485">
        <v>399.61</v>
      </c>
      <c r="AG1485">
        <v>0</v>
      </c>
      <c r="AH1485">
        <v>15</v>
      </c>
      <c r="AI1485">
        <v>414.61</v>
      </c>
      <c r="AJ1485" t="s">
        <v>2</v>
      </c>
      <c r="AK1485" t="s">
        <v>11</v>
      </c>
    </row>
    <row r="1486" spans="1:37">
      <c r="A1486">
        <v>257688</v>
      </c>
      <c r="B1486" s="1">
        <v>45366</v>
      </c>
      <c r="C1486" t="s">
        <v>1305</v>
      </c>
      <c r="D1486" t="s">
        <v>1306</v>
      </c>
      <c r="E1486" t="s">
        <v>2</v>
      </c>
      <c r="F1486" t="s">
        <v>1307</v>
      </c>
      <c r="G1486" t="s">
        <v>28</v>
      </c>
      <c r="H1486">
        <v>34233</v>
      </c>
      <c r="I1486" t="s">
        <v>1305</v>
      </c>
      <c r="J1486" t="s">
        <v>1306</v>
      </c>
      <c r="K1486" t="s">
        <v>2</v>
      </c>
      <c r="L1486" t="s">
        <v>1307</v>
      </c>
      <c r="M1486" t="s">
        <v>28</v>
      </c>
      <c r="N1486">
        <v>34233</v>
      </c>
      <c r="O1486" t="s">
        <v>1312</v>
      </c>
      <c r="P1486" t="s">
        <v>2156</v>
      </c>
      <c r="Q1486" t="s">
        <v>21</v>
      </c>
      <c r="R1486">
        <v>415290</v>
      </c>
      <c r="S1486" t="s">
        <v>84</v>
      </c>
      <c r="T1486" s="2">
        <v>207</v>
      </c>
      <c r="U1486">
        <v>0</v>
      </c>
      <c r="V1486" t="s">
        <v>260</v>
      </c>
      <c r="W1486">
        <v>0</v>
      </c>
      <c r="X1486">
        <v>0</v>
      </c>
      <c r="Y1486">
        <v>0</v>
      </c>
      <c r="Z1486" t="s">
        <v>88</v>
      </c>
      <c r="AA1486" t="s">
        <v>1740</v>
      </c>
      <c r="AB1486" t="s">
        <v>10</v>
      </c>
      <c r="AC1486">
        <v>0</v>
      </c>
      <c r="AD1486">
        <v>0</v>
      </c>
      <c r="AE1486">
        <v>726182084510</v>
      </c>
      <c r="AF1486">
        <v>399.61</v>
      </c>
      <c r="AG1486">
        <v>0</v>
      </c>
      <c r="AH1486">
        <v>15</v>
      </c>
      <c r="AI1486">
        <v>414.61</v>
      </c>
      <c r="AJ1486" t="s">
        <v>2</v>
      </c>
      <c r="AK1486" t="s">
        <v>11</v>
      </c>
    </row>
    <row r="1487" spans="1:37">
      <c r="A1487">
        <v>257688</v>
      </c>
      <c r="B1487" s="1">
        <v>45366</v>
      </c>
      <c r="C1487" t="s">
        <v>1305</v>
      </c>
      <c r="D1487" t="s">
        <v>1306</v>
      </c>
      <c r="E1487" t="s">
        <v>2</v>
      </c>
      <c r="F1487" t="s">
        <v>1307</v>
      </c>
      <c r="G1487" t="s">
        <v>28</v>
      </c>
      <c r="H1487">
        <v>34233</v>
      </c>
      <c r="I1487" t="s">
        <v>1305</v>
      </c>
      <c r="J1487" t="s">
        <v>1306</v>
      </c>
      <c r="K1487" t="s">
        <v>2</v>
      </c>
      <c r="L1487" t="s">
        <v>1307</v>
      </c>
      <c r="M1487" t="s">
        <v>28</v>
      </c>
      <c r="N1487">
        <v>34233</v>
      </c>
      <c r="O1487" t="s">
        <v>1312</v>
      </c>
      <c r="P1487" t="s">
        <v>2156</v>
      </c>
      <c r="Q1487" t="s">
        <v>21</v>
      </c>
      <c r="R1487">
        <v>415290</v>
      </c>
      <c r="S1487" t="s">
        <v>84</v>
      </c>
      <c r="T1487" s="2">
        <v>207</v>
      </c>
      <c r="U1487">
        <v>0</v>
      </c>
      <c r="V1487" t="s">
        <v>260</v>
      </c>
      <c r="W1487">
        <v>3</v>
      </c>
      <c r="X1487">
        <v>3</v>
      </c>
      <c r="Y1487">
        <v>0</v>
      </c>
      <c r="Z1487" t="s">
        <v>2345</v>
      </c>
      <c r="AA1487" t="s">
        <v>2346</v>
      </c>
      <c r="AB1487" t="s">
        <v>14</v>
      </c>
      <c r="AC1487">
        <v>2.14</v>
      </c>
      <c r="AD1487">
        <v>6.42</v>
      </c>
      <c r="AE1487">
        <v>726182084510</v>
      </c>
      <c r="AF1487">
        <v>399.61</v>
      </c>
      <c r="AG1487">
        <v>0</v>
      </c>
      <c r="AH1487">
        <v>15</v>
      </c>
      <c r="AI1487">
        <v>414.61</v>
      </c>
      <c r="AJ1487" t="s">
        <v>2</v>
      </c>
      <c r="AK1487" t="s">
        <v>11</v>
      </c>
    </row>
    <row r="1488" spans="1:37">
      <c r="A1488">
        <v>257688</v>
      </c>
      <c r="B1488" s="1">
        <v>45366</v>
      </c>
      <c r="C1488" t="s">
        <v>1305</v>
      </c>
      <c r="D1488" t="s">
        <v>1306</v>
      </c>
      <c r="E1488" t="s">
        <v>2</v>
      </c>
      <c r="F1488" t="s">
        <v>1307</v>
      </c>
      <c r="G1488" t="s">
        <v>28</v>
      </c>
      <c r="H1488">
        <v>34233</v>
      </c>
      <c r="I1488" t="s">
        <v>1305</v>
      </c>
      <c r="J1488" t="s">
        <v>1306</v>
      </c>
      <c r="K1488" t="s">
        <v>2</v>
      </c>
      <c r="L1488" t="s">
        <v>1307</v>
      </c>
      <c r="M1488" t="s">
        <v>28</v>
      </c>
      <c r="N1488">
        <v>34233</v>
      </c>
      <c r="O1488" t="s">
        <v>1312</v>
      </c>
      <c r="P1488" t="s">
        <v>2156</v>
      </c>
      <c r="Q1488" t="s">
        <v>21</v>
      </c>
      <c r="R1488">
        <v>415290</v>
      </c>
      <c r="S1488" t="s">
        <v>84</v>
      </c>
      <c r="T1488" s="2">
        <v>207</v>
      </c>
      <c r="U1488">
        <v>0</v>
      </c>
      <c r="V1488" t="s">
        <v>260</v>
      </c>
      <c r="W1488">
        <v>0</v>
      </c>
      <c r="X1488">
        <v>0</v>
      </c>
      <c r="Y1488">
        <v>0</v>
      </c>
      <c r="Z1488" t="s">
        <v>88</v>
      </c>
      <c r="AA1488" t="s">
        <v>1740</v>
      </c>
      <c r="AB1488" t="s">
        <v>10</v>
      </c>
      <c r="AC1488">
        <v>0</v>
      </c>
      <c r="AD1488">
        <v>0</v>
      </c>
      <c r="AE1488">
        <v>726182084510</v>
      </c>
      <c r="AF1488">
        <v>399.61</v>
      </c>
      <c r="AG1488">
        <v>0</v>
      </c>
      <c r="AH1488">
        <v>15</v>
      </c>
      <c r="AI1488">
        <v>414.61</v>
      </c>
      <c r="AJ1488" t="s">
        <v>2</v>
      </c>
      <c r="AK1488" t="s">
        <v>11</v>
      </c>
    </row>
    <row r="1489" spans="1:37">
      <c r="A1489">
        <v>257688</v>
      </c>
      <c r="B1489" s="1">
        <v>45366</v>
      </c>
      <c r="C1489" t="s">
        <v>1305</v>
      </c>
      <c r="D1489" t="s">
        <v>1306</v>
      </c>
      <c r="E1489" t="s">
        <v>2</v>
      </c>
      <c r="F1489" t="s">
        <v>1307</v>
      </c>
      <c r="G1489" t="s">
        <v>28</v>
      </c>
      <c r="H1489">
        <v>34233</v>
      </c>
      <c r="I1489" t="s">
        <v>1305</v>
      </c>
      <c r="J1489" t="s">
        <v>1306</v>
      </c>
      <c r="K1489" t="s">
        <v>2</v>
      </c>
      <c r="L1489" t="s">
        <v>1307</v>
      </c>
      <c r="M1489" t="s">
        <v>28</v>
      </c>
      <c r="N1489">
        <v>34233</v>
      </c>
      <c r="O1489" t="s">
        <v>1312</v>
      </c>
      <c r="P1489" t="s">
        <v>2156</v>
      </c>
      <c r="Q1489" t="s">
        <v>21</v>
      </c>
      <c r="R1489">
        <v>415290</v>
      </c>
      <c r="S1489" t="s">
        <v>84</v>
      </c>
      <c r="T1489" s="2">
        <v>207</v>
      </c>
      <c r="U1489">
        <v>0</v>
      </c>
      <c r="V1489" t="s">
        <v>260</v>
      </c>
      <c r="W1489">
        <v>3</v>
      </c>
      <c r="X1489">
        <v>3</v>
      </c>
      <c r="Y1489">
        <v>0</v>
      </c>
      <c r="Z1489" t="s">
        <v>2347</v>
      </c>
      <c r="AA1489" t="s">
        <v>2348</v>
      </c>
      <c r="AB1489" t="s">
        <v>14</v>
      </c>
      <c r="AC1489">
        <v>2.14</v>
      </c>
      <c r="AD1489">
        <v>6.42</v>
      </c>
      <c r="AE1489">
        <v>726182084510</v>
      </c>
      <c r="AF1489">
        <v>399.61</v>
      </c>
      <c r="AG1489">
        <v>0</v>
      </c>
      <c r="AH1489">
        <v>15</v>
      </c>
      <c r="AI1489">
        <v>414.61</v>
      </c>
      <c r="AJ1489" t="s">
        <v>2</v>
      </c>
      <c r="AK1489" t="s">
        <v>11</v>
      </c>
    </row>
    <row r="1490" spans="1:37">
      <c r="A1490">
        <v>257688</v>
      </c>
      <c r="B1490" s="1">
        <v>45366</v>
      </c>
      <c r="C1490" t="s">
        <v>1305</v>
      </c>
      <c r="D1490" t="s">
        <v>1306</v>
      </c>
      <c r="E1490" t="s">
        <v>2</v>
      </c>
      <c r="F1490" t="s">
        <v>1307</v>
      </c>
      <c r="G1490" t="s">
        <v>28</v>
      </c>
      <c r="H1490">
        <v>34233</v>
      </c>
      <c r="I1490" t="s">
        <v>1305</v>
      </c>
      <c r="J1490" t="s">
        <v>1306</v>
      </c>
      <c r="K1490" t="s">
        <v>2</v>
      </c>
      <c r="L1490" t="s">
        <v>1307</v>
      </c>
      <c r="M1490" t="s">
        <v>28</v>
      </c>
      <c r="N1490">
        <v>34233</v>
      </c>
      <c r="O1490" t="s">
        <v>1312</v>
      </c>
      <c r="P1490" t="s">
        <v>2156</v>
      </c>
      <c r="Q1490" t="s">
        <v>21</v>
      </c>
      <c r="R1490">
        <v>415290</v>
      </c>
      <c r="S1490" t="s">
        <v>84</v>
      </c>
      <c r="T1490" s="2">
        <v>207</v>
      </c>
      <c r="U1490">
        <v>0</v>
      </c>
      <c r="V1490" t="s">
        <v>260</v>
      </c>
      <c r="W1490">
        <v>0</v>
      </c>
      <c r="X1490">
        <v>0</v>
      </c>
      <c r="Y1490">
        <v>0</v>
      </c>
      <c r="Z1490" t="s">
        <v>88</v>
      </c>
      <c r="AA1490" t="s">
        <v>1740</v>
      </c>
      <c r="AB1490" t="s">
        <v>10</v>
      </c>
      <c r="AC1490">
        <v>0</v>
      </c>
      <c r="AD1490">
        <v>0</v>
      </c>
      <c r="AE1490">
        <v>726182084510</v>
      </c>
      <c r="AF1490">
        <v>399.61</v>
      </c>
      <c r="AG1490">
        <v>0</v>
      </c>
      <c r="AH1490">
        <v>15</v>
      </c>
      <c r="AI1490">
        <v>414.61</v>
      </c>
      <c r="AJ1490" t="s">
        <v>2</v>
      </c>
      <c r="AK1490" t="s">
        <v>11</v>
      </c>
    </row>
    <row r="1491" spans="1:37">
      <c r="A1491">
        <v>257688</v>
      </c>
      <c r="B1491" s="1">
        <v>45366</v>
      </c>
      <c r="C1491" t="s">
        <v>1305</v>
      </c>
      <c r="D1491" t="s">
        <v>1306</v>
      </c>
      <c r="E1491" t="s">
        <v>2</v>
      </c>
      <c r="F1491" t="s">
        <v>1307</v>
      </c>
      <c r="G1491" t="s">
        <v>28</v>
      </c>
      <c r="H1491">
        <v>34233</v>
      </c>
      <c r="I1491" t="s">
        <v>1305</v>
      </c>
      <c r="J1491" t="s">
        <v>1306</v>
      </c>
      <c r="K1491" t="s">
        <v>2</v>
      </c>
      <c r="L1491" t="s">
        <v>1307</v>
      </c>
      <c r="M1491" t="s">
        <v>28</v>
      </c>
      <c r="N1491">
        <v>34233</v>
      </c>
      <c r="O1491" t="s">
        <v>1312</v>
      </c>
      <c r="P1491" t="s">
        <v>2156</v>
      </c>
      <c r="Q1491" t="s">
        <v>21</v>
      </c>
      <c r="R1491">
        <v>415290</v>
      </c>
      <c r="S1491" t="s">
        <v>84</v>
      </c>
      <c r="T1491" s="2">
        <v>207</v>
      </c>
      <c r="U1491">
        <v>0</v>
      </c>
      <c r="V1491" t="s">
        <v>260</v>
      </c>
      <c r="W1491">
        <v>3</v>
      </c>
      <c r="X1491">
        <v>3</v>
      </c>
      <c r="Y1491">
        <v>0</v>
      </c>
      <c r="Z1491" t="s">
        <v>2349</v>
      </c>
      <c r="AA1491" t="s">
        <v>2350</v>
      </c>
      <c r="AB1491" t="s">
        <v>14</v>
      </c>
      <c r="AC1491">
        <v>2.14</v>
      </c>
      <c r="AD1491">
        <v>6.42</v>
      </c>
      <c r="AE1491">
        <v>726182084510</v>
      </c>
      <c r="AF1491">
        <v>399.61</v>
      </c>
      <c r="AG1491">
        <v>0</v>
      </c>
      <c r="AH1491">
        <v>15</v>
      </c>
      <c r="AI1491">
        <v>414.61</v>
      </c>
      <c r="AJ1491" t="s">
        <v>2</v>
      </c>
      <c r="AK1491" t="s">
        <v>11</v>
      </c>
    </row>
    <row r="1492" spans="1:37">
      <c r="A1492">
        <v>257688</v>
      </c>
      <c r="B1492" s="1">
        <v>45366</v>
      </c>
      <c r="C1492" t="s">
        <v>1305</v>
      </c>
      <c r="D1492" t="s">
        <v>1306</v>
      </c>
      <c r="E1492" t="s">
        <v>2</v>
      </c>
      <c r="F1492" t="s">
        <v>1307</v>
      </c>
      <c r="G1492" t="s">
        <v>28</v>
      </c>
      <c r="H1492">
        <v>34233</v>
      </c>
      <c r="I1492" t="s">
        <v>1305</v>
      </c>
      <c r="J1492" t="s">
        <v>1306</v>
      </c>
      <c r="K1492" t="s">
        <v>2</v>
      </c>
      <c r="L1492" t="s">
        <v>1307</v>
      </c>
      <c r="M1492" t="s">
        <v>28</v>
      </c>
      <c r="N1492">
        <v>34233</v>
      </c>
      <c r="O1492" t="s">
        <v>1312</v>
      </c>
      <c r="P1492" t="s">
        <v>2156</v>
      </c>
      <c r="Q1492" t="s">
        <v>21</v>
      </c>
      <c r="R1492">
        <v>415290</v>
      </c>
      <c r="S1492" t="s">
        <v>84</v>
      </c>
      <c r="T1492" s="2">
        <v>207</v>
      </c>
      <c r="U1492">
        <v>0</v>
      </c>
      <c r="V1492" t="s">
        <v>260</v>
      </c>
      <c r="W1492">
        <v>0</v>
      </c>
      <c r="X1492">
        <v>0</v>
      </c>
      <c r="Y1492">
        <v>0</v>
      </c>
      <c r="Z1492" t="s">
        <v>88</v>
      </c>
      <c r="AA1492" t="s">
        <v>1740</v>
      </c>
      <c r="AB1492" t="s">
        <v>10</v>
      </c>
      <c r="AC1492">
        <v>0</v>
      </c>
      <c r="AD1492">
        <v>0</v>
      </c>
      <c r="AE1492">
        <v>726182084510</v>
      </c>
      <c r="AF1492">
        <v>399.61</v>
      </c>
      <c r="AG1492">
        <v>0</v>
      </c>
      <c r="AH1492">
        <v>15</v>
      </c>
      <c r="AI1492">
        <v>414.61</v>
      </c>
      <c r="AJ1492" t="s">
        <v>2</v>
      </c>
      <c r="AK1492" t="s">
        <v>11</v>
      </c>
    </row>
    <row r="1493" spans="1:37">
      <c r="A1493">
        <v>257688</v>
      </c>
      <c r="B1493" s="1">
        <v>45366</v>
      </c>
      <c r="C1493" t="s">
        <v>1305</v>
      </c>
      <c r="D1493" t="s">
        <v>1306</v>
      </c>
      <c r="E1493" t="s">
        <v>2</v>
      </c>
      <c r="F1493" t="s">
        <v>1307</v>
      </c>
      <c r="G1493" t="s">
        <v>28</v>
      </c>
      <c r="H1493">
        <v>34233</v>
      </c>
      <c r="I1493" t="s">
        <v>1305</v>
      </c>
      <c r="J1493" t="s">
        <v>1306</v>
      </c>
      <c r="K1493" t="s">
        <v>2</v>
      </c>
      <c r="L1493" t="s">
        <v>1307</v>
      </c>
      <c r="M1493" t="s">
        <v>28</v>
      </c>
      <c r="N1493">
        <v>34233</v>
      </c>
      <c r="O1493" t="s">
        <v>1312</v>
      </c>
      <c r="P1493" t="s">
        <v>2156</v>
      </c>
      <c r="Q1493" t="s">
        <v>21</v>
      </c>
      <c r="R1493">
        <v>415290</v>
      </c>
      <c r="S1493" t="s">
        <v>84</v>
      </c>
      <c r="T1493" s="2">
        <v>207</v>
      </c>
      <c r="U1493">
        <v>0</v>
      </c>
      <c r="V1493" t="s">
        <v>260</v>
      </c>
      <c r="W1493">
        <v>3</v>
      </c>
      <c r="X1493">
        <v>3</v>
      </c>
      <c r="Y1493">
        <v>0</v>
      </c>
      <c r="Z1493" t="s">
        <v>2351</v>
      </c>
      <c r="AA1493" t="s">
        <v>2352</v>
      </c>
      <c r="AB1493" t="s">
        <v>14</v>
      </c>
      <c r="AC1493">
        <v>2.14</v>
      </c>
      <c r="AD1493">
        <v>6.42</v>
      </c>
      <c r="AE1493">
        <v>726182084510</v>
      </c>
      <c r="AF1493">
        <v>399.61</v>
      </c>
      <c r="AG1493">
        <v>0</v>
      </c>
      <c r="AH1493">
        <v>15</v>
      </c>
      <c r="AI1493">
        <v>414.61</v>
      </c>
      <c r="AJ1493" t="s">
        <v>2</v>
      </c>
      <c r="AK1493" t="s">
        <v>11</v>
      </c>
    </row>
    <row r="1494" spans="1:37">
      <c r="A1494">
        <v>257688</v>
      </c>
      <c r="B1494" s="1">
        <v>45366</v>
      </c>
      <c r="C1494" t="s">
        <v>1305</v>
      </c>
      <c r="D1494" t="s">
        <v>1306</v>
      </c>
      <c r="E1494" t="s">
        <v>2</v>
      </c>
      <c r="F1494" t="s">
        <v>1307</v>
      </c>
      <c r="G1494" t="s">
        <v>28</v>
      </c>
      <c r="H1494">
        <v>34233</v>
      </c>
      <c r="I1494" t="s">
        <v>1305</v>
      </c>
      <c r="J1494" t="s">
        <v>1306</v>
      </c>
      <c r="K1494" t="s">
        <v>2</v>
      </c>
      <c r="L1494" t="s">
        <v>1307</v>
      </c>
      <c r="M1494" t="s">
        <v>28</v>
      </c>
      <c r="N1494">
        <v>34233</v>
      </c>
      <c r="O1494" t="s">
        <v>1312</v>
      </c>
      <c r="P1494" t="s">
        <v>2156</v>
      </c>
      <c r="Q1494" t="s">
        <v>21</v>
      </c>
      <c r="R1494">
        <v>415290</v>
      </c>
      <c r="S1494" t="s">
        <v>84</v>
      </c>
      <c r="T1494" s="2">
        <v>207</v>
      </c>
      <c r="U1494">
        <v>0</v>
      </c>
      <c r="V1494" t="s">
        <v>260</v>
      </c>
      <c r="W1494">
        <v>0</v>
      </c>
      <c r="X1494">
        <v>0</v>
      </c>
      <c r="Y1494">
        <v>0</v>
      </c>
      <c r="Z1494" t="s">
        <v>88</v>
      </c>
      <c r="AA1494" t="s">
        <v>1740</v>
      </c>
      <c r="AB1494" t="s">
        <v>10</v>
      </c>
      <c r="AC1494">
        <v>0</v>
      </c>
      <c r="AD1494">
        <v>0</v>
      </c>
      <c r="AE1494">
        <v>726182084510</v>
      </c>
      <c r="AF1494">
        <v>399.61</v>
      </c>
      <c r="AG1494">
        <v>0</v>
      </c>
      <c r="AH1494">
        <v>15</v>
      </c>
      <c r="AI1494">
        <v>414.61</v>
      </c>
      <c r="AJ1494" t="s">
        <v>2</v>
      </c>
      <c r="AK1494" t="s">
        <v>11</v>
      </c>
    </row>
    <row r="1495" spans="1:37">
      <c r="A1495">
        <v>257688</v>
      </c>
      <c r="B1495" s="1">
        <v>45366</v>
      </c>
      <c r="C1495" t="s">
        <v>1305</v>
      </c>
      <c r="D1495" t="s">
        <v>1306</v>
      </c>
      <c r="E1495" t="s">
        <v>2</v>
      </c>
      <c r="F1495" t="s">
        <v>1307</v>
      </c>
      <c r="G1495" t="s">
        <v>28</v>
      </c>
      <c r="H1495">
        <v>34233</v>
      </c>
      <c r="I1495" t="s">
        <v>1305</v>
      </c>
      <c r="J1495" t="s">
        <v>1306</v>
      </c>
      <c r="K1495" t="s">
        <v>2</v>
      </c>
      <c r="L1495" t="s">
        <v>1307</v>
      </c>
      <c r="M1495" t="s">
        <v>28</v>
      </c>
      <c r="N1495">
        <v>34233</v>
      </c>
      <c r="O1495" t="s">
        <v>1312</v>
      </c>
      <c r="P1495" t="s">
        <v>2156</v>
      </c>
      <c r="Q1495" t="s">
        <v>21</v>
      </c>
      <c r="R1495">
        <v>415290</v>
      </c>
      <c r="S1495" t="s">
        <v>84</v>
      </c>
      <c r="T1495" s="2">
        <v>207</v>
      </c>
      <c r="U1495">
        <v>0</v>
      </c>
      <c r="V1495" t="s">
        <v>260</v>
      </c>
      <c r="W1495">
        <v>3</v>
      </c>
      <c r="X1495">
        <v>3</v>
      </c>
      <c r="Y1495">
        <v>0</v>
      </c>
      <c r="Z1495" t="s">
        <v>2353</v>
      </c>
      <c r="AA1495" t="s">
        <v>2354</v>
      </c>
      <c r="AB1495" t="s">
        <v>14</v>
      </c>
      <c r="AC1495">
        <v>2.14</v>
      </c>
      <c r="AD1495">
        <v>6.42</v>
      </c>
      <c r="AE1495">
        <v>726182084510</v>
      </c>
      <c r="AF1495">
        <v>399.61</v>
      </c>
      <c r="AG1495">
        <v>0</v>
      </c>
      <c r="AH1495">
        <v>15</v>
      </c>
      <c r="AI1495">
        <v>414.61</v>
      </c>
      <c r="AJ1495" t="s">
        <v>2</v>
      </c>
      <c r="AK1495" t="s">
        <v>11</v>
      </c>
    </row>
    <row r="1496" spans="1:37">
      <c r="A1496">
        <v>257688</v>
      </c>
      <c r="B1496" s="1">
        <v>45366</v>
      </c>
      <c r="C1496" t="s">
        <v>1305</v>
      </c>
      <c r="D1496" t="s">
        <v>1306</v>
      </c>
      <c r="E1496" t="s">
        <v>2</v>
      </c>
      <c r="F1496" t="s">
        <v>1307</v>
      </c>
      <c r="G1496" t="s">
        <v>28</v>
      </c>
      <c r="H1496">
        <v>34233</v>
      </c>
      <c r="I1496" t="s">
        <v>1305</v>
      </c>
      <c r="J1496" t="s">
        <v>1306</v>
      </c>
      <c r="K1496" t="s">
        <v>2</v>
      </c>
      <c r="L1496" t="s">
        <v>1307</v>
      </c>
      <c r="M1496" t="s">
        <v>28</v>
      </c>
      <c r="N1496">
        <v>34233</v>
      </c>
      <c r="O1496" t="s">
        <v>1312</v>
      </c>
      <c r="P1496" t="s">
        <v>2156</v>
      </c>
      <c r="Q1496" t="s">
        <v>21</v>
      </c>
      <c r="R1496">
        <v>415290</v>
      </c>
      <c r="S1496" t="s">
        <v>84</v>
      </c>
      <c r="T1496" s="2">
        <v>207</v>
      </c>
      <c r="U1496">
        <v>0</v>
      </c>
      <c r="V1496" t="s">
        <v>260</v>
      </c>
      <c r="W1496">
        <v>0</v>
      </c>
      <c r="X1496">
        <v>0</v>
      </c>
      <c r="Y1496">
        <v>0</v>
      </c>
      <c r="Z1496" t="s">
        <v>88</v>
      </c>
      <c r="AA1496" t="s">
        <v>1740</v>
      </c>
      <c r="AB1496" t="s">
        <v>10</v>
      </c>
      <c r="AC1496">
        <v>0</v>
      </c>
      <c r="AD1496">
        <v>0</v>
      </c>
      <c r="AE1496">
        <v>726182084510</v>
      </c>
      <c r="AF1496">
        <v>399.61</v>
      </c>
      <c r="AG1496">
        <v>0</v>
      </c>
      <c r="AH1496">
        <v>15</v>
      </c>
      <c r="AI1496">
        <v>414.61</v>
      </c>
      <c r="AJ1496" t="s">
        <v>2</v>
      </c>
      <c r="AK1496" t="s">
        <v>11</v>
      </c>
    </row>
    <row r="1497" spans="1:37">
      <c r="A1497">
        <v>257688</v>
      </c>
      <c r="B1497" s="1">
        <v>45366</v>
      </c>
      <c r="C1497" t="s">
        <v>1305</v>
      </c>
      <c r="D1497" t="s">
        <v>1306</v>
      </c>
      <c r="E1497" t="s">
        <v>2</v>
      </c>
      <c r="F1497" t="s">
        <v>1307</v>
      </c>
      <c r="G1497" t="s">
        <v>28</v>
      </c>
      <c r="H1497">
        <v>34233</v>
      </c>
      <c r="I1497" t="s">
        <v>1305</v>
      </c>
      <c r="J1497" t="s">
        <v>1306</v>
      </c>
      <c r="K1497" t="s">
        <v>2</v>
      </c>
      <c r="L1497" t="s">
        <v>1307</v>
      </c>
      <c r="M1497" t="s">
        <v>28</v>
      </c>
      <c r="N1497">
        <v>34233</v>
      </c>
      <c r="O1497" t="s">
        <v>1312</v>
      </c>
      <c r="P1497" t="s">
        <v>2156</v>
      </c>
      <c r="Q1497" t="s">
        <v>21</v>
      </c>
      <c r="R1497">
        <v>415290</v>
      </c>
      <c r="S1497" t="s">
        <v>84</v>
      </c>
      <c r="T1497" s="2">
        <v>207</v>
      </c>
      <c r="U1497">
        <v>0</v>
      </c>
      <c r="V1497" t="s">
        <v>260</v>
      </c>
      <c r="W1497">
        <v>3</v>
      </c>
      <c r="X1497">
        <v>3</v>
      </c>
      <c r="Y1497">
        <v>0</v>
      </c>
      <c r="Z1497" t="s">
        <v>2355</v>
      </c>
      <c r="AA1497" t="s">
        <v>2356</v>
      </c>
      <c r="AB1497" t="s">
        <v>14</v>
      </c>
      <c r="AC1497">
        <v>2.14</v>
      </c>
      <c r="AD1497">
        <v>6.42</v>
      </c>
      <c r="AE1497">
        <v>726182084510</v>
      </c>
      <c r="AF1497">
        <v>399.61</v>
      </c>
      <c r="AG1497">
        <v>0</v>
      </c>
      <c r="AH1497">
        <v>15</v>
      </c>
      <c r="AI1497">
        <v>414.61</v>
      </c>
      <c r="AJ1497" t="s">
        <v>2</v>
      </c>
      <c r="AK1497" t="s">
        <v>11</v>
      </c>
    </row>
    <row r="1498" spans="1:37">
      <c r="A1498">
        <v>257688</v>
      </c>
      <c r="B1498" s="1">
        <v>45366</v>
      </c>
      <c r="C1498" t="s">
        <v>1305</v>
      </c>
      <c r="D1498" t="s">
        <v>1306</v>
      </c>
      <c r="E1498" t="s">
        <v>2</v>
      </c>
      <c r="F1498" t="s">
        <v>1307</v>
      </c>
      <c r="G1498" t="s">
        <v>28</v>
      </c>
      <c r="H1498">
        <v>34233</v>
      </c>
      <c r="I1498" t="s">
        <v>1305</v>
      </c>
      <c r="J1498" t="s">
        <v>1306</v>
      </c>
      <c r="K1498" t="s">
        <v>2</v>
      </c>
      <c r="L1498" t="s">
        <v>1307</v>
      </c>
      <c r="M1498" t="s">
        <v>28</v>
      </c>
      <c r="N1498">
        <v>34233</v>
      </c>
      <c r="O1498" t="s">
        <v>1312</v>
      </c>
      <c r="P1498" t="s">
        <v>2156</v>
      </c>
      <c r="Q1498" t="s">
        <v>21</v>
      </c>
      <c r="R1498">
        <v>415290</v>
      </c>
      <c r="S1498" t="s">
        <v>84</v>
      </c>
      <c r="T1498" s="2">
        <v>207</v>
      </c>
      <c r="U1498">
        <v>0</v>
      </c>
      <c r="V1498" t="s">
        <v>260</v>
      </c>
      <c r="W1498">
        <v>0</v>
      </c>
      <c r="X1498">
        <v>0</v>
      </c>
      <c r="Y1498">
        <v>0</v>
      </c>
      <c r="Z1498" t="s">
        <v>88</v>
      </c>
      <c r="AA1498" t="s">
        <v>1740</v>
      </c>
      <c r="AB1498" t="s">
        <v>10</v>
      </c>
      <c r="AC1498">
        <v>0</v>
      </c>
      <c r="AD1498">
        <v>0</v>
      </c>
      <c r="AE1498">
        <v>726182084510</v>
      </c>
      <c r="AF1498">
        <v>399.61</v>
      </c>
      <c r="AG1498">
        <v>0</v>
      </c>
      <c r="AH1498">
        <v>15</v>
      </c>
      <c r="AI1498">
        <v>414.61</v>
      </c>
      <c r="AJ1498" t="s">
        <v>2</v>
      </c>
      <c r="AK1498" t="s">
        <v>11</v>
      </c>
    </row>
    <row r="1499" spans="1:37">
      <c r="A1499">
        <v>257688</v>
      </c>
      <c r="B1499" s="1">
        <v>45366</v>
      </c>
      <c r="C1499" t="s">
        <v>1305</v>
      </c>
      <c r="D1499" t="s">
        <v>1306</v>
      </c>
      <c r="E1499" t="s">
        <v>2</v>
      </c>
      <c r="F1499" t="s">
        <v>1307</v>
      </c>
      <c r="G1499" t="s">
        <v>28</v>
      </c>
      <c r="H1499">
        <v>34233</v>
      </c>
      <c r="I1499" t="s">
        <v>1305</v>
      </c>
      <c r="J1499" t="s">
        <v>1306</v>
      </c>
      <c r="K1499" t="s">
        <v>2</v>
      </c>
      <c r="L1499" t="s">
        <v>1307</v>
      </c>
      <c r="M1499" t="s">
        <v>28</v>
      </c>
      <c r="N1499">
        <v>34233</v>
      </c>
      <c r="O1499" t="s">
        <v>1312</v>
      </c>
      <c r="P1499" t="s">
        <v>2156</v>
      </c>
      <c r="Q1499" t="s">
        <v>21</v>
      </c>
      <c r="R1499">
        <v>415290</v>
      </c>
      <c r="S1499" t="s">
        <v>84</v>
      </c>
      <c r="T1499" s="2">
        <v>207</v>
      </c>
      <c r="U1499">
        <v>0</v>
      </c>
      <c r="V1499" t="s">
        <v>260</v>
      </c>
      <c r="W1499">
        <v>3</v>
      </c>
      <c r="X1499">
        <v>3</v>
      </c>
      <c r="Y1499">
        <v>0</v>
      </c>
      <c r="Z1499" t="s">
        <v>2357</v>
      </c>
      <c r="AA1499" t="s">
        <v>2358</v>
      </c>
      <c r="AB1499" t="s">
        <v>14</v>
      </c>
      <c r="AC1499">
        <v>2.14</v>
      </c>
      <c r="AD1499">
        <v>6.42</v>
      </c>
      <c r="AE1499">
        <v>726182084510</v>
      </c>
      <c r="AF1499">
        <v>399.61</v>
      </c>
      <c r="AG1499">
        <v>0</v>
      </c>
      <c r="AH1499">
        <v>15</v>
      </c>
      <c r="AI1499">
        <v>414.61</v>
      </c>
      <c r="AJ1499" t="s">
        <v>2</v>
      </c>
      <c r="AK1499" t="s">
        <v>11</v>
      </c>
    </row>
    <row r="1500" spans="1:37">
      <c r="A1500">
        <v>257688</v>
      </c>
      <c r="B1500" s="1">
        <v>45366</v>
      </c>
      <c r="C1500" t="s">
        <v>1305</v>
      </c>
      <c r="D1500" t="s">
        <v>1306</v>
      </c>
      <c r="E1500" t="s">
        <v>2</v>
      </c>
      <c r="F1500" t="s">
        <v>1307</v>
      </c>
      <c r="G1500" t="s">
        <v>28</v>
      </c>
      <c r="H1500">
        <v>34233</v>
      </c>
      <c r="I1500" t="s">
        <v>1305</v>
      </c>
      <c r="J1500" t="s">
        <v>1306</v>
      </c>
      <c r="K1500" t="s">
        <v>2</v>
      </c>
      <c r="L1500" t="s">
        <v>1307</v>
      </c>
      <c r="M1500" t="s">
        <v>28</v>
      </c>
      <c r="N1500">
        <v>34233</v>
      </c>
      <c r="O1500" t="s">
        <v>1312</v>
      </c>
      <c r="P1500" t="s">
        <v>2156</v>
      </c>
      <c r="Q1500" t="s">
        <v>21</v>
      </c>
      <c r="R1500">
        <v>415290</v>
      </c>
      <c r="S1500" t="s">
        <v>84</v>
      </c>
      <c r="T1500" s="2">
        <v>207</v>
      </c>
      <c r="U1500">
        <v>0</v>
      </c>
      <c r="V1500" t="s">
        <v>260</v>
      </c>
      <c r="W1500">
        <v>0</v>
      </c>
      <c r="X1500">
        <v>0</v>
      </c>
      <c r="Y1500">
        <v>0</v>
      </c>
      <c r="Z1500" t="s">
        <v>88</v>
      </c>
      <c r="AA1500" t="s">
        <v>1740</v>
      </c>
      <c r="AB1500" t="s">
        <v>10</v>
      </c>
      <c r="AC1500">
        <v>0</v>
      </c>
      <c r="AD1500">
        <v>0</v>
      </c>
      <c r="AE1500">
        <v>726182084510</v>
      </c>
      <c r="AF1500">
        <v>399.61</v>
      </c>
      <c r="AG1500">
        <v>0</v>
      </c>
      <c r="AH1500">
        <v>15</v>
      </c>
      <c r="AI1500">
        <v>414.61</v>
      </c>
      <c r="AJ1500" t="s">
        <v>2</v>
      </c>
      <c r="AK1500" t="s">
        <v>11</v>
      </c>
    </row>
    <row r="1501" spans="1:37">
      <c r="A1501">
        <v>257688</v>
      </c>
      <c r="B1501" s="1">
        <v>45366</v>
      </c>
      <c r="C1501" t="s">
        <v>1305</v>
      </c>
      <c r="D1501" t="s">
        <v>1306</v>
      </c>
      <c r="E1501" t="s">
        <v>2</v>
      </c>
      <c r="F1501" t="s">
        <v>1307</v>
      </c>
      <c r="G1501" t="s">
        <v>28</v>
      </c>
      <c r="H1501">
        <v>34233</v>
      </c>
      <c r="I1501" t="s">
        <v>1305</v>
      </c>
      <c r="J1501" t="s">
        <v>1306</v>
      </c>
      <c r="K1501" t="s">
        <v>2</v>
      </c>
      <c r="L1501" t="s">
        <v>1307</v>
      </c>
      <c r="M1501" t="s">
        <v>28</v>
      </c>
      <c r="N1501">
        <v>34233</v>
      </c>
      <c r="O1501" t="s">
        <v>1312</v>
      </c>
      <c r="P1501" t="s">
        <v>2156</v>
      </c>
      <c r="Q1501" t="s">
        <v>21</v>
      </c>
      <c r="R1501">
        <v>415290</v>
      </c>
      <c r="S1501" t="s">
        <v>84</v>
      </c>
      <c r="T1501" s="2">
        <v>207</v>
      </c>
      <c r="U1501">
        <v>0</v>
      </c>
      <c r="V1501" t="s">
        <v>260</v>
      </c>
      <c r="W1501">
        <v>3</v>
      </c>
      <c r="X1501">
        <v>3</v>
      </c>
      <c r="Y1501">
        <v>0</v>
      </c>
      <c r="Z1501" t="s">
        <v>2359</v>
      </c>
      <c r="AA1501" t="s">
        <v>2360</v>
      </c>
      <c r="AB1501" t="s">
        <v>14</v>
      </c>
      <c r="AC1501">
        <v>2.14</v>
      </c>
      <c r="AD1501">
        <v>6.42</v>
      </c>
      <c r="AE1501">
        <v>726182084510</v>
      </c>
      <c r="AF1501">
        <v>399.61</v>
      </c>
      <c r="AG1501">
        <v>0</v>
      </c>
      <c r="AH1501">
        <v>15</v>
      </c>
      <c r="AI1501">
        <v>414.61</v>
      </c>
      <c r="AJ1501" t="s">
        <v>2</v>
      </c>
      <c r="AK1501" t="s">
        <v>11</v>
      </c>
    </row>
    <row r="1502" spans="1:37">
      <c r="A1502">
        <v>257688</v>
      </c>
      <c r="B1502" s="1">
        <v>45366</v>
      </c>
      <c r="C1502" t="s">
        <v>1305</v>
      </c>
      <c r="D1502" t="s">
        <v>1306</v>
      </c>
      <c r="E1502" t="s">
        <v>2</v>
      </c>
      <c r="F1502" t="s">
        <v>1307</v>
      </c>
      <c r="G1502" t="s">
        <v>28</v>
      </c>
      <c r="H1502">
        <v>34233</v>
      </c>
      <c r="I1502" t="s">
        <v>1305</v>
      </c>
      <c r="J1502" t="s">
        <v>1306</v>
      </c>
      <c r="K1502" t="s">
        <v>2</v>
      </c>
      <c r="L1502" t="s">
        <v>1307</v>
      </c>
      <c r="M1502" t="s">
        <v>28</v>
      </c>
      <c r="N1502">
        <v>34233</v>
      </c>
      <c r="O1502" t="s">
        <v>1312</v>
      </c>
      <c r="P1502" t="s">
        <v>2156</v>
      </c>
      <c r="Q1502" t="s">
        <v>21</v>
      </c>
      <c r="R1502">
        <v>415290</v>
      </c>
      <c r="S1502" t="s">
        <v>84</v>
      </c>
      <c r="T1502" s="2">
        <v>207</v>
      </c>
      <c r="U1502">
        <v>0</v>
      </c>
      <c r="V1502" t="s">
        <v>260</v>
      </c>
      <c r="W1502">
        <v>0</v>
      </c>
      <c r="X1502">
        <v>0</v>
      </c>
      <c r="Y1502">
        <v>0</v>
      </c>
      <c r="Z1502" t="s">
        <v>88</v>
      </c>
      <c r="AA1502" t="s">
        <v>1740</v>
      </c>
      <c r="AB1502" t="s">
        <v>10</v>
      </c>
      <c r="AC1502">
        <v>0</v>
      </c>
      <c r="AD1502">
        <v>0</v>
      </c>
      <c r="AE1502">
        <v>726182084510</v>
      </c>
      <c r="AF1502">
        <v>399.61</v>
      </c>
      <c r="AG1502">
        <v>0</v>
      </c>
      <c r="AH1502">
        <v>15</v>
      </c>
      <c r="AI1502">
        <v>414.61</v>
      </c>
      <c r="AJ1502" t="s">
        <v>2</v>
      </c>
      <c r="AK1502" t="s">
        <v>11</v>
      </c>
    </row>
    <row r="1503" spans="1:37">
      <c r="A1503">
        <v>257688</v>
      </c>
      <c r="B1503" s="1">
        <v>45366</v>
      </c>
      <c r="C1503" t="s">
        <v>1305</v>
      </c>
      <c r="D1503" t="s">
        <v>1306</v>
      </c>
      <c r="E1503" t="s">
        <v>2</v>
      </c>
      <c r="F1503" t="s">
        <v>1307</v>
      </c>
      <c r="G1503" t="s">
        <v>28</v>
      </c>
      <c r="H1503">
        <v>34233</v>
      </c>
      <c r="I1503" t="s">
        <v>1305</v>
      </c>
      <c r="J1503" t="s">
        <v>1306</v>
      </c>
      <c r="K1503" t="s">
        <v>2</v>
      </c>
      <c r="L1503" t="s">
        <v>1307</v>
      </c>
      <c r="M1503" t="s">
        <v>28</v>
      </c>
      <c r="N1503">
        <v>34233</v>
      </c>
      <c r="O1503" t="s">
        <v>1312</v>
      </c>
      <c r="P1503" t="s">
        <v>2156</v>
      </c>
      <c r="Q1503" t="s">
        <v>21</v>
      </c>
      <c r="R1503">
        <v>415290</v>
      </c>
      <c r="S1503" t="s">
        <v>84</v>
      </c>
      <c r="T1503" s="2">
        <v>207</v>
      </c>
      <c r="U1503">
        <v>0</v>
      </c>
      <c r="V1503" t="s">
        <v>260</v>
      </c>
      <c r="W1503">
        <v>3</v>
      </c>
      <c r="X1503">
        <v>3</v>
      </c>
      <c r="Y1503">
        <v>0</v>
      </c>
      <c r="Z1503" t="s">
        <v>2361</v>
      </c>
      <c r="AA1503" t="s">
        <v>2362</v>
      </c>
      <c r="AB1503" t="s">
        <v>14</v>
      </c>
      <c r="AC1503">
        <v>2.14</v>
      </c>
      <c r="AD1503">
        <v>6.42</v>
      </c>
      <c r="AE1503">
        <v>726182084510</v>
      </c>
      <c r="AF1503">
        <v>399.61</v>
      </c>
      <c r="AG1503">
        <v>0</v>
      </c>
      <c r="AH1503">
        <v>15</v>
      </c>
      <c r="AI1503">
        <v>414.61</v>
      </c>
      <c r="AJ1503" t="s">
        <v>2</v>
      </c>
      <c r="AK1503" t="s">
        <v>11</v>
      </c>
    </row>
    <row r="1504" spans="1:37">
      <c r="A1504">
        <v>257688</v>
      </c>
      <c r="B1504" s="1">
        <v>45366</v>
      </c>
      <c r="C1504" t="s">
        <v>1305</v>
      </c>
      <c r="D1504" t="s">
        <v>1306</v>
      </c>
      <c r="E1504" t="s">
        <v>2</v>
      </c>
      <c r="F1504" t="s">
        <v>1307</v>
      </c>
      <c r="G1504" t="s">
        <v>28</v>
      </c>
      <c r="H1504">
        <v>34233</v>
      </c>
      <c r="I1504" t="s">
        <v>1305</v>
      </c>
      <c r="J1504" t="s">
        <v>1306</v>
      </c>
      <c r="K1504" t="s">
        <v>2</v>
      </c>
      <c r="L1504" t="s">
        <v>1307</v>
      </c>
      <c r="M1504" t="s">
        <v>28</v>
      </c>
      <c r="N1504">
        <v>34233</v>
      </c>
      <c r="O1504" t="s">
        <v>1312</v>
      </c>
      <c r="P1504" t="s">
        <v>2156</v>
      </c>
      <c r="Q1504" t="s">
        <v>21</v>
      </c>
      <c r="R1504">
        <v>415290</v>
      </c>
      <c r="S1504" t="s">
        <v>84</v>
      </c>
      <c r="T1504" s="2">
        <v>207</v>
      </c>
      <c r="U1504">
        <v>0</v>
      </c>
      <c r="V1504" t="s">
        <v>260</v>
      </c>
      <c r="W1504">
        <v>0</v>
      </c>
      <c r="X1504">
        <v>0</v>
      </c>
      <c r="Y1504">
        <v>0</v>
      </c>
      <c r="Z1504" t="s">
        <v>88</v>
      </c>
      <c r="AA1504" t="s">
        <v>1740</v>
      </c>
      <c r="AB1504" t="s">
        <v>10</v>
      </c>
      <c r="AC1504">
        <v>0</v>
      </c>
      <c r="AD1504">
        <v>0</v>
      </c>
      <c r="AE1504">
        <v>726182084510</v>
      </c>
      <c r="AF1504">
        <v>399.61</v>
      </c>
      <c r="AG1504">
        <v>0</v>
      </c>
      <c r="AH1504">
        <v>15</v>
      </c>
      <c r="AI1504">
        <v>414.61</v>
      </c>
      <c r="AJ1504" t="s">
        <v>2</v>
      </c>
      <c r="AK1504" t="s">
        <v>11</v>
      </c>
    </row>
    <row r="1505" spans="1:37">
      <c r="A1505">
        <v>257688</v>
      </c>
      <c r="B1505" s="1">
        <v>45366</v>
      </c>
      <c r="C1505" t="s">
        <v>1305</v>
      </c>
      <c r="D1505" t="s">
        <v>1306</v>
      </c>
      <c r="E1505" t="s">
        <v>2</v>
      </c>
      <c r="F1505" t="s">
        <v>1307</v>
      </c>
      <c r="G1505" t="s">
        <v>28</v>
      </c>
      <c r="H1505">
        <v>34233</v>
      </c>
      <c r="I1505" t="s">
        <v>1305</v>
      </c>
      <c r="J1505" t="s">
        <v>1306</v>
      </c>
      <c r="K1505" t="s">
        <v>2</v>
      </c>
      <c r="L1505" t="s">
        <v>1307</v>
      </c>
      <c r="M1505" t="s">
        <v>28</v>
      </c>
      <c r="N1505">
        <v>34233</v>
      </c>
      <c r="O1505" t="s">
        <v>1312</v>
      </c>
      <c r="P1505" t="s">
        <v>2156</v>
      </c>
      <c r="Q1505" t="s">
        <v>21</v>
      </c>
      <c r="R1505">
        <v>415290</v>
      </c>
      <c r="S1505" t="s">
        <v>84</v>
      </c>
      <c r="T1505" s="2">
        <v>207</v>
      </c>
      <c r="U1505">
        <v>0</v>
      </c>
      <c r="V1505" t="s">
        <v>260</v>
      </c>
      <c r="W1505">
        <v>3</v>
      </c>
      <c r="X1505">
        <v>3</v>
      </c>
      <c r="Y1505">
        <v>0</v>
      </c>
      <c r="Z1505" t="s">
        <v>2363</v>
      </c>
      <c r="AA1505" t="s">
        <v>2364</v>
      </c>
      <c r="AB1505" t="s">
        <v>14</v>
      </c>
      <c r="AC1505">
        <v>2.14</v>
      </c>
      <c r="AD1505">
        <v>6.42</v>
      </c>
      <c r="AE1505">
        <v>726182084510</v>
      </c>
      <c r="AF1505">
        <v>399.61</v>
      </c>
      <c r="AG1505">
        <v>0</v>
      </c>
      <c r="AH1505">
        <v>15</v>
      </c>
      <c r="AI1505">
        <v>414.61</v>
      </c>
      <c r="AJ1505" t="s">
        <v>2</v>
      </c>
      <c r="AK1505" t="s">
        <v>11</v>
      </c>
    </row>
    <row r="1506" spans="1:37">
      <c r="A1506">
        <v>257688</v>
      </c>
      <c r="B1506" s="1">
        <v>45366</v>
      </c>
      <c r="C1506" t="s">
        <v>1305</v>
      </c>
      <c r="D1506" t="s">
        <v>1306</v>
      </c>
      <c r="E1506" t="s">
        <v>2</v>
      </c>
      <c r="F1506" t="s">
        <v>1307</v>
      </c>
      <c r="G1506" t="s">
        <v>28</v>
      </c>
      <c r="H1506">
        <v>34233</v>
      </c>
      <c r="I1506" t="s">
        <v>1305</v>
      </c>
      <c r="J1506" t="s">
        <v>1306</v>
      </c>
      <c r="K1506" t="s">
        <v>2</v>
      </c>
      <c r="L1506" t="s">
        <v>1307</v>
      </c>
      <c r="M1506" t="s">
        <v>28</v>
      </c>
      <c r="N1506">
        <v>34233</v>
      </c>
      <c r="O1506" t="s">
        <v>1312</v>
      </c>
      <c r="P1506" t="s">
        <v>2156</v>
      </c>
      <c r="Q1506" t="s">
        <v>21</v>
      </c>
      <c r="R1506">
        <v>415290</v>
      </c>
      <c r="S1506" t="s">
        <v>84</v>
      </c>
      <c r="T1506" s="2">
        <v>207</v>
      </c>
      <c r="U1506">
        <v>0</v>
      </c>
      <c r="V1506" t="s">
        <v>260</v>
      </c>
      <c r="W1506">
        <v>0</v>
      </c>
      <c r="X1506">
        <v>0</v>
      </c>
      <c r="Y1506">
        <v>0</v>
      </c>
      <c r="Z1506" t="s">
        <v>88</v>
      </c>
      <c r="AA1506" t="s">
        <v>1740</v>
      </c>
      <c r="AB1506" t="s">
        <v>10</v>
      </c>
      <c r="AC1506">
        <v>0</v>
      </c>
      <c r="AD1506">
        <v>0</v>
      </c>
      <c r="AE1506">
        <v>726182084510</v>
      </c>
      <c r="AF1506">
        <v>399.61</v>
      </c>
      <c r="AG1506">
        <v>0</v>
      </c>
      <c r="AH1506">
        <v>15</v>
      </c>
      <c r="AI1506">
        <v>414.61</v>
      </c>
      <c r="AJ1506" t="s">
        <v>2</v>
      </c>
      <c r="AK1506" t="s">
        <v>11</v>
      </c>
    </row>
    <row r="1507" spans="1:37">
      <c r="A1507">
        <v>257688</v>
      </c>
      <c r="B1507" s="1">
        <v>45366</v>
      </c>
      <c r="C1507" t="s">
        <v>1305</v>
      </c>
      <c r="D1507" t="s">
        <v>1306</v>
      </c>
      <c r="E1507" t="s">
        <v>2</v>
      </c>
      <c r="F1507" t="s">
        <v>1307</v>
      </c>
      <c r="G1507" t="s">
        <v>28</v>
      </c>
      <c r="H1507">
        <v>34233</v>
      </c>
      <c r="I1507" t="s">
        <v>1305</v>
      </c>
      <c r="J1507" t="s">
        <v>1306</v>
      </c>
      <c r="K1507" t="s">
        <v>2</v>
      </c>
      <c r="L1507" t="s">
        <v>1307</v>
      </c>
      <c r="M1507" t="s">
        <v>28</v>
      </c>
      <c r="N1507">
        <v>34233</v>
      </c>
      <c r="O1507" t="s">
        <v>1312</v>
      </c>
      <c r="P1507" t="s">
        <v>2156</v>
      </c>
      <c r="Q1507" t="s">
        <v>21</v>
      </c>
      <c r="R1507">
        <v>415290</v>
      </c>
      <c r="S1507" t="s">
        <v>84</v>
      </c>
      <c r="T1507" s="2">
        <v>207</v>
      </c>
      <c r="U1507">
        <v>0</v>
      </c>
      <c r="V1507" t="s">
        <v>260</v>
      </c>
      <c r="W1507">
        <v>3</v>
      </c>
      <c r="X1507">
        <v>3</v>
      </c>
      <c r="Y1507">
        <v>0</v>
      </c>
      <c r="Z1507" t="s">
        <v>2365</v>
      </c>
      <c r="AA1507" t="s">
        <v>2366</v>
      </c>
      <c r="AB1507" t="s">
        <v>14</v>
      </c>
      <c r="AC1507">
        <v>2.14</v>
      </c>
      <c r="AD1507">
        <v>6.42</v>
      </c>
      <c r="AE1507">
        <v>726182084510</v>
      </c>
      <c r="AF1507">
        <v>399.61</v>
      </c>
      <c r="AG1507">
        <v>0</v>
      </c>
      <c r="AH1507">
        <v>15</v>
      </c>
      <c r="AI1507">
        <v>414.61</v>
      </c>
      <c r="AJ1507" t="s">
        <v>2</v>
      </c>
      <c r="AK1507" t="s">
        <v>11</v>
      </c>
    </row>
    <row r="1508" spans="1:37">
      <c r="A1508">
        <v>257688</v>
      </c>
      <c r="B1508" s="1">
        <v>45366</v>
      </c>
      <c r="C1508" t="s">
        <v>1305</v>
      </c>
      <c r="D1508" t="s">
        <v>1306</v>
      </c>
      <c r="E1508" t="s">
        <v>2</v>
      </c>
      <c r="F1508" t="s">
        <v>1307</v>
      </c>
      <c r="G1508" t="s">
        <v>28</v>
      </c>
      <c r="H1508">
        <v>34233</v>
      </c>
      <c r="I1508" t="s">
        <v>1305</v>
      </c>
      <c r="J1508" t="s">
        <v>1306</v>
      </c>
      <c r="K1508" t="s">
        <v>2</v>
      </c>
      <c r="L1508" t="s">
        <v>1307</v>
      </c>
      <c r="M1508" t="s">
        <v>28</v>
      </c>
      <c r="N1508">
        <v>34233</v>
      </c>
      <c r="O1508" t="s">
        <v>1312</v>
      </c>
      <c r="P1508" t="s">
        <v>2156</v>
      </c>
      <c r="Q1508" t="s">
        <v>21</v>
      </c>
      <c r="R1508">
        <v>415290</v>
      </c>
      <c r="S1508" t="s">
        <v>84</v>
      </c>
      <c r="T1508" s="2">
        <v>207</v>
      </c>
      <c r="U1508">
        <v>0</v>
      </c>
      <c r="V1508" t="s">
        <v>260</v>
      </c>
      <c r="W1508">
        <v>0</v>
      </c>
      <c r="X1508">
        <v>0</v>
      </c>
      <c r="Y1508">
        <v>0</v>
      </c>
      <c r="Z1508" t="s">
        <v>88</v>
      </c>
      <c r="AA1508" t="s">
        <v>1740</v>
      </c>
      <c r="AB1508" t="s">
        <v>10</v>
      </c>
      <c r="AC1508">
        <v>0</v>
      </c>
      <c r="AD1508">
        <v>0</v>
      </c>
      <c r="AE1508">
        <v>726182084510</v>
      </c>
      <c r="AF1508">
        <v>399.61</v>
      </c>
      <c r="AG1508">
        <v>0</v>
      </c>
      <c r="AH1508">
        <v>15</v>
      </c>
      <c r="AI1508">
        <v>414.61</v>
      </c>
      <c r="AJ1508" t="s">
        <v>2</v>
      </c>
      <c r="AK1508" t="s">
        <v>11</v>
      </c>
    </row>
    <row r="1509" spans="1:37">
      <c r="A1509">
        <v>257841</v>
      </c>
      <c r="B1509" s="1">
        <v>45366</v>
      </c>
      <c r="C1509" t="s">
        <v>1689</v>
      </c>
      <c r="D1509" t="s">
        <v>1690</v>
      </c>
      <c r="E1509" t="s">
        <v>1691</v>
      </c>
      <c r="F1509" t="s">
        <v>1692</v>
      </c>
      <c r="G1509" t="s">
        <v>75</v>
      </c>
      <c r="H1509" t="s">
        <v>1693</v>
      </c>
      <c r="I1509" t="s">
        <v>2367</v>
      </c>
      <c r="J1509" t="s">
        <v>2368</v>
      </c>
      <c r="K1509" t="s">
        <v>2</v>
      </c>
      <c r="L1509" t="s">
        <v>2369</v>
      </c>
      <c r="M1509" t="s">
        <v>75</v>
      </c>
      <c r="N1509">
        <v>55317</v>
      </c>
      <c r="O1509" t="s">
        <v>1697</v>
      </c>
      <c r="P1509" t="s">
        <v>2370</v>
      </c>
      <c r="Q1509" t="s">
        <v>1699</v>
      </c>
      <c r="R1509">
        <v>415229</v>
      </c>
      <c r="S1509" t="s">
        <v>1314</v>
      </c>
      <c r="T1509" s="2">
        <v>5</v>
      </c>
      <c r="U1509">
        <v>0</v>
      </c>
      <c r="V1509" t="s">
        <v>260</v>
      </c>
      <c r="W1509">
        <v>0</v>
      </c>
      <c r="X1509">
        <v>0</v>
      </c>
      <c r="Y1509">
        <v>0</v>
      </c>
      <c r="Z1509" t="s">
        <v>9</v>
      </c>
      <c r="AA1509" t="s">
        <v>2</v>
      </c>
      <c r="AB1509" t="s">
        <v>10</v>
      </c>
      <c r="AC1509">
        <v>0</v>
      </c>
      <c r="AD1509">
        <v>0</v>
      </c>
      <c r="AE1509">
        <v>726182084347</v>
      </c>
      <c r="AF1509">
        <v>11.36</v>
      </c>
      <c r="AG1509">
        <v>0</v>
      </c>
      <c r="AH1509">
        <v>15</v>
      </c>
      <c r="AI1509">
        <v>26.36</v>
      </c>
      <c r="AJ1509" t="s">
        <v>2</v>
      </c>
      <c r="AK1509" t="s">
        <v>11</v>
      </c>
    </row>
    <row r="1510" spans="1:37">
      <c r="A1510">
        <v>257841</v>
      </c>
      <c r="B1510" s="1">
        <v>45366</v>
      </c>
      <c r="C1510" t="s">
        <v>1689</v>
      </c>
      <c r="D1510" t="s">
        <v>1690</v>
      </c>
      <c r="E1510" t="s">
        <v>1691</v>
      </c>
      <c r="F1510" t="s">
        <v>1692</v>
      </c>
      <c r="G1510" t="s">
        <v>75</v>
      </c>
      <c r="H1510" t="s">
        <v>1693</v>
      </c>
      <c r="I1510" t="s">
        <v>2367</v>
      </c>
      <c r="J1510" t="s">
        <v>2368</v>
      </c>
      <c r="K1510" t="s">
        <v>2</v>
      </c>
      <c r="L1510" t="s">
        <v>2369</v>
      </c>
      <c r="M1510" t="s">
        <v>75</v>
      </c>
      <c r="N1510">
        <v>55317</v>
      </c>
      <c r="O1510" t="s">
        <v>1697</v>
      </c>
      <c r="P1510" t="s">
        <v>2370</v>
      </c>
      <c r="Q1510" t="s">
        <v>1699</v>
      </c>
      <c r="R1510">
        <v>415229</v>
      </c>
      <c r="S1510" t="s">
        <v>1314</v>
      </c>
      <c r="T1510" s="2">
        <v>5</v>
      </c>
      <c r="U1510">
        <v>0</v>
      </c>
      <c r="V1510" t="s">
        <v>260</v>
      </c>
      <c r="W1510">
        <v>1</v>
      </c>
      <c r="X1510">
        <v>1</v>
      </c>
      <c r="Y1510">
        <v>0</v>
      </c>
      <c r="Z1510" t="s">
        <v>2371</v>
      </c>
      <c r="AA1510" t="s">
        <v>2372</v>
      </c>
      <c r="AB1510" t="s">
        <v>14</v>
      </c>
      <c r="AC1510">
        <v>1.9</v>
      </c>
      <c r="AD1510">
        <v>1.9</v>
      </c>
      <c r="AE1510">
        <v>726182084347</v>
      </c>
      <c r="AF1510">
        <v>11.36</v>
      </c>
      <c r="AG1510">
        <v>0</v>
      </c>
      <c r="AH1510">
        <v>15</v>
      </c>
      <c r="AI1510">
        <v>26.36</v>
      </c>
      <c r="AJ1510" t="s">
        <v>2</v>
      </c>
      <c r="AK1510" t="s">
        <v>11</v>
      </c>
    </row>
    <row r="1511" spans="1:37">
      <c r="A1511">
        <v>257841</v>
      </c>
      <c r="B1511" s="1">
        <v>45366</v>
      </c>
      <c r="C1511" t="s">
        <v>1689</v>
      </c>
      <c r="D1511" t="s">
        <v>1690</v>
      </c>
      <c r="E1511" t="s">
        <v>1691</v>
      </c>
      <c r="F1511" t="s">
        <v>1692</v>
      </c>
      <c r="G1511" t="s">
        <v>75</v>
      </c>
      <c r="H1511" t="s">
        <v>1693</v>
      </c>
      <c r="I1511" t="s">
        <v>2367</v>
      </c>
      <c r="J1511" t="s">
        <v>2368</v>
      </c>
      <c r="K1511" t="s">
        <v>2</v>
      </c>
      <c r="L1511" t="s">
        <v>2369</v>
      </c>
      <c r="M1511" t="s">
        <v>75</v>
      </c>
      <c r="N1511">
        <v>55317</v>
      </c>
      <c r="O1511" t="s">
        <v>1697</v>
      </c>
      <c r="P1511" t="s">
        <v>2370</v>
      </c>
      <c r="Q1511" t="s">
        <v>1699</v>
      </c>
      <c r="R1511">
        <v>415229</v>
      </c>
      <c r="S1511" t="s">
        <v>1314</v>
      </c>
      <c r="T1511" s="2">
        <v>5</v>
      </c>
      <c r="U1511">
        <v>0</v>
      </c>
      <c r="V1511" t="s">
        <v>260</v>
      </c>
      <c r="W1511">
        <v>0</v>
      </c>
      <c r="X1511">
        <v>0</v>
      </c>
      <c r="Y1511">
        <v>0</v>
      </c>
      <c r="Z1511" t="s">
        <v>88</v>
      </c>
      <c r="AA1511" t="s">
        <v>1732</v>
      </c>
      <c r="AB1511" t="s">
        <v>10</v>
      </c>
      <c r="AC1511">
        <v>0</v>
      </c>
      <c r="AD1511">
        <v>0</v>
      </c>
      <c r="AE1511">
        <v>726182084347</v>
      </c>
      <c r="AF1511">
        <v>11.36</v>
      </c>
      <c r="AG1511">
        <v>0</v>
      </c>
      <c r="AH1511">
        <v>15</v>
      </c>
      <c r="AI1511">
        <v>26.36</v>
      </c>
      <c r="AJ1511" t="s">
        <v>2</v>
      </c>
      <c r="AK1511" t="s">
        <v>11</v>
      </c>
    </row>
    <row r="1512" spans="1:37">
      <c r="A1512">
        <v>257841</v>
      </c>
      <c r="B1512" s="1">
        <v>45366</v>
      </c>
      <c r="C1512" t="s">
        <v>1689</v>
      </c>
      <c r="D1512" t="s">
        <v>1690</v>
      </c>
      <c r="E1512" t="s">
        <v>1691</v>
      </c>
      <c r="F1512" t="s">
        <v>1692</v>
      </c>
      <c r="G1512" t="s">
        <v>75</v>
      </c>
      <c r="H1512" t="s">
        <v>1693</v>
      </c>
      <c r="I1512" t="s">
        <v>2367</v>
      </c>
      <c r="J1512" t="s">
        <v>2368</v>
      </c>
      <c r="K1512" t="s">
        <v>2</v>
      </c>
      <c r="L1512" t="s">
        <v>2369</v>
      </c>
      <c r="M1512" t="s">
        <v>75</v>
      </c>
      <c r="N1512">
        <v>55317</v>
      </c>
      <c r="O1512" t="s">
        <v>1697</v>
      </c>
      <c r="P1512" t="s">
        <v>2370</v>
      </c>
      <c r="Q1512" t="s">
        <v>1699</v>
      </c>
      <c r="R1512">
        <v>415229</v>
      </c>
      <c r="S1512" t="s">
        <v>1314</v>
      </c>
      <c r="T1512" s="2">
        <v>5</v>
      </c>
      <c r="U1512">
        <v>0</v>
      </c>
      <c r="V1512" t="s">
        <v>260</v>
      </c>
      <c r="W1512">
        <v>1</v>
      </c>
      <c r="X1512">
        <v>1</v>
      </c>
      <c r="Y1512">
        <v>0</v>
      </c>
      <c r="Z1512" t="s">
        <v>2373</v>
      </c>
      <c r="AA1512" t="s">
        <v>2374</v>
      </c>
      <c r="AB1512" t="s">
        <v>14</v>
      </c>
      <c r="AC1512">
        <v>1.9</v>
      </c>
      <c r="AD1512">
        <v>1.9</v>
      </c>
      <c r="AE1512">
        <v>726182084347</v>
      </c>
      <c r="AF1512">
        <v>11.36</v>
      </c>
      <c r="AG1512">
        <v>0</v>
      </c>
      <c r="AH1512">
        <v>15</v>
      </c>
      <c r="AI1512">
        <v>26.36</v>
      </c>
      <c r="AJ1512" t="s">
        <v>2</v>
      </c>
      <c r="AK1512" t="s">
        <v>11</v>
      </c>
    </row>
    <row r="1513" spans="1:37">
      <c r="A1513">
        <v>257841</v>
      </c>
      <c r="B1513" s="1">
        <v>45366</v>
      </c>
      <c r="C1513" t="s">
        <v>1689</v>
      </c>
      <c r="D1513" t="s">
        <v>1690</v>
      </c>
      <c r="E1513" t="s">
        <v>1691</v>
      </c>
      <c r="F1513" t="s">
        <v>1692</v>
      </c>
      <c r="G1513" t="s">
        <v>75</v>
      </c>
      <c r="H1513" t="s">
        <v>1693</v>
      </c>
      <c r="I1513" t="s">
        <v>2367</v>
      </c>
      <c r="J1513" t="s">
        <v>2368</v>
      </c>
      <c r="K1513" t="s">
        <v>2</v>
      </c>
      <c r="L1513" t="s">
        <v>2369</v>
      </c>
      <c r="M1513" t="s">
        <v>75</v>
      </c>
      <c r="N1513">
        <v>55317</v>
      </c>
      <c r="O1513" t="s">
        <v>1697</v>
      </c>
      <c r="P1513" t="s">
        <v>2370</v>
      </c>
      <c r="Q1513" t="s">
        <v>1699</v>
      </c>
      <c r="R1513">
        <v>415229</v>
      </c>
      <c r="S1513" t="s">
        <v>1314</v>
      </c>
      <c r="T1513" s="2">
        <v>5</v>
      </c>
      <c r="U1513">
        <v>0</v>
      </c>
      <c r="V1513" t="s">
        <v>260</v>
      </c>
      <c r="W1513">
        <v>0</v>
      </c>
      <c r="X1513">
        <v>0</v>
      </c>
      <c r="Y1513">
        <v>0</v>
      </c>
      <c r="Z1513" t="s">
        <v>88</v>
      </c>
      <c r="AA1513" t="s">
        <v>1732</v>
      </c>
      <c r="AB1513" t="s">
        <v>10</v>
      </c>
      <c r="AC1513">
        <v>0</v>
      </c>
      <c r="AD1513">
        <v>0</v>
      </c>
      <c r="AE1513">
        <v>726182084347</v>
      </c>
      <c r="AF1513">
        <v>11.36</v>
      </c>
      <c r="AG1513">
        <v>0</v>
      </c>
      <c r="AH1513">
        <v>15</v>
      </c>
      <c r="AI1513">
        <v>26.36</v>
      </c>
      <c r="AJ1513" t="s">
        <v>2</v>
      </c>
      <c r="AK1513" t="s">
        <v>11</v>
      </c>
    </row>
    <row r="1514" spans="1:37">
      <c r="A1514">
        <v>257841</v>
      </c>
      <c r="B1514" s="1">
        <v>45366</v>
      </c>
      <c r="C1514" t="s">
        <v>1689</v>
      </c>
      <c r="D1514" t="s">
        <v>1690</v>
      </c>
      <c r="E1514" t="s">
        <v>1691</v>
      </c>
      <c r="F1514" t="s">
        <v>1692</v>
      </c>
      <c r="G1514" t="s">
        <v>75</v>
      </c>
      <c r="H1514" t="s">
        <v>1693</v>
      </c>
      <c r="I1514" t="s">
        <v>2367</v>
      </c>
      <c r="J1514" t="s">
        <v>2368</v>
      </c>
      <c r="K1514" t="s">
        <v>2</v>
      </c>
      <c r="L1514" t="s">
        <v>2369</v>
      </c>
      <c r="M1514" t="s">
        <v>75</v>
      </c>
      <c r="N1514">
        <v>55317</v>
      </c>
      <c r="O1514" t="s">
        <v>1697</v>
      </c>
      <c r="P1514" t="s">
        <v>2370</v>
      </c>
      <c r="Q1514" t="s">
        <v>1699</v>
      </c>
      <c r="R1514">
        <v>415229</v>
      </c>
      <c r="S1514" t="s">
        <v>1314</v>
      </c>
      <c r="T1514" s="2">
        <v>5</v>
      </c>
      <c r="U1514">
        <v>0</v>
      </c>
      <c r="V1514" t="s">
        <v>260</v>
      </c>
      <c r="W1514">
        <v>1</v>
      </c>
      <c r="X1514">
        <v>1</v>
      </c>
      <c r="Y1514">
        <v>0</v>
      </c>
      <c r="Z1514" t="s">
        <v>1904</v>
      </c>
      <c r="AA1514" t="s">
        <v>1905</v>
      </c>
      <c r="AB1514" t="s">
        <v>14</v>
      </c>
      <c r="AC1514">
        <v>1.9</v>
      </c>
      <c r="AD1514">
        <v>1.9</v>
      </c>
      <c r="AE1514">
        <v>726182084347</v>
      </c>
      <c r="AF1514">
        <v>11.36</v>
      </c>
      <c r="AG1514">
        <v>0</v>
      </c>
      <c r="AH1514">
        <v>15</v>
      </c>
      <c r="AI1514">
        <v>26.36</v>
      </c>
      <c r="AJ1514" t="s">
        <v>2</v>
      </c>
      <c r="AK1514" t="s">
        <v>11</v>
      </c>
    </row>
    <row r="1515" spans="1:37">
      <c r="A1515">
        <v>257841</v>
      </c>
      <c r="B1515" s="1">
        <v>45366</v>
      </c>
      <c r="C1515" t="s">
        <v>1689</v>
      </c>
      <c r="D1515" t="s">
        <v>1690</v>
      </c>
      <c r="E1515" t="s">
        <v>1691</v>
      </c>
      <c r="F1515" t="s">
        <v>1692</v>
      </c>
      <c r="G1515" t="s">
        <v>75</v>
      </c>
      <c r="H1515" t="s">
        <v>1693</v>
      </c>
      <c r="I1515" t="s">
        <v>2367</v>
      </c>
      <c r="J1515" t="s">
        <v>2368</v>
      </c>
      <c r="K1515" t="s">
        <v>2</v>
      </c>
      <c r="L1515" t="s">
        <v>2369</v>
      </c>
      <c r="M1515" t="s">
        <v>75</v>
      </c>
      <c r="N1515">
        <v>55317</v>
      </c>
      <c r="O1515" t="s">
        <v>1697</v>
      </c>
      <c r="P1515" t="s">
        <v>2370</v>
      </c>
      <c r="Q1515" t="s">
        <v>1699</v>
      </c>
      <c r="R1515">
        <v>415229</v>
      </c>
      <c r="S1515" t="s">
        <v>1314</v>
      </c>
      <c r="T1515" s="2">
        <v>5</v>
      </c>
      <c r="U1515">
        <v>0</v>
      </c>
      <c r="V1515" t="s">
        <v>260</v>
      </c>
      <c r="W1515">
        <v>0</v>
      </c>
      <c r="X1515">
        <v>0</v>
      </c>
      <c r="Y1515">
        <v>0</v>
      </c>
      <c r="Z1515" t="s">
        <v>88</v>
      </c>
      <c r="AA1515" t="s">
        <v>1732</v>
      </c>
      <c r="AB1515" t="s">
        <v>10</v>
      </c>
      <c r="AC1515">
        <v>0</v>
      </c>
      <c r="AD1515">
        <v>0</v>
      </c>
      <c r="AE1515">
        <v>726182084347</v>
      </c>
      <c r="AF1515">
        <v>11.36</v>
      </c>
      <c r="AG1515">
        <v>0</v>
      </c>
      <c r="AH1515">
        <v>15</v>
      </c>
      <c r="AI1515">
        <v>26.36</v>
      </c>
      <c r="AJ1515" t="s">
        <v>2</v>
      </c>
      <c r="AK1515" t="s">
        <v>11</v>
      </c>
    </row>
    <row r="1516" spans="1:37">
      <c r="A1516">
        <v>257841</v>
      </c>
      <c r="B1516" s="1">
        <v>45366</v>
      </c>
      <c r="C1516" t="s">
        <v>1689</v>
      </c>
      <c r="D1516" t="s">
        <v>1690</v>
      </c>
      <c r="E1516" t="s">
        <v>1691</v>
      </c>
      <c r="F1516" t="s">
        <v>1692</v>
      </c>
      <c r="G1516" t="s">
        <v>75</v>
      </c>
      <c r="H1516" t="s">
        <v>1693</v>
      </c>
      <c r="I1516" t="s">
        <v>2367</v>
      </c>
      <c r="J1516" t="s">
        <v>2368</v>
      </c>
      <c r="K1516" t="s">
        <v>2</v>
      </c>
      <c r="L1516" t="s">
        <v>2369</v>
      </c>
      <c r="M1516" t="s">
        <v>75</v>
      </c>
      <c r="N1516">
        <v>55317</v>
      </c>
      <c r="O1516" t="s">
        <v>1697</v>
      </c>
      <c r="P1516" t="s">
        <v>2370</v>
      </c>
      <c r="Q1516" t="s">
        <v>1699</v>
      </c>
      <c r="R1516">
        <v>415229</v>
      </c>
      <c r="S1516" t="s">
        <v>1314</v>
      </c>
      <c r="T1516" s="2">
        <v>5</v>
      </c>
      <c r="U1516">
        <v>0</v>
      </c>
      <c r="V1516" t="s">
        <v>260</v>
      </c>
      <c r="W1516">
        <v>1</v>
      </c>
      <c r="X1516">
        <v>1</v>
      </c>
      <c r="Y1516">
        <v>0</v>
      </c>
      <c r="Z1516" t="s">
        <v>2375</v>
      </c>
      <c r="AA1516" t="s">
        <v>2376</v>
      </c>
      <c r="AB1516" t="s">
        <v>14</v>
      </c>
      <c r="AC1516">
        <v>2.83</v>
      </c>
      <c r="AD1516">
        <v>2.83</v>
      </c>
      <c r="AE1516">
        <v>726182084347</v>
      </c>
      <c r="AF1516">
        <v>11.36</v>
      </c>
      <c r="AG1516">
        <v>0</v>
      </c>
      <c r="AH1516">
        <v>15</v>
      </c>
      <c r="AI1516">
        <v>26.36</v>
      </c>
      <c r="AJ1516" t="s">
        <v>2</v>
      </c>
      <c r="AK1516" t="s">
        <v>11</v>
      </c>
    </row>
    <row r="1517" spans="1:37">
      <c r="A1517">
        <v>257841</v>
      </c>
      <c r="B1517" s="1">
        <v>45366</v>
      </c>
      <c r="C1517" t="s">
        <v>1689</v>
      </c>
      <c r="D1517" t="s">
        <v>1690</v>
      </c>
      <c r="E1517" t="s">
        <v>1691</v>
      </c>
      <c r="F1517" t="s">
        <v>1692</v>
      </c>
      <c r="G1517" t="s">
        <v>75</v>
      </c>
      <c r="H1517" t="s">
        <v>1693</v>
      </c>
      <c r="I1517" t="s">
        <v>2367</v>
      </c>
      <c r="J1517" t="s">
        <v>2368</v>
      </c>
      <c r="K1517" t="s">
        <v>2</v>
      </c>
      <c r="L1517" t="s">
        <v>2369</v>
      </c>
      <c r="M1517" t="s">
        <v>75</v>
      </c>
      <c r="N1517">
        <v>55317</v>
      </c>
      <c r="O1517" t="s">
        <v>1697</v>
      </c>
      <c r="P1517" t="s">
        <v>2370</v>
      </c>
      <c r="Q1517" t="s">
        <v>1699</v>
      </c>
      <c r="R1517">
        <v>415229</v>
      </c>
      <c r="S1517" t="s">
        <v>1314</v>
      </c>
      <c r="T1517" s="2">
        <v>5</v>
      </c>
      <c r="U1517">
        <v>0</v>
      </c>
      <c r="V1517" t="s">
        <v>260</v>
      </c>
      <c r="W1517">
        <v>0</v>
      </c>
      <c r="X1517">
        <v>0</v>
      </c>
      <c r="Y1517">
        <v>0</v>
      </c>
      <c r="Z1517" t="s">
        <v>88</v>
      </c>
      <c r="AA1517" t="s">
        <v>434</v>
      </c>
      <c r="AB1517" t="s">
        <v>10</v>
      </c>
      <c r="AC1517">
        <v>0</v>
      </c>
      <c r="AD1517">
        <v>0</v>
      </c>
      <c r="AE1517">
        <v>726182084347</v>
      </c>
      <c r="AF1517">
        <v>11.36</v>
      </c>
      <c r="AG1517">
        <v>0</v>
      </c>
      <c r="AH1517">
        <v>15</v>
      </c>
      <c r="AI1517">
        <v>26.36</v>
      </c>
      <c r="AJ1517" t="s">
        <v>2</v>
      </c>
      <c r="AK1517" t="s">
        <v>11</v>
      </c>
    </row>
    <row r="1518" spans="1:37">
      <c r="A1518">
        <v>257841</v>
      </c>
      <c r="B1518" s="1">
        <v>45366</v>
      </c>
      <c r="C1518" t="s">
        <v>1689</v>
      </c>
      <c r="D1518" t="s">
        <v>1690</v>
      </c>
      <c r="E1518" t="s">
        <v>1691</v>
      </c>
      <c r="F1518" t="s">
        <v>1692</v>
      </c>
      <c r="G1518" t="s">
        <v>75</v>
      </c>
      <c r="H1518" t="s">
        <v>1693</v>
      </c>
      <c r="I1518" t="s">
        <v>2367</v>
      </c>
      <c r="J1518" t="s">
        <v>2368</v>
      </c>
      <c r="K1518" t="s">
        <v>2</v>
      </c>
      <c r="L1518" t="s">
        <v>2369</v>
      </c>
      <c r="M1518" t="s">
        <v>75</v>
      </c>
      <c r="N1518">
        <v>55317</v>
      </c>
      <c r="O1518" t="s">
        <v>1697</v>
      </c>
      <c r="P1518" t="s">
        <v>2370</v>
      </c>
      <c r="Q1518" t="s">
        <v>1699</v>
      </c>
      <c r="R1518">
        <v>415229</v>
      </c>
      <c r="S1518" t="s">
        <v>1314</v>
      </c>
      <c r="T1518" s="2">
        <v>5</v>
      </c>
      <c r="U1518">
        <v>0</v>
      </c>
      <c r="V1518" t="s">
        <v>260</v>
      </c>
      <c r="W1518">
        <v>1</v>
      </c>
      <c r="X1518">
        <v>1</v>
      </c>
      <c r="Y1518">
        <v>0</v>
      </c>
      <c r="Z1518" t="s">
        <v>2377</v>
      </c>
      <c r="AA1518" t="s">
        <v>2378</v>
      </c>
      <c r="AB1518" t="s">
        <v>14</v>
      </c>
      <c r="AC1518">
        <v>2.83</v>
      </c>
      <c r="AD1518">
        <v>2.83</v>
      </c>
      <c r="AE1518">
        <v>726182084347</v>
      </c>
      <c r="AF1518">
        <v>11.36</v>
      </c>
      <c r="AG1518">
        <v>0</v>
      </c>
      <c r="AH1518">
        <v>15</v>
      </c>
      <c r="AI1518">
        <v>26.36</v>
      </c>
      <c r="AJ1518" t="s">
        <v>2</v>
      </c>
      <c r="AK1518" t="s">
        <v>11</v>
      </c>
    </row>
    <row r="1519" spans="1:37">
      <c r="A1519">
        <v>257841</v>
      </c>
      <c r="B1519" s="1">
        <v>45366</v>
      </c>
      <c r="C1519" t="s">
        <v>1689</v>
      </c>
      <c r="D1519" t="s">
        <v>1690</v>
      </c>
      <c r="E1519" t="s">
        <v>1691</v>
      </c>
      <c r="F1519" t="s">
        <v>1692</v>
      </c>
      <c r="G1519" t="s">
        <v>75</v>
      </c>
      <c r="H1519" t="s">
        <v>1693</v>
      </c>
      <c r="I1519" t="s">
        <v>2367</v>
      </c>
      <c r="J1519" t="s">
        <v>2368</v>
      </c>
      <c r="K1519" t="s">
        <v>2</v>
      </c>
      <c r="L1519" t="s">
        <v>2369</v>
      </c>
      <c r="M1519" t="s">
        <v>75</v>
      </c>
      <c r="N1519">
        <v>55317</v>
      </c>
      <c r="O1519" t="s">
        <v>1697</v>
      </c>
      <c r="P1519" t="s">
        <v>2370</v>
      </c>
      <c r="Q1519" t="s">
        <v>1699</v>
      </c>
      <c r="R1519">
        <v>415229</v>
      </c>
      <c r="S1519" t="s">
        <v>1314</v>
      </c>
      <c r="T1519" s="2">
        <v>5</v>
      </c>
      <c r="U1519">
        <v>0</v>
      </c>
      <c r="V1519" t="s">
        <v>260</v>
      </c>
      <c r="W1519">
        <v>0</v>
      </c>
      <c r="X1519">
        <v>0</v>
      </c>
      <c r="Y1519">
        <v>0</v>
      </c>
      <c r="Z1519" t="s">
        <v>88</v>
      </c>
      <c r="AA1519" t="s">
        <v>434</v>
      </c>
      <c r="AB1519" t="s">
        <v>10</v>
      </c>
      <c r="AC1519">
        <v>0</v>
      </c>
      <c r="AD1519">
        <v>0</v>
      </c>
      <c r="AE1519">
        <v>726182084347</v>
      </c>
      <c r="AF1519">
        <v>11.36</v>
      </c>
      <c r="AG1519">
        <v>0</v>
      </c>
      <c r="AH1519">
        <v>15</v>
      </c>
      <c r="AI1519">
        <v>26.36</v>
      </c>
      <c r="AJ1519" t="s">
        <v>2</v>
      </c>
      <c r="AK1519" t="s">
        <v>11</v>
      </c>
    </row>
    <row r="1520" spans="1:37">
      <c r="A1520">
        <v>257841</v>
      </c>
      <c r="B1520" s="1">
        <v>45366</v>
      </c>
      <c r="C1520" t="s">
        <v>1689</v>
      </c>
      <c r="D1520" t="s">
        <v>1690</v>
      </c>
      <c r="E1520" t="s">
        <v>1691</v>
      </c>
      <c r="F1520" t="s">
        <v>1692</v>
      </c>
      <c r="G1520" t="s">
        <v>75</v>
      </c>
      <c r="H1520" t="s">
        <v>1693</v>
      </c>
      <c r="I1520" t="s">
        <v>2367</v>
      </c>
      <c r="J1520" t="s">
        <v>2368</v>
      </c>
      <c r="K1520" t="s">
        <v>2</v>
      </c>
      <c r="L1520" t="s">
        <v>2369</v>
      </c>
      <c r="M1520" t="s">
        <v>75</v>
      </c>
      <c r="N1520">
        <v>55317</v>
      </c>
      <c r="O1520" t="s">
        <v>1697</v>
      </c>
      <c r="P1520" t="s">
        <v>2370</v>
      </c>
      <c r="Q1520" t="s">
        <v>1699</v>
      </c>
      <c r="R1520">
        <v>415229</v>
      </c>
      <c r="S1520" t="s">
        <v>1314</v>
      </c>
      <c r="T1520" s="2">
        <v>5</v>
      </c>
      <c r="U1520">
        <v>0</v>
      </c>
      <c r="V1520" t="s">
        <v>260</v>
      </c>
      <c r="W1520">
        <v>0</v>
      </c>
      <c r="X1520">
        <v>0</v>
      </c>
      <c r="Y1520">
        <v>0</v>
      </c>
      <c r="Z1520" t="s">
        <v>88</v>
      </c>
      <c r="AA1520" t="s">
        <v>2</v>
      </c>
      <c r="AB1520" t="s">
        <v>10</v>
      </c>
      <c r="AC1520">
        <v>0</v>
      </c>
      <c r="AD1520">
        <v>0</v>
      </c>
      <c r="AE1520">
        <v>726182084347</v>
      </c>
      <c r="AF1520">
        <v>11.36</v>
      </c>
      <c r="AG1520">
        <v>0</v>
      </c>
      <c r="AH1520">
        <v>15</v>
      </c>
      <c r="AI1520">
        <v>26.36</v>
      </c>
      <c r="AJ1520" t="s">
        <v>2</v>
      </c>
      <c r="AK1520" t="s">
        <v>11</v>
      </c>
    </row>
    <row r="1521" spans="1:37">
      <c r="A1521">
        <v>257841</v>
      </c>
      <c r="B1521" s="1">
        <v>45366</v>
      </c>
      <c r="C1521" t="s">
        <v>1689</v>
      </c>
      <c r="D1521" t="s">
        <v>1690</v>
      </c>
      <c r="E1521" t="s">
        <v>1691</v>
      </c>
      <c r="F1521" t="s">
        <v>1692</v>
      </c>
      <c r="G1521" t="s">
        <v>75</v>
      </c>
      <c r="H1521" t="s">
        <v>1693</v>
      </c>
      <c r="I1521" t="s">
        <v>2367</v>
      </c>
      <c r="J1521" t="s">
        <v>2368</v>
      </c>
      <c r="K1521" t="s">
        <v>2</v>
      </c>
      <c r="L1521" t="s">
        <v>2369</v>
      </c>
      <c r="M1521" t="s">
        <v>75</v>
      </c>
      <c r="N1521">
        <v>55317</v>
      </c>
      <c r="O1521" t="s">
        <v>1697</v>
      </c>
      <c r="P1521" t="s">
        <v>2370</v>
      </c>
      <c r="Q1521" t="s">
        <v>1699</v>
      </c>
      <c r="R1521">
        <v>415229</v>
      </c>
      <c r="S1521" t="s">
        <v>1314</v>
      </c>
      <c r="T1521" s="2">
        <v>5</v>
      </c>
      <c r="U1521">
        <v>0</v>
      </c>
      <c r="V1521" t="s">
        <v>260</v>
      </c>
      <c r="W1521">
        <v>0</v>
      </c>
      <c r="X1521">
        <v>0</v>
      </c>
      <c r="Y1521">
        <v>0</v>
      </c>
      <c r="Z1521" t="s">
        <v>88</v>
      </c>
      <c r="AA1521" t="s">
        <v>2379</v>
      </c>
      <c r="AB1521" t="s">
        <v>10</v>
      </c>
      <c r="AC1521">
        <v>0</v>
      </c>
      <c r="AD1521">
        <v>0</v>
      </c>
      <c r="AE1521">
        <v>726182084347</v>
      </c>
      <c r="AF1521">
        <v>11.36</v>
      </c>
      <c r="AG1521">
        <v>0</v>
      </c>
      <c r="AH1521">
        <v>15</v>
      </c>
      <c r="AI1521">
        <v>26.36</v>
      </c>
      <c r="AJ1521" t="s">
        <v>2</v>
      </c>
      <c r="AK1521" t="s">
        <v>11</v>
      </c>
    </row>
    <row r="1522" spans="1:37">
      <c r="A1522">
        <v>257841</v>
      </c>
      <c r="B1522" s="1">
        <v>45366</v>
      </c>
      <c r="C1522" t="s">
        <v>1689</v>
      </c>
      <c r="D1522" t="s">
        <v>1690</v>
      </c>
      <c r="E1522" t="s">
        <v>1691</v>
      </c>
      <c r="F1522" t="s">
        <v>1692</v>
      </c>
      <c r="G1522" t="s">
        <v>75</v>
      </c>
      <c r="H1522" t="s">
        <v>1693</v>
      </c>
      <c r="I1522" t="s">
        <v>2367</v>
      </c>
      <c r="J1522" t="s">
        <v>2368</v>
      </c>
      <c r="K1522" t="s">
        <v>2</v>
      </c>
      <c r="L1522" t="s">
        <v>2369</v>
      </c>
      <c r="M1522" t="s">
        <v>75</v>
      </c>
      <c r="N1522">
        <v>55317</v>
      </c>
      <c r="O1522" t="s">
        <v>1697</v>
      </c>
      <c r="P1522" t="s">
        <v>2370</v>
      </c>
      <c r="Q1522" t="s">
        <v>1699</v>
      </c>
      <c r="R1522">
        <v>415229</v>
      </c>
      <c r="S1522" t="s">
        <v>1314</v>
      </c>
      <c r="T1522" s="2">
        <v>5</v>
      </c>
      <c r="U1522">
        <v>0</v>
      </c>
      <c r="V1522" t="s">
        <v>260</v>
      </c>
      <c r="W1522">
        <v>0</v>
      </c>
      <c r="X1522">
        <v>0</v>
      </c>
      <c r="Y1522">
        <v>0</v>
      </c>
      <c r="Z1522" t="s">
        <v>88</v>
      </c>
      <c r="AA1522" t="s">
        <v>2</v>
      </c>
      <c r="AB1522" t="s">
        <v>10</v>
      </c>
      <c r="AC1522">
        <v>0</v>
      </c>
      <c r="AD1522">
        <v>0</v>
      </c>
      <c r="AE1522">
        <v>726182084347</v>
      </c>
      <c r="AF1522">
        <v>11.36</v>
      </c>
      <c r="AG1522">
        <v>0</v>
      </c>
      <c r="AH1522">
        <v>15</v>
      </c>
      <c r="AI1522">
        <v>26.36</v>
      </c>
      <c r="AJ1522" t="s">
        <v>2</v>
      </c>
      <c r="AK1522" t="s">
        <v>11</v>
      </c>
    </row>
    <row r="1523" spans="1:37">
      <c r="A1523">
        <v>257841</v>
      </c>
      <c r="B1523" s="1">
        <v>45366</v>
      </c>
      <c r="C1523" t="s">
        <v>1689</v>
      </c>
      <c r="D1523" t="s">
        <v>1690</v>
      </c>
      <c r="E1523" t="s">
        <v>1691</v>
      </c>
      <c r="F1523" t="s">
        <v>1692</v>
      </c>
      <c r="G1523" t="s">
        <v>75</v>
      </c>
      <c r="H1523" t="s">
        <v>1693</v>
      </c>
      <c r="I1523" t="s">
        <v>2367</v>
      </c>
      <c r="J1523" t="s">
        <v>2368</v>
      </c>
      <c r="K1523" t="s">
        <v>2</v>
      </c>
      <c r="L1523" t="s">
        <v>2369</v>
      </c>
      <c r="M1523" t="s">
        <v>75</v>
      </c>
      <c r="N1523">
        <v>55317</v>
      </c>
      <c r="O1523" t="s">
        <v>1697</v>
      </c>
      <c r="P1523" t="s">
        <v>2370</v>
      </c>
      <c r="Q1523" t="s">
        <v>1699</v>
      </c>
      <c r="R1523">
        <v>415229</v>
      </c>
      <c r="S1523" t="s">
        <v>1314</v>
      </c>
      <c r="T1523" s="2">
        <v>5</v>
      </c>
      <c r="U1523">
        <v>0</v>
      </c>
      <c r="V1523" t="s">
        <v>260</v>
      </c>
      <c r="W1523">
        <v>0</v>
      </c>
      <c r="X1523">
        <v>0</v>
      </c>
      <c r="Y1523">
        <v>0</v>
      </c>
      <c r="Z1523" t="s">
        <v>88</v>
      </c>
      <c r="AA1523" t="s">
        <v>1035</v>
      </c>
      <c r="AB1523" t="s">
        <v>10</v>
      </c>
      <c r="AC1523">
        <v>0</v>
      </c>
      <c r="AD1523">
        <v>0</v>
      </c>
      <c r="AE1523">
        <v>726182084347</v>
      </c>
      <c r="AF1523">
        <v>11.36</v>
      </c>
      <c r="AG1523">
        <v>0</v>
      </c>
      <c r="AH1523">
        <v>15</v>
      </c>
      <c r="AI1523">
        <v>26.36</v>
      </c>
      <c r="AJ1523" t="s">
        <v>2</v>
      </c>
      <c r="AK1523" t="s">
        <v>11</v>
      </c>
    </row>
    <row r="1524" spans="1:37">
      <c r="A1524">
        <v>257841</v>
      </c>
      <c r="B1524" s="1">
        <v>45366</v>
      </c>
      <c r="C1524" t="s">
        <v>1689</v>
      </c>
      <c r="D1524" t="s">
        <v>1690</v>
      </c>
      <c r="E1524" t="s">
        <v>1691</v>
      </c>
      <c r="F1524" t="s">
        <v>1692</v>
      </c>
      <c r="G1524" t="s">
        <v>75</v>
      </c>
      <c r="H1524" t="s">
        <v>1693</v>
      </c>
      <c r="I1524" t="s">
        <v>2367</v>
      </c>
      <c r="J1524" t="s">
        <v>2368</v>
      </c>
      <c r="K1524" t="s">
        <v>2</v>
      </c>
      <c r="L1524" t="s">
        <v>2369</v>
      </c>
      <c r="M1524" t="s">
        <v>75</v>
      </c>
      <c r="N1524">
        <v>55317</v>
      </c>
      <c r="O1524" t="s">
        <v>1697</v>
      </c>
      <c r="P1524" t="s">
        <v>2370</v>
      </c>
      <c r="Q1524" t="s">
        <v>1699</v>
      </c>
      <c r="R1524">
        <v>415229</v>
      </c>
      <c r="S1524" t="s">
        <v>1314</v>
      </c>
      <c r="T1524" s="2">
        <v>5</v>
      </c>
      <c r="U1524">
        <v>0</v>
      </c>
      <c r="V1524" t="s">
        <v>260</v>
      </c>
      <c r="W1524">
        <v>0</v>
      </c>
      <c r="X1524">
        <v>0</v>
      </c>
      <c r="Y1524">
        <v>0</v>
      </c>
      <c r="Z1524" t="s">
        <v>88</v>
      </c>
      <c r="AA1524" t="s">
        <v>1317</v>
      </c>
      <c r="AB1524" t="s">
        <v>10</v>
      </c>
      <c r="AC1524">
        <v>0</v>
      </c>
      <c r="AD1524">
        <v>0</v>
      </c>
      <c r="AE1524">
        <v>726182084347</v>
      </c>
      <c r="AF1524">
        <v>11.36</v>
      </c>
      <c r="AG1524">
        <v>0</v>
      </c>
      <c r="AH1524">
        <v>15</v>
      </c>
      <c r="AI1524">
        <v>26.36</v>
      </c>
      <c r="AJ1524" t="s">
        <v>2</v>
      </c>
      <c r="AK1524" t="s">
        <v>11</v>
      </c>
    </row>
    <row r="1525" spans="1:37">
      <c r="A1525">
        <v>257841</v>
      </c>
      <c r="B1525" s="1">
        <v>45366</v>
      </c>
      <c r="C1525" t="s">
        <v>1689</v>
      </c>
      <c r="D1525" t="s">
        <v>1690</v>
      </c>
      <c r="E1525" t="s">
        <v>1691</v>
      </c>
      <c r="F1525" t="s">
        <v>1692</v>
      </c>
      <c r="G1525" t="s">
        <v>75</v>
      </c>
      <c r="H1525" t="s">
        <v>1693</v>
      </c>
      <c r="I1525" t="s">
        <v>2367</v>
      </c>
      <c r="J1525" t="s">
        <v>2368</v>
      </c>
      <c r="K1525" t="s">
        <v>2</v>
      </c>
      <c r="L1525" t="s">
        <v>2369</v>
      </c>
      <c r="M1525" t="s">
        <v>75</v>
      </c>
      <c r="N1525">
        <v>55317</v>
      </c>
      <c r="O1525" t="s">
        <v>1697</v>
      </c>
      <c r="P1525" t="s">
        <v>2370</v>
      </c>
      <c r="Q1525" t="s">
        <v>1699</v>
      </c>
      <c r="R1525">
        <v>415229</v>
      </c>
      <c r="S1525" t="s">
        <v>1314</v>
      </c>
      <c r="T1525" s="2">
        <v>5</v>
      </c>
      <c r="U1525">
        <v>0</v>
      </c>
      <c r="V1525" t="s">
        <v>260</v>
      </c>
      <c r="W1525">
        <v>0</v>
      </c>
      <c r="X1525">
        <v>0</v>
      </c>
      <c r="Y1525">
        <v>0</v>
      </c>
      <c r="Z1525" t="s">
        <v>88</v>
      </c>
      <c r="AA1525" t="s">
        <v>1035</v>
      </c>
      <c r="AB1525" t="s">
        <v>10</v>
      </c>
      <c r="AC1525">
        <v>0</v>
      </c>
      <c r="AD1525">
        <v>0</v>
      </c>
      <c r="AE1525">
        <v>726182084347</v>
      </c>
      <c r="AF1525">
        <v>11.36</v>
      </c>
      <c r="AG1525">
        <v>0</v>
      </c>
      <c r="AH1525">
        <v>15</v>
      </c>
      <c r="AI1525">
        <v>26.36</v>
      </c>
      <c r="AJ1525" t="s">
        <v>2</v>
      </c>
      <c r="AK1525" t="s">
        <v>11</v>
      </c>
    </row>
    <row r="1526" spans="1:37">
      <c r="A1526">
        <v>257842</v>
      </c>
      <c r="B1526" s="1">
        <v>45366</v>
      </c>
      <c r="C1526" t="s">
        <v>1273</v>
      </c>
      <c r="D1526" t="s">
        <v>1274</v>
      </c>
      <c r="E1526" t="s">
        <v>1275</v>
      </c>
      <c r="F1526" t="s">
        <v>1276</v>
      </c>
      <c r="G1526" t="s">
        <v>163</v>
      </c>
      <c r="H1526">
        <v>80120</v>
      </c>
      <c r="I1526" t="s">
        <v>2380</v>
      </c>
      <c r="J1526" t="s">
        <v>2381</v>
      </c>
      <c r="K1526" t="s">
        <v>2382</v>
      </c>
      <c r="L1526" t="s">
        <v>2383</v>
      </c>
      <c r="M1526" t="s">
        <v>137</v>
      </c>
      <c r="N1526">
        <v>94404</v>
      </c>
      <c r="O1526" t="s">
        <v>1279</v>
      </c>
      <c r="P1526">
        <v>8002852</v>
      </c>
      <c r="Q1526" t="s">
        <v>6</v>
      </c>
      <c r="R1526">
        <v>415249</v>
      </c>
      <c r="S1526" t="s">
        <v>1314</v>
      </c>
      <c r="T1526" s="2">
        <v>2</v>
      </c>
      <c r="U1526">
        <v>0</v>
      </c>
      <c r="V1526" t="s">
        <v>260</v>
      </c>
      <c r="W1526">
        <v>0</v>
      </c>
      <c r="X1526">
        <v>0</v>
      </c>
      <c r="Y1526">
        <v>0</v>
      </c>
      <c r="Z1526" t="s">
        <v>9</v>
      </c>
      <c r="AA1526" t="s">
        <v>2</v>
      </c>
      <c r="AB1526" t="s">
        <v>10</v>
      </c>
      <c r="AC1526">
        <v>0</v>
      </c>
      <c r="AD1526">
        <v>0</v>
      </c>
      <c r="AE1526">
        <v>726182084358</v>
      </c>
      <c r="AF1526">
        <v>4.3</v>
      </c>
      <c r="AG1526">
        <v>0</v>
      </c>
      <c r="AH1526">
        <v>15</v>
      </c>
      <c r="AI1526">
        <v>19.3</v>
      </c>
      <c r="AJ1526" t="s">
        <v>2</v>
      </c>
      <c r="AK1526" t="s">
        <v>11</v>
      </c>
    </row>
    <row r="1527" spans="1:37">
      <c r="A1527">
        <v>257842</v>
      </c>
      <c r="B1527" s="1">
        <v>45366</v>
      </c>
      <c r="C1527" t="s">
        <v>1273</v>
      </c>
      <c r="D1527" t="s">
        <v>1274</v>
      </c>
      <c r="E1527" t="s">
        <v>1275</v>
      </c>
      <c r="F1527" t="s">
        <v>1276</v>
      </c>
      <c r="G1527" t="s">
        <v>163</v>
      </c>
      <c r="H1527">
        <v>80120</v>
      </c>
      <c r="I1527" t="s">
        <v>2380</v>
      </c>
      <c r="J1527" t="s">
        <v>2381</v>
      </c>
      <c r="K1527" t="s">
        <v>2382</v>
      </c>
      <c r="L1527" t="s">
        <v>2383</v>
      </c>
      <c r="M1527" t="s">
        <v>137</v>
      </c>
      <c r="N1527">
        <v>94404</v>
      </c>
      <c r="O1527" t="s">
        <v>1279</v>
      </c>
      <c r="P1527">
        <v>8002852</v>
      </c>
      <c r="Q1527" t="s">
        <v>6</v>
      </c>
      <c r="R1527">
        <v>415249</v>
      </c>
      <c r="S1527" t="s">
        <v>1314</v>
      </c>
      <c r="T1527" s="2">
        <v>2</v>
      </c>
      <c r="U1527">
        <v>0</v>
      </c>
      <c r="V1527" t="s">
        <v>260</v>
      </c>
      <c r="W1527">
        <v>2</v>
      </c>
      <c r="X1527">
        <v>2</v>
      </c>
      <c r="Y1527">
        <v>0</v>
      </c>
      <c r="Z1527" t="s">
        <v>2169</v>
      </c>
      <c r="AA1527" t="s">
        <v>2170</v>
      </c>
      <c r="AB1527" t="s">
        <v>14</v>
      </c>
      <c r="AC1527">
        <v>2.1520999999999999</v>
      </c>
      <c r="AD1527">
        <v>4.3</v>
      </c>
      <c r="AE1527">
        <v>726182084358</v>
      </c>
      <c r="AF1527">
        <v>4.3</v>
      </c>
      <c r="AG1527">
        <v>0</v>
      </c>
      <c r="AH1527">
        <v>15</v>
      </c>
      <c r="AI1527">
        <v>19.3</v>
      </c>
      <c r="AJ1527" t="s">
        <v>2</v>
      </c>
      <c r="AK1527" t="s">
        <v>11</v>
      </c>
    </row>
    <row r="1528" spans="1:37">
      <c r="A1528">
        <v>257842</v>
      </c>
      <c r="B1528" s="1">
        <v>45366</v>
      </c>
      <c r="C1528" t="s">
        <v>1273</v>
      </c>
      <c r="D1528" t="s">
        <v>1274</v>
      </c>
      <c r="E1528" t="s">
        <v>1275</v>
      </c>
      <c r="F1528" t="s">
        <v>1276</v>
      </c>
      <c r="G1528" t="s">
        <v>163</v>
      </c>
      <c r="H1528">
        <v>80120</v>
      </c>
      <c r="I1528" t="s">
        <v>2380</v>
      </c>
      <c r="J1528" t="s">
        <v>2381</v>
      </c>
      <c r="K1528" t="s">
        <v>2382</v>
      </c>
      <c r="L1528" t="s">
        <v>2383</v>
      </c>
      <c r="M1528" t="s">
        <v>137</v>
      </c>
      <c r="N1528">
        <v>94404</v>
      </c>
      <c r="O1528" t="s">
        <v>1279</v>
      </c>
      <c r="P1528">
        <v>8002852</v>
      </c>
      <c r="Q1528" t="s">
        <v>6</v>
      </c>
      <c r="R1528">
        <v>415249</v>
      </c>
      <c r="S1528" t="s">
        <v>1314</v>
      </c>
      <c r="T1528" s="2">
        <v>2</v>
      </c>
      <c r="U1528">
        <v>0</v>
      </c>
      <c r="V1528" t="s">
        <v>260</v>
      </c>
      <c r="W1528">
        <v>0</v>
      </c>
      <c r="X1528">
        <v>0</v>
      </c>
      <c r="Y1528">
        <v>0</v>
      </c>
      <c r="Z1528" t="s">
        <v>88</v>
      </c>
      <c r="AA1528" t="s">
        <v>1702</v>
      </c>
      <c r="AB1528" t="s">
        <v>10</v>
      </c>
      <c r="AC1528">
        <v>0</v>
      </c>
      <c r="AD1528">
        <v>0</v>
      </c>
      <c r="AE1528">
        <v>726182084358</v>
      </c>
      <c r="AF1528">
        <v>4.3</v>
      </c>
      <c r="AG1528">
        <v>0</v>
      </c>
      <c r="AH1528">
        <v>15</v>
      </c>
      <c r="AI1528">
        <v>19.3</v>
      </c>
      <c r="AJ1528" t="s">
        <v>2</v>
      </c>
      <c r="AK1528" t="s">
        <v>11</v>
      </c>
    </row>
    <row r="1529" spans="1:37">
      <c r="A1529">
        <v>257842</v>
      </c>
      <c r="B1529" s="1">
        <v>45366</v>
      </c>
      <c r="C1529" t="s">
        <v>1273</v>
      </c>
      <c r="D1529" t="s">
        <v>1274</v>
      </c>
      <c r="E1529" t="s">
        <v>1275</v>
      </c>
      <c r="F1529" t="s">
        <v>1276</v>
      </c>
      <c r="G1529" t="s">
        <v>163</v>
      </c>
      <c r="H1529">
        <v>80120</v>
      </c>
      <c r="I1529" t="s">
        <v>2380</v>
      </c>
      <c r="J1529" t="s">
        <v>2381</v>
      </c>
      <c r="K1529" t="s">
        <v>2382</v>
      </c>
      <c r="L1529" t="s">
        <v>2383</v>
      </c>
      <c r="M1529" t="s">
        <v>137</v>
      </c>
      <c r="N1529">
        <v>94404</v>
      </c>
      <c r="O1529" t="s">
        <v>1279</v>
      </c>
      <c r="P1529">
        <v>8002852</v>
      </c>
      <c r="Q1529" t="s">
        <v>6</v>
      </c>
      <c r="R1529">
        <v>415249</v>
      </c>
      <c r="S1529" t="s">
        <v>1314</v>
      </c>
      <c r="T1529" s="2">
        <v>2</v>
      </c>
      <c r="U1529">
        <v>0</v>
      </c>
      <c r="V1529" t="s">
        <v>260</v>
      </c>
      <c r="W1529">
        <v>0</v>
      </c>
      <c r="X1529">
        <v>0</v>
      </c>
      <c r="Y1529">
        <v>0</v>
      </c>
      <c r="Z1529" t="s">
        <v>88</v>
      </c>
      <c r="AA1529" t="s">
        <v>2</v>
      </c>
      <c r="AB1529" t="s">
        <v>10</v>
      </c>
      <c r="AC1529">
        <v>0</v>
      </c>
      <c r="AD1529">
        <v>0</v>
      </c>
      <c r="AE1529">
        <v>726182084358</v>
      </c>
      <c r="AF1529">
        <v>4.3</v>
      </c>
      <c r="AG1529">
        <v>0</v>
      </c>
      <c r="AH1529">
        <v>15</v>
      </c>
      <c r="AI1529">
        <v>19.3</v>
      </c>
      <c r="AJ1529" t="s">
        <v>2</v>
      </c>
      <c r="AK1529" t="s">
        <v>11</v>
      </c>
    </row>
    <row r="1530" spans="1:37">
      <c r="A1530">
        <v>257842</v>
      </c>
      <c r="B1530" s="1">
        <v>45366</v>
      </c>
      <c r="C1530" t="s">
        <v>1273</v>
      </c>
      <c r="D1530" t="s">
        <v>1274</v>
      </c>
      <c r="E1530" t="s">
        <v>1275</v>
      </c>
      <c r="F1530" t="s">
        <v>1276</v>
      </c>
      <c r="G1530" t="s">
        <v>163</v>
      </c>
      <c r="H1530">
        <v>80120</v>
      </c>
      <c r="I1530" t="s">
        <v>2380</v>
      </c>
      <c r="J1530" t="s">
        <v>2381</v>
      </c>
      <c r="K1530" t="s">
        <v>2382</v>
      </c>
      <c r="L1530" t="s">
        <v>2383</v>
      </c>
      <c r="M1530" t="s">
        <v>137</v>
      </c>
      <c r="N1530">
        <v>94404</v>
      </c>
      <c r="O1530" t="s">
        <v>1279</v>
      </c>
      <c r="P1530">
        <v>8002852</v>
      </c>
      <c r="Q1530" t="s">
        <v>6</v>
      </c>
      <c r="R1530">
        <v>415249</v>
      </c>
      <c r="S1530" t="s">
        <v>1314</v>
      </c>
      <c r="T1530" s="2">
        <v>2</v>
      </c>
      <c r="U1530">
        <v>0</v>
      </c>
      <c r="V1530" t="s">
        <v>260</v>
      </c>
      <c r="W1530">
        <v>0</v>
      </c>
      <c r="X1530">
        <v>0</v>
      </c>
      <c r="Y1530">
        <v>0</v>
      </c>
      <c r="Z1530" t="s">
        <v>88</v>
      </c>
      <c r="AA1530" t="s">
        <v>1035</v>
      </c>
      <c r="AB1530" t="s">
        <v>10</v>
      </c>
      <c r="AC1530">
        <v>0</v>
      </c>
      <c r="AD1530">
        <v>0</v>
      </c>
      <c r="AE1530">
        <v>726182084358</v>
      </c>
      <c r="AF1530">
        <v>4.3</v>
      </c>
      <c r="AG1530">
        <v>0</v>
      </c>
      <c r="AH1530">
        <v>15</v>
      </c>
      <c r="AI1530">
        <v>19.3</v>
      </c>
      <c r="AJ1530" t="s">
        <v>2</v>
      </c>
      <c r="AK1530" t="s">
        <v>11</v>
      </c>
    </row>
    <row r="1531" spans="1:37">
      <c r="A1531">
        <v>257842</v>
      </c>
      <c r="B1531" s="1">
        <v>45366</v>
      </c>
      <c r="C1531" t="s">
        <v>1273</v>
      </c>
      <c r="D1531" t="s">
        <v>1274</v>
      </c>
      <c r="E1531" t="s">
        <v>1275</v>
      </c>
      <c r="F1531" t="s">
        <v>1276</v>
      </c>
      <c r="G1531" t="s">
        <v>163</v>
      </c>
      <c r="H1531">
        <v>80120</v>
      </c>
      <c r="I1531" t="s">
        <v>2380</v>
      </c>
      <c r="J1531" t="s">
        <v>2381</v>
      </c>
      <c r="K1531" t="s">
        <v>2382</v>
      </c>
      <c r="L1531" t="s">
        <v>2383</v>
      </c>
      <c r="M1531" t="s">
        <v>137</v>
      </c>
      <c r="N1531">
        <v>94404</v>
      </c>
      <c r="O1531" t="s">
        <v>1279</v>
      </c>
      <c r="P1531">
        <v>8002852</v>
      </c>
      <c r="Q1531" t="s">
        <v>6</v>
      </c>
      <c r="R1531">
        <v>415249</v>
      </c>
      <c r="S1531" t="s">
        <v>1314</v>
      </c>
      <c r="T1531" s="2">
        <v>2</v>
      </c>
      <c r="U1531">
        <v>0</v>
      </c>
      <c r="V1531" t="s">
        <v>260</v>
      </c>
      <c r="W1531">
        <v>0</v>
      </c>
      <c r="X1531">
        <v>0</v>
      </c>
      <c r="Y1531">
        <v>0</v>
      </c>
      <c r="Z1531" t="s">
        <v>88</v>
      </c>
      <c r="AA1531" t="s">
        <v>1317</v>
      </c>
      <c r="AB1531" t="s">
        <v>10</v>
      </c>
      <c r="AC1531">
        <v>0</v>
      </c>
      <c r="AD1531">
        <v>0</v>
      </c>
      <c r="AE1531">
        <v>726182084358</v>
      </c>
      <c r="AF1531">
        <v>4.3</v>
      </c>
      <c r="AG1531">
        <v>0</v>
      </c>
      <c r="AH1531">
        <v>15</v>
      </c>
      <c r="AI1531">
        <v>19.3</v>
      </c>
      <c r="AJ1531" t="s">
        <v>2</v>
      </c>
      <c r="AK1531" t="s">
        <v>11</v>
      </c>
    </row>
    <row r="1532" spans="1:37">
      <c r="A1532">
        <v>257842</v>
      </c>
      <c r="B1532" s="1">
        <v>45366</v>
      </c>
      <c r="C1532" t="s">
        <v>1273</v>
      </c>
      <c r="D1532" t="s">
        <v>1274</v>
      </c>
      <c r="E1532" t="s">
        <v>1275</v>
      </c>
      <c r="F1532" t="s">
        <v>1276</v>
      </c>
      <c r="G1532" t="s">
        <v>163</v>
      </c>
      <c r="H1532">
        <v>80120</v>
      </c>
      <c r="I1532" t="s">
        <v>2380</v>
      </c>
      <c r="J1532" t="s">
        <v>2381</v>
      </c>
      <c r="K1532" t="s">
        <v>2382</v>
      </c>
      <c r="L1532" t="s">
        <v>2383</v>
      </c>
      <c r="M1532" t="s">
        <v>137</v>
      </c>
      <c r="N1532">
        <v>94404</v>
      </c>
      <c r="O1532" t="s">
        <v>1279</v>
      </c>
      <c r="P1532">
        <v>8002852</v>
      </c>
      <c r="Q1532" t="s">
        <v>6</v>
      </c>
      <c r="R1532">
        <v>415249</v>
      </c>
      <c r="S1532" t="s">
        <v>1314</v>
      </c>
      <c r="T1532" s="2">
        <v>2</v>
      </c>
      <c r="U1532">
        <v>0</v>
      </c>
      <c r="V1532" t="s">
        <v>260</v>
      </c>
      <c r="W1532">
        <v>0</v>
      </c>
      <c r="X1532">
        <v>0</v>
      </c>
      <c r="Y1532">
        <v>0</v>
      </c>
      <c r="Z1532" t="s">
        <v>88</v>
      </c>
      <c r="AA1532" t="s">
        <v>1035</v>
      </c>
      <c r="AB1532" t="s">
        <v>10</v>
      </c>
      <c r="AC1532">
        <v>0</v>
      </c>
      <c r="AD1532">
        <v>0</v>
      </c>
      <c r="AE1532">
        <v>726182084358</v>
      </c>
      <c r="AF1532">
        <v>4.3</v>
      </c>
      <c r="AG1532">
        <v>0</v>
      </c>
      <c r="AH1532">
        <v>15</v>
      </c>
      <c r="AI1532">
        <v>19.3</v>
      </c>
      <c r="AJ1532" t="s">
        <v>2</v>
      </c>
      <c r="AK1532" t="s">
        <v>11</v>
      </c>
    </row>
    <row r="1533" spans="1:37">
      <c r="A1533">
        <v>257843</v>
      </c>
      <c r="B1533" s="1">
        <v>45366</v>
      </c>
      <c r="C1533" t="s">
        <v>1689</v>
      </c>
      <c r="D1533" t="s">
        <v>1690</v>
      </c>
      <c r="E1533" t="s">
        <v>1691</v>
      </c>
      <c r="F1533" t="s">
        <v>1692</v>
      </c>
      <c r="G1533" t="s">
        <v>75</v>
      </c>
      <c r="H1533" t="s">
        <v>1693</v>
      </c>
      <c r="I1533" t="s">
        <v>2384</v>
      </c>
      <c r="J1533" t="s">
        <v>2385</v>
      </c>
      <c r="K1533" t="s">
        <v>2</v>
      </c>
      <c r="L1533" t="s">
        <v>2386</v>
      </c>
      <c r="M1533" t="s">
        <v>497</v>
      </c>
      <c r="N1533">
        <v>22102</v>
      </c>
      <c r="O1533" t="s">
        <v>1697</v>
      </c>
      <c r="P1533" t="s">
        <v>2387</v>
      </c>
      <c r="Q1533" t="s">
        <v>1699</v>
      </c>
      <c r="R1533">
        <v>415374</v>
      </c>
      <c r="S1533" t="s">
        <v>1314</v>
      </c>
      <c r="T1533" s="2">
        <v>15</v>
      </c>
      <c r="U1533">
        <v>0</v>
      </c>
      <c r="V1533" t="s">
        <v>260</v>
      </c>
      <c r="W1533">
        <v>0</v>
      </c>
      <c r="X1533">
        <v>0</v>
      </c>
      <c r="Y1533">
        <v>0</v>
      </c>
      <c r="Z1533" t="s">
        <v>9</v>
      </c>
      <c r="AA1533" t="s">
        <v>2</v>
      </c>
      <c r="AB1533" t="s">
        <v>10</v>
      </c>
      <c r="AC1533">
        <v>0</v>
      </c>
      <c r="AD1533">
        <v>0</v>
      </c>
      <c r="AE1533">
        <v>726182084325</v>
      </c>
      <c r="AF1533">
        <v>44.85</v>
      </c>
      <c r="AG1533">
        <v>0</v>
      </c>
      <c r="AH1533">
        <v>15</v>
      </c>
      <c r="AI1533">
        <v>59.85</v>
      </c>
      <c r="AJ1533" t="s">
        <v>2</v>
      </c>
      <c r="AK1533" t="s">
        <v>11</v>
      </c>
    </row>
    <row r="1534" spans="1:37">
      <c r="A1534">
        <v>257843</v>
      </c>
      <c r="B1534" s="1">
        <v>45366</v>
      </c>
      <c r="C1534" t="s">
        <v>1689</v>
      </c>
      <c r="D1534" t="s">
        <v>1690</v>
      </c>
      <c r="E1534" t="s">
        <v>1691</v>
      </c>
      <c r="F1534" t="s">
        <v>1692</v>
      </c>
      <c r="G1534" t="s">
        <v>75</v>
      </c>
      <c r="H1534" t="s">
        <v>1693</v>
      </c>
      <c r="I1534" t="s">
        <v>2384</v>
      </c>
      <c r="J1534" t="s">
        <v>2385</v>
      </c>
      <c r="K1534" t="s">
        <v>2</v>
      </c>
      <c r="L1534" t="s">
        <v>2386</v>
      </c>
      <c r="M1534" t="s">
        <v>497</v>
      </c>
      <c r="N1534">
        <v>22102</v>
      </c>
      <c r="O1534" t="s">
        <v>1697</v>
      </c>
      <c r="P1534" t="s">
        <v>2387</v>
      </c>
      <c r="Q1534" t="s">
        <v>1699</v>
      </c>
      <c r="R1534">
        <v>415374</v>
      </c>
      <c r="S1534" t="s">
        <v>1314</v>
      </c>
      <c r="T1534" s="2">
        <v>15</v>
      </c>
      <c r="U1534">
        <v>0</v>
      </c>
      <c r="V1534" t="s">
        <v>260</v>
      </c>
      <c r="W1534">
        <v>3</v>
      </c>
      <c r="X1534">
        <v>3</v>
      </c>
      <c r="Y1534">
        <v>0</v>
      </c>
      <c r="Z1534" t="s">
        <v>1774</v>
      </c>
      <c r="AA1534" t="s">
        <v>1775</v>
      </c>
      <c r="AB1534" t="s">
        <v>14</v>
      </c>
      <c r="AC1534">
        <v>2.99</v>
      </c>
      <c r="AD1534">
        <v>8.9700000000000006</v>
      </c>
      <c r="AE1534">
        <v>726182084325</v>
      </c>
      <c r="AF1534">
        <v>44.85</v>
      </c>
      <c r="AG1534">
        <v>0</v>
      </c>
      <c r="AH1534">
        <v>15</v>
      </c>
      <c r="AI1534">
        <v>59.85</v>
      </c>
      <c r="AJ1534" t="s">
        <v>2</v>
      </c>
      <c r="AK1534" t="s">
        <v>11</v>
      </c>
    </row>
    <row r="1535" spans="1:37">
      <c r="A1535">
        <v>257843</v>
      </c>
      <c r="B1535" s="1">
        <v>45366</v>
      </c>
      <c r="C1535" t="s">
        <v>1689</v>
      </c>
      <c r="D1535" t="s">
        <v>1690</v>
      </c>
      <c r="E1535" t="s">
        <v>1691</v>
      </c>
      <c r="F1535" t="s">
        <v>1692</v>
      </c>
      <c r="G1535" t="s">
        <v>75</v>
      </c>
      <c r="H1535" t="s">
        <v>1693</v>
      </c>
      <c r="I1535" t="s">
        <v>2384</v>
      </c>
      <c r="J1535" t="s">
        <v>2385</v>
      </c>
      <c r="K1535" t="s">
        <v>2</v>
      </c>
      <c r="L1535" t="s">
        <v>2386</v>
      </c>
      <c r="M1535" t="s">
        <v>497</v>
      </c>
      <c r="N1535">
        <v>22102</v>
      </c>
      <c r="O1535" t="s">
        <v>1697</v>
      </c>
      <c r="P1535" t="s">
        <v>2387</v>
      </c>
      <c r="Q1535" t="s">
        <v>1699</v>
      </c>
      <c r="R1535">
        <v>415374</v>
      </c>
      <c r="S1535" t="s">
        <v>1314</v>
      </c>
      <c r="T1535" s="2">
        <v>15</v>
      </c>
      <c r="U1535">
        <v>0</v>
      </c>
      <c r="V1535" t="s">
        <v>260</v>
      </c>
      <c r="W1535">
        <v>0</v>
      </c>
      <c r="X1535">
        <v>0</v>
      </c>
      <c r="Y1535">
        <v>0</v>
      </c>
      <c r="Z1535" t="s">
        <v>88</v>
      </c>
      <c r="AA1535" t="s">
        <v>1720</v>
      </c>
      <c r="AB1535" t="s">
        <v>10</v>
      </c>
      <c r="AC1535">
        <v>0</v>
      </c>
      <c r="AD1535">
        <v>0</v>
      </c>
      <c r="AE1535">
        <v>726182084325</v>
      </c>
      <c r="AF1535">
        <v>44.85</v>
      </c>
      <c r="AG1535">
        <v>0</v>
      </c>
      <c r="AH1535">
        <v>15</v>
      </c>
      <c r="AI1535">
        <v>59.85</v>
      </c>
      <c r="AJ1535" t="s">
        <v>2</v>
      </c>
      <c r="AK1535" t="s">
        <v>11</v>
      </c>
    </row>
    <row r="1536" spans="1:37">
      <c r="A1536">
        <v>257843</v>
      </c>
      <c r="B1536" s="1">
        <v>45366</v>
      </c>
      <c r="C1536" t="s">
        <v>1689</v>
      </c>
      <c r="D1536" t="s">
        <v>1690</v>
      </c>
      <c r="E1536" t="s">
        <v>1691</v>
      </c>
      <c r="F1536" t="s">
        <v>1692</v>
      </c>
      <c r="G1536" t="s">
        <v>75</v>
      </c>
      <c r="H1536" t="s">
        <v>1693</v>
      </c>
      <c r="I1536" t="s">
        <v>2384</v>
      </c>
      <c r="J1536" t="s">
        <v>2385</v>
      </c>
      <c r="K1536" t="s">
        <v>2</v>
      </c>
      <c r="L1536" t="s">
        <v>2386</v>
      </c>
      <c r="M1536" t="s">
        <v>497</v>
      </c>
      <c r="N1536">
        <v>22102</v>
      </c>
      <c r="O1536" t="s">
        <v>1697</v>
      </c>
      <c r="P1536" t="s">
        <v>2387</v>
      </c>
      <c r="Q1536" t="s">
        <v>1699</v>
      </c>
      <c r="R1536">
        <v>415374</v>
      </c>
      <c r="S1536" t="s">
        <v>1314</v>
      </c>
      <c r="T1536" s="2">
        <v>15</v>
      </c>
      <c r="U1536">
        <v>0</v>
      </c>
      <c r="V1536" t="s">
        <v>260</v>
      </c>
      <c r="W1536">
        <v>3</v>
      </c>
      <c r="X1536">
        <v>3</v>
      </c>
      <c r="Y1536">
        <v>0</v>
      </c>
      <c r="Z1536" t="s">
        <v>1718</v>
      </c>
      <c r="AA1536" t="s">
        <v>1719</v>
      </c>
      <c r="AB1536" t="s">
        <v>14</v>
      </c>
      <c r="AC1536">
        <v>2.99</v>
      </c>
      <c r="AD1536">
        <v>8.9700000000000006</v>
      </c>
      <c r="AE1536">
        <v>726182084325</v>
      </c>
      <c r="AF1536">
        <v>44.85</v>
      </c>
      <c r="AG1536">
        <v>0</v>
      </c>
      <c r="AH1536">
        <v>15</v>
      </c>
      <c r="AI1536">
        <v>59.85</v>
      </c>
      <c r="AJ1536" t="s">
        <v>2</v>
      </c>
      <c r="AK1536" t="s">
        <v>11</v>
      </c>
    </row>
    <row r="1537" spans="1:37">
      <c r="A1537">
        <v>257843</v>
      </c>
      <c r="B1537" s="1">
        <v>45366</v>
      </c>
      <c r="C1537" t="s">
        <v>1689</v>
      </c>
      <c r="D1537" t="s">
        <v>1690</v>
      </c>
      <c r="E1537" t="s">
        <v>1691</v>
      </c>
      <c r="F1537" t="s">
        <v>1692</v>
      </c>
      <c r="G1537" t="s">
        <v>75</v>
      </c>
      <c r="H1537" t="s">
        <v>1693</v>
      </c>
      <c r="I1537" t="s">
        <v>2384</v>
      </c>
      <c r="J1537" t="s">
        <v>2385</v>
      </c>
      <c r="K1537" t="s">
        <v>2</v>
      </c>
      <c r="L1537" t="s">
        <v>2386</v>
      </c>
      <c r="M1537" t="s">
        <v>497</v>
      </c>
      <c r="N1537">
        <v>22102</v>
      </c>
      <c r="O1537" t="s">
        <v>1697</v>
      </c>
      <c r="P1537" t="s">
        <v>2387</v>
      </c>
      <c r="Q1537" t="s">
        <v>1699</v>
      </c>
      <c r="R1537">
        <v>415374</v>
      </c>
      <c r="S1537" t="s">
        <v>1314</v>
      </c>
      <c r="T1537" s="2">
        <v>15</v>
      </c>
      <c r="U1537">
        <v>0</v>
      </c>
      <c r="V1537" t="s">
        <v>260</v>
      </c>
      <c r="W1537">
        <v>0</v>
      </c>
      <c r="X1537">
        <v>0</v>
      </c>
      <c r="Y1537">
        <v>0</v>
      </c>
      <c r="Z1537" t="s">
        <v>88</v>
      </c>
      <c r="AA1537" t="s">
        <v>1720</v>
      </c>
      <c r="AB1537" t="s">
        <v>10</v>
      </c>
      <c r="AC1537">
        <v>0</v>
      </c>
      <c r="AD1537">
        <v>0</v>
      </c>
      <c r="AE1537">
        <v>726182084325</v>
      </c>
      <c r="AF1537">
        <v>44.85</v>
      </c>
      <c r="AG1537">
        <v>0</v>
      </c>
      <c r="AH1537">
        <v>15</v>
      </c>
      <c r="AI1537">
        <v>59.85</v>
      </c>
      <c r="AJ1537" t="s">
        <v>2</v>
      </c>
      <c r="AK1537" t="s">
        <v>11</v>
      </c>
    </row>
    <row r="1538" spans="1:37">
      <c r="A1538">
        <v>257843</v>
      </c>
      <c r="B1538" s="1">
        <v>45366</v>
      </c>
      <c r="C1538" t="s">
        <v>1689</v>
      </c>
      <c r="D1538" t="s">
        <v>1690</v>
      </c>
      <c r="E1538" t="s">
        <v>1691</v>
      </c>
      <c r="F1538" t="s">
        <v>1692</v>
      </c>
      <c r="G1538" t="s">
        <v>75</v>
      </c>
      <c r="H1538" t="s">
        <v>1693</v>
      </c>
      <c r="I1538" t="s">
        <v>2384</v>
      </c>
      <c r="J1538" t="s">
        <v>2385</v>
      </c>
      <c r="K1538" t="s">
        <v>2</v>
      </c>
      <c r="L1538" t="s">
        <v>2386</v>
      </c>
      <c r="M1538" t="s">
        <v>497</v>
      </c>
      <c r="N1538">
        <v>22102</v>
      </c>
      <c r="O1538" t="s">
        <v>1697</v>
      </c>
      <c r="P1538" t="s">
        <v>2387</v>
      </c>
      <c r="Q1538" t="s">
        <v>1699</v>
      </c>
      <c r="R1538">
        <v>415374</v>
      </c>
      <c r="S1538" t="s">
        <v>1314</v>
      </c>
      <c r="T1538" s="2">
        <v>15</v>
      </c>
      <c r="U1538">
        <v>0</v>
      </c>
      <c r="V1538" t="s">
        <v>260</v>
      </c>
      <c r="W1538">
        <v>3</v>
      </c>
      <c r="X1538">
        <v>3</v>
      </c>
      <c r="Y1538">
        <v>0</v>
      </c>
      <c r="Z1538" t="s">
        <v>1768</v>
      </c>
      <c r="AA1538" t="s">
        <v>1769</v>
      </c>
      <c r="AB1538" t="s">
        <v>14</v>
      </c>
      <c r="AC1538">
        <v>2.99</v>
      </c>
      <c r="AD1538">
        <v>8.9700000000000006</v>
      </c>
      <c r="AE1538">
        <v>726182084325</v>
      </c>
      <c r="AF1538">
        <v>44.85</v>
      </c>
      <c r="AG1538">
        <v>0</v>
      </c>
      <c r="AH1538">
        <v>15</v>
      </c>
      <c r="AI1538">
        <v>59.85</v>
      </c>
      <c r="AJ1538" t="s">
        <v>2</v>
      </c>
      <c r="AK1538" t="s">
        <v>11</v>
      </c>
    </row>
    <row r="1539" spans="1:37">
      <c r="A1539">
        <v>257843</v>
      </c>
      <c r="B1539" s="1">
        <v>45366</v>
      </c>
      <c r="C1539" t="s">
        <v>1689</v>
      </c>
      <c r="D1539" t="s">
        <v>1690</v>
      </c>
      <c r="E1539" t="s">
        <v>1691</v>
      </c>
      <c r="F1539" t="s">
        <v>1692</v>
      </c>
      <c r="G1539" t="s">
        <v>75</v>
      </c>
      <c r="H1539" t="s">
        <v>1693</v>
      </c>
      <c r="I1539" t="s">
        <v>2384</v>
      </c>
      <c r="J1539" t="s">
        <v>2385</v>
      </c>
      <c r="K1539" t="s">
        <v>2</v>
      </c>
      <c r="L1539" t="s">
        <v>2386</v>
      </c>
      <c r="M1539" t="s">
        <v>497</v>
      </c>
      <c r="N1539">
        <v>22102</v>
      </c>
      <c r="O1539" t="s">
        <v>1697</v>
      </c>
      <c r="P1539" t="s">
        <v>2387</v>
      </c>
      <c r="Q1539" t="s">
        <v>1699</v>
      </c>
      <c r="R1539">
        <v>415374</v>
      </c>
      <c r="S1539" t="s">
        <v>1314</v>
      </c>
      <c r="T1539" s="2">
        <v>15</v>
      </c>
      <c r="U1539">
        <v>0</v>
      </c>
      <c r="V1539" t="s">
        <v>260</v>
      </c>
      <c r="W1539">
        <v>0</v>
      </c>
      <c r="X1539">
        <v>0</v>
      </c>
      <c r="Y1539">
        <v>0</v>
      </c>
      <c r="Z1539" t="s">
        <v>88</v>
      </c>
      <c r="AA1539" t="s">
        <v>1720</v>
      </c>
      <c r="AB1539" t="s">
        <v>10</v>
      </c>
      <c r="AC1539">
        <v>0</v>
      </c>
      <c r="AD1539">
        <v>0</v>
      </c>
      <c r="AE1539">
        <v>726182084325</v>
      </c>
      <c r="AF1539">
        <v>44.85</v>
      </c>
      <c r="AG1539">
        <v>0</v>
      </c>
      <c r="AH1539">
        <v>15</v>
      </c>
      <c r="AI1539">
        <v>59.85</v>
      </c>
      <c r="AJ1539" t="s">
        <v>2</v>
      </c>
      <c r="AK1539" t="s">
        <v>11</v>
      </c>
    </row>
    <row r="1540" spans="1:37">
      <c r="A1540">
        <v>257843</v>
      </c>
      <c r="B1540" s="1">
        <v>45366</v>
      </c>
      <c r="C1540" t="s">
        <v>1689</v>
      </c>
      <c r="D1540" t="s">
        <v>1690</v>
      </c>
      <c r="E1540" t="s">
        <v>1691</v>
      </c>
      <c r="F1540" t="s">
        <v>1692</v>
      </c>
      <c r="G1540" t="s">
        <v>75</v>
      </c>
      <c r="H1540" t="s">
        <v>1693</v>
      </c>
      <c r="I1540" t="s">
        <v>2384</v>
      </c>
      <c r="J1540" t="s">
        <v>2385</v>
      </c>
      <c r="K1540" t="s">
        <v>2</v>
      </c>
      <c r="L1540" t="s">
        <v>2386</v>
      </c>
      <c r="M1540" t="s">
        <v>497</v>
      </c>
      <c r="N1540">
        <v>22102</v>
      </c>
      <c r="O1540" t="s">
        <v>1697</v>
      </c>
      <c r="P1540" t="s">
        <v>2387</v>
      </c>
      <c r="Q1540" t="s">
        <v>1699</v>
      </c>
      <c r="R1540">
        <v>415374</v>
      </c>
      <c r="S1540" t="s">
        <v>1314</v>
      </c>
      <c r="T1540" s="2">
        <v>15</v>
      </c>
      <c r="U1540">
        <v>0</v>
      </c>
      <c r="V1540" t="s">
        <v>260</v>
      </c>
      <c r="W1540">
        <v>3</v>
      </c>
      <c r="X1540">
        <v>3</v>
      </c>
      <c r="Y1540">
        <v>0</v>
      </c>
      <c r="Z1540" t="s">
        <v>1770</v>
      </c>
      <c r="AA1540" t="s">
        <v>1771</v>
      </c>
      <c r="AB1540" t="s">
        <v>14</v>
      </c>
      <c r="AC1540">
        <v>2.99</v>
      </c>
      <c r="AD1540">
        <v>8.9700000000000006</v>
      </c>
      <c r="AE1540">
        <v>726182084325</v>
      </c>
      <c r="AF1540">
        <v>44.85</v>
      </c>
      <c r="AG1540">
        <v>0</v>
      </c>
      <c r="AH1540">
        <v>15</v>
      </c>
      <c r="AI1540">
        <v>59.85</v>
      </c>
      <c r="AJ1540" t="s">
        <v>2</v>
      </c>
      <c r="AK1540" t="s">
        <v>11</v>
      </c>
    </row>
    <row r="1541" spans="1:37">
      <c r="A1541">
        <v>257843</v>
      </c>
      <c r="B1541" s="1">
        <v>45366</v>
      </c>
      <c r="C1541" t="s">
        <v>1689</v>
      </c>
      <c r="D1541" t="s">
        <v>1690</v>
      </c>
      <c r="E1541" t="s">
        <v>1691</v>
      </c>
      <c r="F1541" t="s">
        <v>1692</v>
      </c>
      <c r="G1541" t="s">
        <v>75</v>
      </c>
      <c r="H1541" t="s">
        <v>1693</v>
      </c>
      <c r="I1541" t="s">
        <v>2384</v>
      </c>
      <c r="J1541" t="s">
        <v>2385</v>
      </c>
      <c r="K1541" t="s">
        <v>2</v>
      </c>
      <c r="L1541" t="s">
        <v>2386</v>
      </c>
      <c r="M1541" t="s">
        <v>497</v>
      </c>
      <c r="N1541">
        <v>22102</v>
      </c>
      <c r="O1541" t="s">
        <v>1697</v>
      </c>
      <c r="P1541" t="s">
        <v>2387</v>
      </c>
      <c r="Q1541" t="s">
        <v>1699</v>
      </c>
      <c r="R1541">
        <v>415374</v>
      </c>
      <c r="S1541" t="s">
        <v>1314</v>
      </c>
      <c r="T1541" s="2">
        <v>15</v>
      </c>
      <c r="U1541">
        <v>0</v>
      </c>
      <c r="V1541" t="s">
        <v>260</v>
      </c>
      <c r="W1541">
        <v>0</v>
      </c>
      <c r="X1541">
        <v>0</v>
      </c>
      <c r="Y1541">
        <v>0</v>
      </c>
      <c r="Z1541" t="s">
        <v>88</v>
      </c>
      <c r="AA1541" t="s">
        <v>1720</v>
      </c>
      <c r="AB1541" t="s">
        <v>10</v>
      </c>
      <c r="AC1541">
        <v>0</v>
      </c>
      <c r="AD1541">
        <v>0</v>
      </c>
      <c r="AE1541">
        <v>726182084325</v>
      </c>
      <c r="AF1541">
        <v>44.85</v>
      </c>
      <c r="AG1541">
        <v>0</v>
      </c>
      <c r="AH1541">
        <v>15</v>
      </c>
      <c r="AI1541">
        <v>59.85</v>
      </c>
      <c r="AJ1541" t="s">
        <v>2</v>
      </c>
      <c r="AK1541" t="s">
        <v>11</v>
      </c>
    </row>
    <row r="1542" spans="1:37">
      <c r="A1542">
        <v>257843</v>
      </c>
      <c r="B1542" s="1">
        <v>45366</v>
      </c>
      <c r="C1542" t="s">
        <v>1689</v>
      </c>
      <c r="D1542" t="s">
        <v>1690</v>
      </c>
      <c r="E1542" t="s">
        <v>1691</v>
      </c>
      <c r="F1542" t="s">
        <v>1692</v>
      </c>
      <c r="G1542" t="s">
        <v>75</v>
      </c>
      <c r="H1542" t="s">
        <v>1693</v>
      </c>
      <c r="I1542" t="s">
        <v>2384</v>
      </c>
      <c r="J1542" t="s">
        <v>2385</v>
      </c>
      <c r="K1542" t="s">
        <v>2</v>
      </c>
      <c r="L1542" t="s">
        <v>2386</v>
      </c>
      <c r="M1542" t="s">
        <v>497</v>
      </c>
      <c r="N1542">
        <v>22102</v>
      </c>
      <c r="O1542" t="s">
        <v>1697</v>
      </c>
      <c r="P1542" t="s">
        <v>2387</v>
      </c>
      <c r="Q1542" t="s">
        <v>1699</v>
      </c>
      <c r="R1542">
        <v>415374</v>
      </c>
      <c r="S1542" t="s">
        <v>1314</v>
      </c>
      <c r="T1542" s="2">
        <v>15</v>
      </c>
      <c r="U1542">
        <v>0</v>
      </c>
      <c r="V1542" t="s">
        <v>260</v>
      </c>
      <c r="W1542">
        <v>3</v>
      </c>
      <c r="X1542">
        <v>3</v>
      </c>
      <c r="Y1542">
        <v>0</v>
      </c>
      <c r="Z1542" t="s">
        <v>1780</v>
      </c>
      <c r="AA1542" t="s">
        <v>1781</v>
      </c>
      <c r="AB1542" t="s">
        <v>14</v>
      </c>
      <c r="AC1542">
        <v>2.99</v>
      </c>
      <c r="AD1542">
        <v>8.9700000000000006</v>
      </c>
      <c r="AE1542">
        <v>726182084325</v>
      </c>
      <c r="AF1542">
        <v>44.85</v>
      </c>
      <c r="AG1542">
        <v>0</v>
      </c>
      <c r="AH1542">
        <v>15</v>
      </c>
      <c r="AI1542">
        <v>59.85</v>
      </c>
      <c r="AJ1542" t="s">
        <v>2</v>
      </c>
      <c r="AK1542" t="s">
        <v>11</v>
      </c>
    </row>
    <row r="1543" spans="1:37">
      <c r="A1543">
        <v>257843</v>
      </c>
      <c r="B1543" s="1">
        <v>45366</v>
      </c>
      <c r="C1543" t="s">
        <v>1689</v>
      </c>
      <c r="D1543" t="s">
        <v>1690</v>
      </c>
      <c r="E1543" t="s">
        <v>1691</v>
      </c>
      <c r="F1543" t="s">
        <v>1692</v>
      </c>
      <c r="G1543" t="s">
        <v>75</v>
      </c>
      <c r="H1543" t="s">
        <v>1693</v>
      </c>
      <c r="I1543" t="s">
        <v>2384</v>
      </c>
      <c r="J1543" t="s">
        <v>2385</v>
      </c>
      <c r="K1543" t="s">
        <v>2</v>
      </c>
      <c r="L1543" t="s">
        <v>2386</v>
      </c>
      <c r="M1543" t="s">
        <v>497</v>
      </c>
      <c r="N1543">
        <v>22102</v>
      </c>
      <c r="O1543" t="s">
        <v>1697</v>
      </c>
      <c r="P1543" t="s">
        <v>2387</v>
      </c>
      <c r="Q1543" t="s">
        <v>1699</v>
      </c>
      <c r="R1543">
        <v>415374</v>
      </c>
      <c r="S1543" t="s">
        <v>1314</v>
      </c>
      <c r="T1543" s="2">
        <v>15</v>
      </c>
      <c r="U1543">
        <v>0</v>
      </c>
      <c r="V1543" t="s">
        <v>260</v>
      </c>
      <c r="W1543">
        <v>0</v>
      </c>
      <c r="X1543">
        <v>0</v>
      </c>
      <c r="Y1543">
        <v>0</v>
      </c>
      <c r="Z1543" t="s">
        <v>88</v>
      </c>
      <c r="AA1543" t="s">
        <v>1720</v>
      </c>
      <c r="AB1543" t="s">
        <v>10</v>
      </c>
      <c r="AC1543">
        <v>0</v>
      </c>
      <c r="AD1543">
        <v>0</v>
      </c>
      <c r="AE1543">
        <v>726182084325</v>
      </c>
      <c r="AF1543">
        <v>44.85</v>
      </c>
      <c r="AG1543">
        <v>0</v>
      </c>
      <c r="AH1543">
        <v>15</v>
      </c>
      <c r="AI1543">
        <v>59.85</v>
      </c>
      <c r="AJ1543" t="s">
        <v>2</v>
      </c>
      <c r="AK1543" t="s">
        <v>11</v>
      </c>
    </row>
    <row r="1544" spans="1:37">
      <c r="A1544">
        <v>257843</v>
      </c>
      <c r="B1544" s="1">
        <v>45366</v>
      </c>
      <c r="C1544" t="s">
        <v>1689</v>
      </c>
      <c r="D1544" t="s">
        <v>1690</v>
      </c>
      <c r="E1544" t="s">
        <v>1691</v>
      </c>
      <c r="F1544" t="s">
        <v>1692</v>
      </c>
      <c r="G1544" t="s">
        <v>75</v>
      </c>
      <c r="H1544" t="s">
        <v>1693</v>
      </c>
      <c r="I1544" t="s">
        <v>2384</v>
      </c>
      <c r="J1544" t="s">
        <v>2385</v>
      </c>
      <c r="K1544" t="s">
        <v>2</v>
      </c>
      <c r="L1544" t="s">
        <v>2386</v>
      </c>
      <c r="M1544" t="s">
        <v>497</v>
      </c>
      <c r="N1544">
        <v>22102</v>
      </c>
      <c r="O1544" t="s">
        <v>1697</v>
      </c>
      <c r="P1544" t="s">
        <v>2387</v>
      </c>
      <c r="Q1544" t="s">
        <v>1699</v>
      </c>
      <c r="R1544">
        <v>415374</v>
      </c>
      <c r="S1544" t="s">
        <v>1314</v>
      </c>
      <c r="T1544" s="2">
        <v>15</v>
      </c>
      <c r="U1544">
        <v>0</v>
      </c>
      <c r="V1544" t="s">
        <v>260</v>
      </c>
      <c r="W1544">
        <v>0</v>
      </c>
      <c r="X1544">
        <v>0</v>
      </c>
      <c r="Y1544">
        <v>0</v>
      </c>
      <c r="Z1544" t="s">
        <v>88</v>
      </c>
      <c r="AA1544" t="s">
        <v>2</v>
      </c>
      <c r="AB1544" t="s">
        <v>10</v>
      </c>
      <c r="AC1544">
        <v>0</v>
      </c>
      <c r="AD1544">
        <v>0</v>
      </c>
      <c r="AE1544">
        <v>726182084325</v>
      </c>
      <c r="AF1544">
        <v>44.85</v>
      </c>
      <c r="AG1544">
        <v>0</v>
      </c>
      <c r="AH1544">
        <v>15</v>
      </c>
      <c r="AI1544">
        <v>59.85</v>
      </c>
      <c r="AJ1544" t="s">
        <v>2</v>
      </c>
      <c r="AK1544" t="s">
        <v>11</v>
      </c>
    </row>
    <row r="1545" spans="1:37">
      <c r="A1545">
        <v>257843</v>
      </c>
      <c r="B1545" s="1">
        <v>45366</v>
      </c>
      <c r="C1545" t="s">
        <v>1689</v>
      </c>
      <c r="D1545" t="s">
        <v>1690</v>
      </c>
      <c r="E1545" t="s">
        <v>1691</v>
      </c>
      <c r="F1545" t="s">
        <v>1692</v>
      </c>
      <c r="G1545" t="s">
        <v>75</v>
      </c>
      <c r="H1545" t="s">
        <v>1693</v>
      </c>
      <c r="I1545" t="s">
        <v>2384</v>
      </c>
      <c r="J1545" t="s">
        <v>2385</v>
      </c>
      <c r="K1545" t="s">
        <v>2</v>
      </c>
      <c r="L1545" t="s">
        <v>2386</v>
      </c>
      <c r="M1545" t="s">
        <v>497</v>
      </c>
      <c r="N1545">
        <v>22102</v>
      </c>
      <c r="O1545" t="s">
        <v>1697</v>
      </c>
      <c r="P1545" t="s">
        <v>2387</v>
      </c>
      <c r="Q1545" t="s">
        <v>1699</v>
      </c>
      <c r="R1545">
        <v>415374</v>
      </c>
      <c r="S1545" t="s">
        <v>1314</v>
      </c>
      <c r="T1545" s="2">
        <v>15</v>
      </c>
      <c r="U1545">
        <v>0</v>
      </c>
      <c r="V1545" t="s">
        <v>260</v>
      </c>
      <c r="W1545">
        <v>0</v>
      </c>
      <c r="X1545">
        <v>0</v>
      </c>
      <c r="Y1545">
        <v>0</v>
      </c>
      <c r="Z1545" t="s">
        <v>88</v>
      </c>
      <c r="AA1545" t="s">
        <v>2388</v>
      </c>
      <c r="AB1545" t="s">
        <v>10</v>
      </c>
      <c r="AC1545">
        <v>0</v>
      </c>
      <c r="AD1545">
        <v>0</v>
      </c>
      <c r="AE1545">
        <v>726182084325</v>
      </c>
      <c r="AF1545">
        <v>44.85</v>
      </c>
      <c r="AG1545">
        <v>0</v>
      </c>
      <c r="AH1545">
        <v>15</v>
      </c>
      <c r="AI1545">
        <v>59.85</v>
      </c>
      <c r="AJ1545" t="s">
        <v>2</v>
      </c>
      <c r="AK1545" t="s">
        <v>11</v>
      </c>
    </row>
    <row r="1546" spans="1:37">
      <c r="A1546">
        <v>257843</v>
      </c>
      <c r="B1546" s="1">
        <v>45366</v>
      </c>
      <c r="C1546" t="s">
        <v>1689</v>
      </c>
      <c r="D1546" t="s">
        <v>1690</v>
      </c>
      <c r="E1546" t="s">
        <v>1691</v>
      </c>
      <c r="F1546" t="s">
        <v>1692</v>
      </c>
      <c r="G1546" t="s">
        <v>75</v>
      </c>
      <c r="H1546" t="s">
        <v>1693</v>
      </c>
      <c r="I1546" t="s">
        <v>2384</v>
      </c>
      <c r="J1546" t="s">
        <v>2385</v>
      </c>
      <c r="K1546" t="s">
        <v>2</v>
      </c>
      <c r="L1546" t="s">
        <v>2386</v>
      </c>
      <c r="M1546" t="s">
        <v>497</v>
      </c>
      <c r="N1546">
        <v>22102</v>
      </c>
      <c r="O1546" t="s">
        <v>1697</v>
      </c>
      <c r="P1546" t="s">
        <v>2387</v>
      </c>
      <c r="Q1546" t="s">
        <v>1699</v>
      </c>
      <c r="R1546">
        <v>415374</v>
      </c>
      <c r="S1546" t="s">
        <v>1314</v>
      </c>
      <c r="T1546" s="2">
        <v>15</v>
      </c>
      <c r="U1546">
        <v>0</v>
      </c>
      <c r="V1546" t="s">
        <v>260</v>
      </c>
      <c r="W1546">
        <v>0</v>
      </c>
      <c r="X1546">
        <v>0</v>
      </c>
      <c r="Y1546">
        <v>0</v>
      </c>
      <c r="Z1546" t="s">
        <v>88</v>
      </c>
      <c r="AA1546" t="s">
        <v>2</v>
      </c>
      <c r="AB1546" t="s">
        <v>10</v>
      </c>
      <c r="AC1546">
        <v>0</v>
      </c>
      <c r="AD1546">
        <v>0</v>
      </c>
      <c r="AE1546">
        <v>726182084325</v>
      </c>
      <c r="AF1546">
        <v>44.85</v>
      </c>
      <c r="AG1546">
        <v>0</v>
      </c>
      <c r="AH1546">
        <v>15</v>
      </c>
      <c r="AI1546">
        <v>59.85</v>
      </c>
      <c r="AJ1546" t="s">
        <v>2</v>
      </c>
      <c r="AK1546" t="s">
        <v>11</v>
      </c>
    </row>
    <row r="1547" spans="1:37">
      <c r="A1547">
        <v>257843</v>
      </c>
      <c r="B1547" s="1">
        <v>45366</v>
      </c>
      <c r="C1547" t="s">
        <v>1689</v>
      </c>
      <c r="D1547" t="s">
        <v>1690</v>
      </c>
      <c r="E1547" t="s">
        <v>1691</v>
      </c>
      <c r="F1547" t="s">
        <v>1692</v>
      </c>
      <c r="G1547" t="s">
        <v>75</v>
      </c>
      <c r="H1547" t="s">
        <v>1693</v>
      </c>
      <c r="I1547" t="s">
        <v>2384</v>
      </c>
      <c r="J1547" t="s">
        <v>2385</v>
      </c>
      <c r="K1547" t="s">
        <v>2</v>
      </c>
      <c r="L1547" t="s">
        <v>2386</v>
      </c>
      <c r="M1547" t="s">
        <v>497</v>
      </c>
      <c r="N1547">
        <v>22102</v>
      </c>
      <c r="O1547" t="s">
        <v>1697</v>
      </c>
      <c r="P1547" t="s">
        <v>2387</v>
      </c>
      <c r="Q1547" t="s">
        <v>1699</v>
      </c>
      <c r="R1547">
        <v>415374</v>
      </c>
      <c r="S1547" t="s">
        <v>1314</v>
      </c>
      <c r="T1547" s="2">
        <v>15</v>
      </c>
      <c r="U1547">
        <v>0</v>
      </c>
      <c r="V1547" t="s">
        <v>260</v>
      </c>
      <c r="W1547">
        <v>0</v>
      </c>
      <c r="X1547">
        <v>0</v>
      </c>
      <c r="Y1547">
        <v>0</v>
      </c>
      <c r="Z1547" t="s">
        <v>88</v>
      </c>
      <c r="AA1547" t="s">
        <v>1035</v>
      </c>
      <c r="AB1547" t="s">
        <v>10</v>
      </c>
      <c r="AC1547">
        <v>0</v>
      </c>
      <c r="AD1547">
        <v>0</v>
      </c>
      <c r="AE1547">
        <v>726182084325</v>
      </c>
      <c r="AF1547">
        <v>44.85</v>
      </c>
      <c r="AG1547">
        <v>0</v>
      </c>
      <c r="AH1547">
        <v>15</v>
      </c>
      <c r="AI1547">
        <v>59.85</v>
      </c>
      <c r="AJ1547" t="s">
        <v>2</v>
      </c>
      <c r="AK1547" t="s">
        <v>11</v>
      </c>
    </row>
    <row r="1548" spans="1:37">
      <c r="A1548">
        <v>257843</v>
      </c>
      <c r="B1548" s="1">
        <v>45366</v>
      </c>
      <c r="C1548" t="s">
        <v>1689</v>
      </c>
      <c r="D1548" t="s">
        <v>1690</v>
      </c>
      <c r="E1548" t="s">
        <v>1691</v>
      </c>
      <c r="F1548" t="s">
        <v>1692</v>
      </c>
      <c r="G1548" t="s">
        <v>75</v>
      </c>
      <c r="H1548" t="s">
        <v>1693</v>
      </c>
      <c r="I1548" t="s">
        <v>2384</v>
      </c>
      <c r="J1548" t="s">
        <v>2385</v>
      </c>
      <c r="K1548" t="s">
        <v>2</v>
      </c>
      <c r="L1548" t="s">
        <v>2386</v>
      </c>
      <c r="M1548" t="s">
        <v>497</v>
      </c>
      <c r="N1548">
        <v>22102</v>
      </c>
      <c r="O1548" t="s">
        <v>1697</v>
      </c>
      <c r="P1548" t="s">
        <v>2387</v>
      </c>
      <c r="Q1548" t="s">
        <v>1699</v>
      </c>
      <c r="R1548">
        <v>415374</v>
      </c>
      <c r="S1548" t="s">
        <v>1314</v>
      </c>
      <c r="T1548" s="2">
        <v>15</v>
      </c>
      <c r="U1548">
        <v>0</v>
      </c>
      <c r="V1548" t="s">
        <v>260</v>
      </c>
      <c r="W1548">
        <v>0</v>
      </c>
      <c r="X1548">
        <v>0</v>
      </c>
      <c r="Y1548">
        <v>0</v>
      </c>
      <c r="Z1548" t="s">
        <v>88</v>
      </c>
      <c r="AA1548" t="s">
        <v>1317</v>
      </c>
      <c r="AB1548" t="s">
        <v>10</v>
      </c>
      <c r="AC1548">
        <v>0</v>
      </c>
      <c r="AD1548">
        <v>0</v>
      </c>
      <c r="AE1548">
        <v>726182084325</v>
      </c>
      <c r="AF1548">
        <v>44.85</v>
      </c>
      <c r="AG1548">
        <v>0</v>
      </c>
      <c r="AH1548">
        <v>15</v>
      </c>
      <c r="AI1548">
        <v>59.85</v>
      </c>
      <c r="AJ1548" t="s">
        <v>2</v>
      </c>
      <c r="AK1548" t="s">
        <v>11</v>
      </c>
    </row>
    <row r="1549" spans="1:37">
      <c r="A1549">
        <v>257843</v>
      </c>
      <c r="B1549" s="1">
        <v>45366</v>
      </c>
      <c r="C1549" t="s">
        <v>1689</v>
      </c>
      <c r="D1549" t="s">
        <v>1690</v>
      </c>
      <c r="E1549" t="s">
        <v>1691</v>
      </c>
      <c r="F1549" t="s">
        <v>1692</v>
      </c>
      <c r="G1549" t="s">
        <v>75</v>
      </c>
      <c r="H1549" t="s">
        <v>1693</v>
      </c>
      <c r="I1549" t="s">
        <v>2384</v>
      </c>
      <c r="J1549" t="s">
        <v>2385</v>
      </c>
      <c r="K1549" t="s">
        <v>2</v>
      </c>
      <c r="L1549" t="s">
        <v>2386</v>
      </c>
      <c r="M1549" t="s">
        <v>497</v>
      </c>
      <c r="N1549">
        <v>22102</v>
      </c>
      <c r="O1549" t="s">
        <v>1697</v>
      </c>
      <c r="P1549" t="s">
        <v>2387</v>
      </c>
      <c r="Q1549" t="s">
        <v>1699</v>
      </c>
      <c r="R1549">
        <v>415374</v>
      </c>
      <c r="S1549" t="s">
        <v>1314</v>
      </c>
      <c r="T1549" s="2">
        <v>15</v>
      </c>
      <c r="U1549">
        <v>0</v>
      </c>
      <c r="V1549" t="s">
        <v>260</v>
      </c>
      <c r="W1549">
        <v>0</v>
      </c>
      <c r="X1549">
        <v>0</v>
      </c>
      <c r="Y1549">
        <v>0</v>
      </c>
      <c r="Z1549" t="s">
        <v>88</v>
      </c>
      <c r="AA1549" t="s">
        <v>1035</v>
      </c>
      <c r="AB1549" t="s">
        <v>10</v>
      </c>
      <c r="AC1549">
        <v>0</v>
      </c>
      <c r="AD1549">
        <v>0</v>
      </c>
      <c r="AE1549">
        <v>726182084325</v>
      </c>
      <c r="AF1549">
        <v>44.85</v>
      </c>
      <c r="AG1549">
        <v>0</v>
      </c>
      <c r="AH1549">
        <v>15</v>
      </c>
      <c r="AI1549">
        <v>59.85</v>
      </c>
      <c r="AJ1549" t="s">
        <v>2</v>
      </c>
      <c r="AK1549" t="s">
        <v>11</v>
      </c>
    </row>
    <row r="1550" spans="1:37">
      <c r="A1550">
        <v>257844</v>
      </c>
      <c r="B1550" s="1">
        <v>45366</v>
      </c>
      <c r="C1550" t="s">
        <v>1689</v>
      </c>
      <c r="D1550" t="s">
        <v>1690</v>
      </c>
      <c r="E1550" t="s">
        <v>1691</v>
      </c>
      <c r="F1550" t="s">
        <v>1692</v>
      </c>
      <c r="G1550" t="s">
        <v>75</v>
      </c>
      <c r="H1550" t="s">
        <v>1693</v>
      </c>
      <c r="I1550" t="s">
        <v>2389</v>
      </c>
      <c r="J1550" t="s">
        <v>2390</v>
      </c>
      <c r="K1550" t="s">
        <v>2</v>
      </c>
      <c r="L1550" t="s">
        <v>2391</v>
      </c>
      <c r="M1550" t="s">
        <v>137</v>
      </c>
      <c r="N1550">
        <v>94111</v>
      </c>
      <c r="O1550" t="s">
        <v>1697</v>
      </c>
      <c r="P1550" t="s">
        <v>2392</v>
      </c>
      <c r="Q1550" t="s">
        <v>1699</v>
      </c>
      <c r="R1550">
        <v>415239</v>
      </c>
      <c r="S1550" t="s">
        <v>1314</v>
      </c>
      <c r="T1550" s="2">
        <v>10</v>
      </c>
      <c r="U1550">
        <v>0</v>
      </c>
      <c r="V1550" t="s">
        <v>260</v>
      </c>
      <c r="W1550">
        <v>0</v>
      </c>
      <c r="X1550">
        <v>0</v>
      </c>
      <c r="Y1550">
        <v>0</v>
      </c>
      <c r="Z1550" t="s">
        <v>9</v>
      </c>
      <c r="AA1550" t="s">
        <v>2</v>
      </c>
      <c r="AB1550" t="s">
        <v>10</v>
      </c>
      <c r="AC1550">
        <v>0</v>
      </c>
      <c r="AD1550">
        <v>0</v>
      </c>
      <c r="AE1550">
        <v>726182084336</v>
      </c>
      <c r="AF1550">
        <v>20.170000000000002</v>
      </c>
      <c r="AG1550">
        <v>0</v>
      </c>
      <c r="AH1550">
        <v>15</v>
      </c>
      <c r="AI1550">
        <v>35.17</v>
      </c>
      <c r="AJ1550" t="s">
        <v>2</v>
      </c>
      <c r="AK1550" t="s">
        <v>11</v>
      </c>
    </row>
    <row r="1551" spans="1:37">
      <c r="A1551">
        <v>257844</v>
      </c>
      <c r="B1551" s="1">
        <v>45366</v>
      </c>
      <c r="C1551" t="s">
        <v>1689</v>
      </c>
      <c r="D1551" t="s">
        <v>1690</v>
      </c>
      <c r="E1551" t="s">
        <v>1691</v>
      </c>
      <c r="F1551" t="s">
        <v>1692</v>
      </c>
      <c r="G1551" t="s">
        <v>75</v>
      </c>
      <c r="H1551" t="s">
        <v>1693</v>
      </c>
      <c r="I1551" t="s">
        <v>2389</v>
      </c>
      <c r="J1551" t="s">
        <v>2390</v>
      </c>
      <c r="K1551" t="s">
        <v>2</v>
      </c>
      <c r="L1551" t="s">
        <v>2391</v>
      </c>
      <c r="M1551" t="s">
        <v>137</v>
      </c>
      <c r="N1551">
        <v>94111</v>
      </c>
      <c r="O1551" t="s">
        <v>1697</v>
      </c>
      <c r="P1551" t="s">
        <v>2392</v>
      </c>
      <c r="Q1551" t="s">
        <v>1699</v>
      </c>
      <c r="R1551">
        <v>415239</v>
      </c>
      <c r="S1551" t="s">
        <v>1314</v>
      </c>
      <c r="T1551" s="2">
        <v>10</v>
      </c>
      <c r="U1551">
        <v>0</v>
      </c>
      <c r="V1551" t="s">
        <v>260</v>
      </c>
      <c r="W1551">
        <v>1</v>
      </c>
      <c r="X1551">
        <v>1</v>
      </c>
      <c r="Y1551">
        <v>0</v>
      </c>
      <c r="Z1551" t="s">
        <v>2062</v>
      </c>
      <c r="AA1551" t="s">
        <v>2063</v>
      </c>
      <c r="AB1551" t="s">
        <v>14</v>
      </c>
      <c r="AC1551">
        <v>2.29</v>
      </c>
      <c r="AD1551">
        <v>2.29</v>
      </c>
      <c r="AE1551">
        <v>726182084336</v>
      </c>
      <c r="AF1551">
        <v>20.170000000000002</v>
      </c>
      <c r="AG1551">
        <v>0</v>
      </c>
      <c r="AH1551">
        <v>15</v>
      </c>
      <c r="AI1551">
        <v>35.17</v>
      </c>
      <c r="AJ1551" t="s">
        <v>2</v>
      </c>
      <c r="AK1551" t="s">
        <v>11</v>
      </c>
    </row>
    <row r="1552" spans="1:37">
      <c r="A1552">
        <v>257844</v>
      </c>
      <c r="B1552" s="1">
        <v>45366</v>
      </c>
      <c r="C1552" t="s">
        <v>1689</v>
      </c>
      <c r="D1552" t="s">
        <v>1690</v>
      </c>
      <c r="E1552" t="s">
        <v>1691</v>
      </c>
      <c r="F1552" t="s">
        <v>1692</v>
      </c>
      <c r="G1552" t="s">
        <v>75</v>
      </c>
      <c r="H1552" t="s">
        <v>1693</v>
      </c>
      <c r="I1552" t="s">
        <v>2389</v>
      </c>
      <c r="J1552" t="s">
        <v>2390</v>
      </c>
      <c r="K1552" t="s">
        <v>2</v>
      </c>
      <c r="L1552" t="s">
        <v>2391</v>
      </c>
      <c r="M1552" t="s">
        <v>137</v>
      </c>
      <c r="N1552">
        <v>94111</v>
      </c>
      <c r="O1552" t="s">
        <v>1697</v>
      </c>
      <c r="P1552" t="s">
        <v>2392</v>
      </c>
      <c r="Q1552" t="s">
        <v>1699</v>
      </c>
      <c r="R1552">
        <v>415239</v>
      </c>
      <c r="S1552" t="s">
        <v>1314</v>
      </c>
      <c r="T1552" s="2">
        <v>10</v>
      </c>
      <c r="U1552">
        <v>0</v>
      </c>
      <c r="V1552" t="s">
        <v>260</v>
      </c>
      <c r="W1552">
        <v>0</v>
      </c>
      <c r="X1552">
        <v>0</v>
      </c>
      <c r="Y1552">
        <v>0</v>
      </c>
      <c r="Z1552" t="s">
        <v>88</v>
      </c>
      <c r="AA1552" t="s">
        <v>1723</v>
      </c>
      <c r="AB1552" t="s">
        <v>10</v>
      </c>
      <c r="AC1552">
        <v>0</v>
      </c>
      <c r="AD1552">
        <v>0</v>
      </c>
      <c r="AE1552">
        <v>726182084336</v>
      </c>
      <c r="AF1552">
        <v>20.170000000000002</v>
      </c>
      <c r="AG1552">
        <v>0</v>
      </c>
      <c r="AH1552">
        <v>15</v>
      </c>
      <c r="AI1552">
        <v>35.17</v>
      </c>
      <c r="AJ1552" t="s">
        <v>2</v>
      </c>
      <c r="AK1552" t="s">
        <v>11</v>
      </c>
    </row>
    <row r="1553" spans="1:37">
      <c r="A1553">
        <v>257844</v>
      </c>
      <c r="B1553" s="1">
        <v>45366</v>
      </c>
      <c r="C1553" t="s">
        <v>1689</v>
      </c>
      <c r="D1553" t="s">
        <v>1690</v>
      </c>
      <c r="E1553" t="s">
        <v>1691</v>
      </c>
      <c r="F1553" t="s">
        <v>1692</v>
      </c>
      <c r="G1553" t="s">
        <v>75</v>
      </c>
      <c r="H1553" t="s">
        <v>1693</v>
      </c>
      <c r="I1553" t="s">
        <v>2389</v>
      </c>
      <c r="J1553" t="s">
        <v>2390</v>
      </c>
      <c r="K1553" t="s">
        <v>2</v>
      </c>
      <c r="L1553" t="s">
        <v>2391</v>
      </c>
      <c r="M1553" t="s">
        <v>137</v>
      </c>
      <c r="N1553">
        <v>94111</v>
      </c>
      <c r="O1553" t="s">
        <v>1697</v>
      </c>
      <c r="P1553" t="s">
        <v>2392</v>
      </c>
      <c r="Q1553" t="s">
        <v>1699</v>
      </c>
      <c r="R1553">
        <v>415239</v>
      </c>
      <c r="S1553" t="s">
        <v>1314</v>
      </c>
      <c r="T1553" s="2">
        <v>10</v>
      </c>
      <c r="U1553">
        <v>0</v>
      </c>
      <c r="V1553" t="s">
        <v>260</v>
      </c>
      <c r="W1553">
        <v>1</v>
      </c>
      <c r="X1553">
        <v>1</v>
      </c>
      <c r="Y1553">
        <v>0</v>
      </c>
      <c r="Z1553" t="s">
        <v>2064</v>
      </c>
      <c r="AA1553" t="s">
        <v>2065</v>
      </c>
      <c r="AB1553" t="s">
        <v>14</v>
      </c>
      <c r="AC1553">
        <v>2.29</v>
      </c>
      <c r="AD1553">
        <v>2.29</v>
      </c>
      <c r="AE1553">
        <v>726182084336</v>
      </c>
      <c r="AF1553">
        <v>20.170000000000002</v>
      </c>
      <c r="AG1553">
        <v>0</v>
      </c>
      <c r="AH1553">
        <v>15</v>
      </c>
      <c r="AI1553">
        <v>35.17</v>
      </c>
      <c r="AJ1553" t="s">
        <v>2</v>
      </c>
      <c r="AK1553" t="s">
        <v>11</v>
      </c>
    </row>
    <row r="1554" spans="1:37">
      <c r="A1554">
        <v>257844</v>
      </c>
      <c r="B1554" s="1">
        <v>45366</v>
      </c>
      <c r="C1554" t="s">
        <v>1689</v>
      </c>
      <c r="D1554" t="s">
        <v>1690</v>
      </c>
      <c r="E1554" t="s">
        <v>1691</v>
      </c>
      <c r="F1554" t="s">
        <v>1692</v>
      </c>
      <c r="G1554" t="s">
        <v>75</v>
      </c>
      <c r="H1554" t="s">
        <v>1693</v>
      </c>
      <c r="I1554" t="s">
        <v>2389</v>
      </c>
      <c r="J1554" t="s">
        <v>2390</v>
      </c>
      <c r="K1554" t="s">
        <v>2</v>
      </c>
      <c r="L1554" t="s">
        <v>2391</v>
      </c>
      <c r="M1554" t="s">
        <v>137</v>
      </c>
      <c r="N1554">
        <v>94111</v>
      </c>
      <c r="O1554" t="s">
        <v>1697</v>
      </c>
      <c r="P1554" t="s">
        <v>2392</v>
      </c>
      <c r="Q1554" t="s">
        <v>1699</v>
      </c>
      <c r="R1554">
        <v>415239</v>
      </c>
      <c r="S1554" t="s">
        <v>1314</v>
      </c>
      <c r="T1554" s="2">
        <v>10</v>
      </c>
      <c r="U1554">
        <v>0</v>
      </c>
      <c r="V1554" t="s">
        <v>260</v>
      </c>
      <c r="W1554">
        <v>0</v>
      </c>
      <c r="X1554">
        <v>0</v>
      </c>
      <c r="Y1554">
        <v>0</v>
      </c>
      <c r="Z1554" t="s">
        <v>88</v>
      </c>
      <c r="AA1554" t="s">
        <v>1723</v>
      </c>
      <c r="AB1554" t="s">
        <v>10</v>
      </c>
      <c r="AC1554">
        <v>0</v>
      </c>
      <c r="AD1554">
        <v>0</v>
      </c>
      <c r="AE1554">
        <v>726182084336</v>
      </c>
      <c r="AF1554">
        <v>20.170000000000002</v>
      </c>
      <c r="AG1554">
        <v>0</v>
      </c>
      <c r="AH1554">
        <v>15</v>
      </c>
      <c r="AI1554">
        <v>35.17</v>
      </c>
      <c r="AJ1554" t="s">
        <v>2</v>
      </c>
      <c r="AK1554" t="s">
        <v>11</v>
      </c>
    </row>
    <row r="1555" spans="1:37">
      <c r="A1555">
        <v>257844</v>
      </c>
      <c r="B1555" s="1">
        <v>45366</v>
      </c>
      <c r="C1555" t="s">
        <v>1689</v>
      </c>
      <c r="D1555" t="s">
        <v>1690</v>
      </c>
      <c r="E1555" t="s">
        <v>1691</v>
      </c>
      <c r="F1555" t="s">
        <v>1692</v>
      </c>
      <c r="G1555" t="s">
        <v>75</v>
      </c>
      <c r="H1555" t="s">
        <v>1693</v>
      </c>
      <c r="I1555" t="s">
        <v>2389</v>
      </c>
      <c r="J1555" t="s">
        <v>2390</v>
      </c>
      <c r="K1555" t="s">
        <v>2</v>
      </c>
      <c r="L1555" t="s">
        <v>2391</v>
      </c>
      <c r="M1555" t="s">
        <v>137</v>
      </c>
      <c r="N1555">
        <v>94111</v>
      </c>
      <c r="O1555" t="s">
        <v>1697</v>
      </c>
      <c r="P1555" t="s">
        <v>2392</v>
      </c>
      <c r="Q1555" t="s">
        <v>1699</v>
      </c>
      <c r="R1555">
        <v>415239</v>
      </c>
      <c r="S1555" t="s">
        <v>1314</v>
      </c>
      <c r="T1555" s="2">
        <v>10</v>
      </c>
      <c r="U1555">
        <v>0</v>
      </c>
      <c r="V1555" t="s">
        <v>260</v>
      </c>
      <c r="W1555">
        <v>1</v>
      </c>
      <c r="X1555">
        <v>1</v>
      </c>
      <c r="Y1555">
        <v>0</v>
      </c>
      <c r="Z1555" t="s">
        <v>2038</v>
      </c>
      <c r="AA1555" t="s">
        <v>2039</v>
      </c>
      <c r="AB1555" t="s">
        <v>14</v>
      </c>
      <c r="AC1555">
        <v>2.29</v>
      </c>
      <c r="AD1555">
        <v>2.29</v>
      </c>
      <c r="AE1555">
        <v>726182084336</v>
      </c>
      <c r="AF1555">
        <v>20.170000000000002</v>
      </c>
      <c r="AG1555">
        <v>0</v>
      </c>
      <c r="AH1555">
        <v>15</v>
      </c>
      <c r="AI1555">
        <v>35.17</v>
      </c>
      <c r="AJ1555" t="s">
        <v>2</v>
      </c>
      <c r="AK1555" t="s">
        <v>11</v>
      </c>
    </row>
    <row r="1556" spans="1:37">
      <c r="A1556">
        <v>257844</v>
      </c>
      <c r="B1556" s="1">
        <v>45366</v>
      </c>
      <c r="C1556" t="s">
        <v>1689</v>
      </c>
      <c r="D1556" t="s">
        <v>1690</v>
      </c>
      <c r="E1556" t="s">
        <v>1691</v>
      </c>
      <c r="F1556" t="s">
        <v>1692</v>
      </c>
      <c r="G1556" t="s">
        <v>75</v>
      </c>
      <c r="H1556" t="s">
        <v>1693</v>
      </c>
      <c r="I1556" t="s">
        <v>2389</v>
      </c>
      <c r="J1556" t="s">
        <v>2390</v>
      </c>
      <c r="K1556" t="s">
        <v>2</v>
      </c>
      <c r="L1556" t="s">
        <v>2391</v>
      </c>
      <c r="M1556" t="s">
        <v>137</v>
      </c>
      <c r="N1556">
        <v>94111</v>
      </c>
      <c r="O1556" t="s">
        <v>1697</v>
      </c>
      <c r="P1556" t="s">
        <v>2392</v>
      </c>
      <c r="Q1556" t="s">
        <v>1699</v>
      </c>
      <c r="R1556">
        <v>415239</v>
      </c>
      <c r="S1556" t="s">
        <v>1314</v>
      </c>
      <c r="T1556" s="2">
        <v>10</v>
      </c>
      <c r="U1556">
        <v>0</v>
      </c>
      <c r="V1556" t="s">
        <v>260</v>
      </c>
      <c r="W1556">
        <v>0</v>
      </c>
      <c r="X1556">
        <v>0</v>
      </c>
      <c r="Y1556">
        <v>0</v>
      </c>
      <c r="Z1556" t="s">
        <v>88</v>
      </c>
      <c r="AA1556" t="s">
        <v>1723</v>
      </c>
      <c r="AB1556" t="s">
        <v>10</v>
      </c>
      <c r="AC1556">
        <v>0</v>
      </c>
      <c r="AD1556">
        <v>0</v>
      </c>
      <c r="AE1556">
        <v>726182084336</v>
      </c>
      <c r="AF1556">
        <v>20.170000000000002</v>
      </c>
      <c r="AG1556">
        <v>0</v>
      </c>
      <c r="AH1556">
        <v>15</v>
      </c>
      <c r="AI1556">
        <v>35.17</v>
      </c>
      <c r="AJ1556" t="s">
        <v>2</v>
      </c>
      <c r="AK1556" t="s">
        <v>11</v>
      </c>
    </row>
    <row r="1557" spans="1:37">
      <c r="A1557">
        <v>257844</v>
      </c>
      <c r="B1557" s="1">
        <v>45366</v>
      </c>
      <c r="C1557" t="s">
        <v>1689</v>
      </c>
      <c r="D1557" t="s">
        <v>1690</v>
      </c>
      <c r="E1557" t="s">
        <v>1691</v>
      </c>
      <c r="F1557" t="s">
        <v>1692</v>
      </c>
      <c r="G1557" t="s">
        <v>75</v>
      </c>
      <c r="H1557" t="s">
        <v>1693</v>
      </c>
      <c r="I1557" t="s">
        <v>2389</v>
      </c>
      <c r="J1557" t="s">
        <v>2390</v>
      </c>
      <c r="K1557" t="s">
        <v>2</v>
      </c>
      <c r="L1557" t="s">
        <v>2391</v>
      </c>
      <c r="M1557" t="s">
        <v>137</v>
      </c>
      <c r="N1557">
        <v>94111</v>
      </c>
      <c r="O1557" t="s">
        <v>1697</v>
      </c>
      <c r="P1557" t="s">
        <v>2392</v>
      </c>
      <c r="Q1557" t="s">
        <v>1699</v>
      </c>
      <c r="R1557">
        <v>415239</v>
      </c>
      <c r="S1557" t="s">
        <v>1314</v>
      </c>
      <c r="T1557" s="2">
        <v>10</v>
      </c>
      <c r="U1557">
        <v>0</v>
      </c>
      <c r="V1557" t="s">
        <v>260</v>
      </c>
      <c r="W1557">
        <v>1</v>
      </c>
      <c r="X1557">
        <v>1</v>
      </c>
      <c r="Y1557">
        <v>0</v>
      </c>
      <c r="Z1557" t="s">
        <v>2393</v>
      </c>
      <c r="AA1557" t="s">
        <v>2394</v>
      </c>
      <c r="AB1557" t="s">
        <v>14</v>
      </c>
      <c r="AC1557">
        <v>1.9</v>
      </c>
      <c r="AD1557">
        <v>1.9</v>
      </c>
      <c r="AE1557">
        <v>726182084336</v>
      </c>
      <c r="AF1557">
        <v>20.170000000000002</v>
      </c>
      <c r="AG1557">
        <v>0</v>
      </c>
      <c r="AH1557">
        <v>15</v>
      </c>
      <c r="AI1557">
        <v>35.17</v>
      </c>
      <c r="AJ1557" t="s">
        <v>2</v>
      </c>
      <c r="AK1557" t="s">
        <v>11</v>
      </c>
    </row>
    <row r="1558" spans="1:37">
      <c r="A1558">
        <v>257844</v>
      </c>
      <c r="B1558" s="1">
        <v>45366</v>
      </c>
      <c r="C1558" t="s">
        <v>1689</v>
      </c>
      <c r="D1558" t="s">
        <v>1690</v>
      </c>
      <c r="E1558" t="s">
        <v>1691</v>
      </c>
      <c r="F1558" t="s">
        <v>1692</v>
      </c>
      <c r="G1558" t="s">
        <v>75</v>
      </c>
      <c r="H1558" t="s">
        <v>1693</v>
      </c>
      <c r="I1558" t="s">
        <v>2389</v>
      </c>
      <c r="J1558" t="s">
        <v>2390</v>
      </c>
      <c r="K1558" t="s">
        <v>2</v>
      </c>
      <c r="L1558" t="s">
        <v>2391</v>
      </c>
      <c r="M1558" t="s">
        <v>137</v>
      </c>
      <c r="N1558">
        <v>94111</v>
      </c>
      <c r="O1558" t="s">
        <v>1697</v>
      </c>
      <c r="P1558" t="s">
        <v>2392</v>
      </c>
      <c r="Q1558" t="s">
        <v>1699</v>
      </c>
      <c r="R1558">
        <v>415239</v>
      </c>
      <c r="S1558" t="s">
        <v>1314</v>
      </c>
      <c r="T1558" s="2">
        <v>10</v>
      </c>
      <c r="U1558">
        <v>0</v>
      </c>
      <c r="V1558" t="s">
        <v>260</v>
      </c>
      <c r="W1558">
        <v>0</v>
      </c>
      <c r="X1558">
        <v>0</v>
      </c>
      <c r="Y1558">
        <v>0</v>
      </c>
      <c r="Z1558" t="s">
        <v>88</v>
      </c>
      <c r="AA1558" t="s">
        <v>1732</v>
      </c>
      <c r="AB1558" t="s">
        <v>10</v>
      </c>
      <c r="AC1558">
        <v>0</v>
      </c>
      <c r="AD1558">
        <v>0</v>
      </c>
      <c r="AE1558">
        <v>726182084336</v>
      </c>
      <c r="AF1558">
        <v>20.170000000000002</v>
      </c>
      <c r="AG1558">
        <v>0</v>
      </c>
      <c r="AH1558">
        <v>15</v>
      </c>
      <c r="AI1558">
        <v>35.17</v>
      </c>
      <c r="AJ1558" t="s">
        <v>2</v>
      </c>
      <c r="AK1558" t="s">
        <v>11</v>
      </c>
    </row>
    <row r="1559" spans="1:37">
      <c r="A1559">
        <v>257844</v>
      </c>
      <c r="B1559" s="1">
        <v>45366</v>
      </c>
      <c r="C1559" t="s">
        <v>1689</v>
      </c>
      <c r="D1559" t="s">
        <v>1690</v>
      </c>
      <c r="E1559" t="s">
        <v>1691</v>
      </c>
      <c r="F1559" t="s">
        <v>1692</v>
      </c>
      <c r="G1559" t="s">
        <v>75</v>
      </c>
      <c r="H1559" t="s">
        <v>1693</v>
      </c>
      <c r="I1559" t="s">
        <v>2389</v>
      </c>
      <c r="J1559" t="s">
        <v>2390</v>
      </c>
      <c r="K1559" t="s">
        <v>2</v>
      </c>
      <c r="L1559" t="s">
        <v>2391</v>
      </c>
      <c r="M1559" t="s">
        <v>137</v>
      </c>
      <c r="N1559">
        <v>94111</v>
      </c>
      <c r="O1559" t="s">
        <v>1697</v>
      </c>
      <c r="P1559" t="s">
        <v>2392</v>
      </c>
      <c r="Q1559" t="s">
        <v>1699</v>
      </c>
      <c r="R1559">
        <v>415239</v>
      </c>
      <c r="S1559" t="s">
        <v>1314</v>
      </c>
      <c r="T1559" s="2">
        <v>10</v>
      </c>
      <c r="U1559">
        <v>0</v>
      </c>
      <c r="V1559" t="s">
        <v>260</v>
      </c>
      <c r="W1559">
        <v>1</v>
      </c>
      <c r="X1559">
        <v>1</v>
      </c>
      <c r="Y1559">
        <v>0</v>
      </c>
      <c r="Z1559" t="s">
        <v>2395</v>
      </c>
      <c r="AA1559" t="s">
        <v>2396</v>
      </c>
      <c r="AB1559" t="s">
        <v>14</v>
      </c>
      <c r="AC1559">
        <v>1.9</v>
      </c>
      <c r="AD1559">
        <v>1.9</v>
      </c>
      <c r="AE1559">
        <v>726182084336</v>
      </c>
      <c r="AF1559">
        <v>20.170000000000002</v>
      </c>
      <c r="AG1559">
        <v>0</v>
      </c>
      <c r="AH1559">
        <v>15</v>
      </c>
      <c r="AI1559">
        <v>35.17</v>
      </c>
      <c r="AJ1559" t="s">
        <v>2</v>
      </c>
      <c r="AK1559" t="s">
        <v>11</v>
      </c>
    </row>
    <row r="1560" spans="1:37">
      <c r="A1560">
        <v>257844</v>
      </c>
      <c r="B1560" s="1">
        <v>45366</v>
      </c>
      <c r="C1560" t="s">
        <v>1689</v>
      </c>
      <c r="D1560" t="s">
        <v>1690</v>
      </c>
      <c r="E1560" t="s">
        <v>1691</v>
      </c>
      <c r="F1560" t="s">
        <v>1692</v>
      </c>
      <c r="G1560" t="s">
        <v>75</v>
      </c>
      <c r="H1560" t="s">
        <v>1693</v>
      </c>
      <c r="I1560" t="s">
        <v>2389</v>
      </c>
      <c r="J1560" t="s">
        <v>2390</v>
      </c>
      <c r="K1560" t="s">
        <v>2</v>
      </c>
      <c r="L1560" t="s">
        <v>2391</v>
      </c>
      <c r="M1560" t="s">
        <v>137</v>
      </c>
      <c r="N1560">
        <v>94111</v>
      </c>
      <c r="O1560" t="s">
        <v>1697</v>
      </c>
      <c r="P1560" t="s">
        <v>2392</v>
      </c>
      <c r="Q1560" t="s">
        <v>1699</v>
      </c>
      <c r="R1560">
        <v>415239</v>
      </c>
      <c r="S1560" t="s">
        <v>1314</v>
      </c>
      <c r="T1560" s="2">
        <v>10</v>
      </c>
      <c r="U1560">
        <v>0</v>
      </c>
      <c r="V1560" t="s">
        <v>260</v>
      </c>
      <c r="W1560">
        <v>0</v>
      </c>
      <c r="X1560">
        <v>0</v>
      </c>
      <c r="Y1560">
        <v>0</v>
      </c>
      <c r="Z1560" t="s">
        <v>88</v>
      </c>
      <c r="AA1560" t="s">
        <v>1732</v>
      </c>
      <c r="AB1560" t="s">
        <v>10</v>
      </c>
      <c r="AC1560">
        <v>0</v>
      </c>
      <c r="AD1560">
        <v>0</v>
      </c>
      <c r="AE1560">
        <v>726182084336</v>
      </c>
      <c r="AF1560">
        <v>20.170000000000002</v>
      </c>
      <c r="AG1560">
        <v>0</v>
      </c>
      <c r="AH1560">
        <v>15</v>
      </c>
      <c r="AI1560">
        <v>35.17</v>
      </c>
      <c r="AJ1560" t="s">
        <v>2</v>
      </c>
      <c r="AK1560" t="s">
        <v>11</v>
      </c>
    </row>
    <row r="1561" spans="1:37">
      <c r="A1561">
        <v>257844</v>
      </c>
      <c r="B1561" s="1">
        <v>45366</v>
      </c>
      <c r="C1561" t="s">
        <v>1689</v>
      </c>
      <c r="D1561" t="s">
        <v>1690</v>
      </c>
      <c r="E1561" t="s">
        <v>1691</v>
      </c>
      <c r="F1561" t="s">
        <v>1692</v>
      </c>
      <c r="G1561" t="s">
        <v>75</v>
      </c>
      <c r="H1561" t="s">
        <v>1693</v>
      </c>
      <c r="I1561" t="s">
        <v>2389</v>
      </c>
      <c r="J1561" t="s">
        <v>2390</v>
      </c>
      <c r="K1561" t="s">
        <v>2</v>
      </c>
      <c r="L1561" t="s">
        <v>2391</v>
      </c>
      <c r="M1561" t="s">
        <v>137</v>
      </c>
      <c r="N1561">
        <v>94111</v>
      </c>
      <c r="O1561" t="s">
        <v>1697</v>
      </c>
      <c r="P1561" t="s">
        <v>2392</v>
      </c>
      <c r="Q1561" t="s">
        <v>1699</v>
      </c>
      <c r="R1561">
        <v>415239</v>
      </c>
      <c r="S1561" t="s">
        <v>1314</v>
      </c>
      <c r="T1561" s="2">
        <v>10</v>
      </c>
      <c r="U1561">
        <v>0</v>
      </c>
      <c r="V1561" t="s">
        <v>260</v>
      </c>
      <c r="W1561">
        <v>1</v>
      </c>
      <c r="X1561">
        <v>1</v>
      </c>
      <c r="Y1561">
        <v>0</v>
      </c>
      <c r="Z1561" t="s">
        <v>2397</v>
      </c>
      <c r="AA1561" t="s">
        <v>2398</v>
      </c>
      <c r="AB1561" t="s">
        <v>14</v>
      </c>
      <c r="AC1561">
        <v>1.9</v>
      </c>
      <c r="AD1561">
        <v>1.9</v>
      </c>
      <c r="AE1561">
        <v>726182084336</v>
      </c>
      <c r="AF1561">
        <v>20.170000000000002</v>
      </c>
      <c r="AG1561">
        <v>0</v>
      </c>
      <c r="AH1561">
        <v>15</v>
      </c>
      <c r="AI1561">
        <v>35.17</v>
      </c>
      <c r="AJ1561" t="s">
        <v>2</v>
      </c>
      <c r="AK1561" t="s">
        <v>11</v>
      </c>
    </row>
    <row r="1562" spans="1:37">
      <c r="A1562">
        <v>257844</v>
      </c>
      <c r="B1562" s="1">
        <v>45366</v>
      </c>
      <c r="C1562" t="s">
        <v>1689</v>
      </c>
      <c r="D1562" t="s">
        <v>1690</v>
      </c>
      <c r="E1562" t="s">
        <v>1691</v>
      </c>
      <c r="F1562" t="s">
        <v>1692</v>
      </c>
      <c r="G1562" t="s">
        <v>75</v>
      </c>
      <c r="H1562" t="s">
        <v>1693</v>
      </c>
      <c r="I1562" t="s">
        <v>2389</v>
      </c>
      <c r="J1562" t="s">
        <v>2390</v>
      </c>
      <c r="K1562" t="s">
        <v>2</v>
      </c>
      <c r="L1562" t="s">
        <v>2391</v>
      </c>
      <c r="M1562" t="s">
        <v>137</v>
      </c>
      <c r="N1562">
        <v>94111</v>
      </c>
      <c r="O1562" t="s">
        <v>1697</v>
      </c>
      <c r="P1562" t="s">
        <v>2392</v>
      </c>
      <c r="Q1562" t="s">
        <v>1699</v>
      </c>
      <c r="R1562">
        <v>415239</v>
      </c>
      <c r="S1562" t="s">
        <v>1314</v>
      </c>
      <c r="T1562" s="2">
        <v>10</v>
      </c>
      <c r="U1562">
        <v>0</v>
      </c>
      <c r="V1562" t="s">
        <v>260</v>
      </c>
      <c r="W1562">
        <v>0</v>
      </c>
      <c r="X1562">
        <v>0</v>
      </c>
      <c r="Y1562">
        <v>0</v>
      </c>
      <c r="Z1562" t="s">
        <v>88</v>
      </c>
      <c r="AA1562" t="s">
        <v>1732</v>
      </c>
      <c r="AB1562" t="s">
        <v>10</v>
      </c>
      <c r="AC1562">
        <v>0</v>
      </c>
      <c r="AD1562">
        <v>0</v>
      </c>
      <c r="AE1562">
        <v>726182084336</v>
      </c>
      <c r="AF1562">
        <v>20.170000000000002</v>
      </c>
      <c r="AG1562">
        <v>0</v>
      </c>
      <c r="AH1562">
        <v>15</v>
      </c>
      <c r="AI1562">
        <v>35.17</v>
      </c>
      <c r="AJ1562" t="s">
        <v>2</v>
      </c>
      <c r="AK1562" t="s">
        <v>11</v>
      </c>
    </row>
    <row r="1563" spans="1:37">
      <c r="A1563">
        <v>257844</v>
      </c>
      <c r="B1563" s="1">
        <v>45366</v>
      </c>
      <c r="C1563" t="s">
        <v>1689</v>
      </c>
      <c r="D1563" t="s">
        <v>1690</v>
      </c>
      <c r="E1563" t="s">
        <v>1691</v>
      </c>
      <c r="F1563" t="s">
        <v>1692</v>
      </c>
      <c r="G1563" t="s">
        <v>75</v>
      </c>
      <c r="H1563" t="s">
        <v>1693</v>
      </c>
      <c r="I1563" t="s">
        <v>2389</v>
      </c>
      <c r="J1563" t="s">
        <v>2390</v>
      </c>
      <c r="K1563" t="s">
        <v>2</v>
      </c>
      <c r="L1563" t="s">
        <v>2391</v>
      </c>
      <c r="M1563" t="s">
        <v>137</v>
      </c>
      <c r="N1563">
        <v>94111</v>
      </c>
      <c r="O1563" t="s">
        <v>1697</v>
      </c>
      <c r="P1563" t="s">
        <v>2392</v>
      </c>
      <c r="Q1563" t="s">
        <v>1699</v>
      </c>
      <c r="R1563">
        <v>415239</v>
      </c>
      <c r="S1563" t="s">
        <v>1314</v>
      </c>
      <c r="T1563" s="2">
        <v>10</v>
      </c>
      <c r="U1563">
        <v>0</v>
      </c>
      <c r="V1563" t="s">
        <v>260</v>
      </c>
      <c r="W1563">
        <v>1</v>
      </c>
      <c r="X1563">
        <v>1</v>
      </c>
      <c r="Y1563">
        <v>0</v>
      </c>
      <c r="Z1563" t="s">
        <v>2399</v>
      </c>
      <c r="AA1563" t="s">
        <v>2400</v>
      </c>
      <c r="AB1563" t="s">
        <v>14</v>
      </c>
      <c r="AC1563">
        <v>1.9</v>
      </c>
      <c r="AD1563">
        <v>1.9</v>
      </c>
      <c r="AE1563">
        <v>726182084336</v>
      </c>
      <c r="AF1563">
        <v>20.170000000000002</v>
      </c>
      <c r="AG1563">
        <v>0</v>
      </c>
      <c r="AH1563">
        <v>15</v>
      </c>
      <c r="AI1563">
        <v>35.17</v>
      </c>
      <c r="AJ1563" t="s">
        <v>2</v>
      </c>
      <c r="AK1563" t="s">
        <v>11</v>
      </c>
    </row>
    <row r="1564" spans="1:37">
      <c r="A1564">
        <v>257844</v>
      </c>
      <c r="B1564" s="1">
        <v>45366</v>
      </c>
      <c r="C1564" t="s">
        <v>1689</v>
      </c>
      <c r="D1564" t="s">
        <v>1690</v>
      </c>
      <c r="E1564" t="s">
        <v>1691</v>
      </c>
      <c r="F1564" t="s">
        <v>1692</v>
      </c>
      <c r="G1564" t="s">
        <v>75</v>
      </c>
      <c r="H1564" t="s">
        <v>1693</v>
      </c>
      <c r="I1564" t="s">
        <v>2389</v>
      </c>
      <c r="J1564" t="s">
        <v>2390</v>
      </c>
      <c r="K1564" t="s">
        <v>2</v>
      </c>
      <c r="L1564" t="s">
        <v>2391</v>
      </c>
      <c r="M1564" t="s">
        <v>137</v>
      </c>
      <c r="N1564">
        <v>94111</v>
      </c>
      <c r="O1564" t="s">
        <v>1697</v>
      </c>
      <c r="P1564" t="s">
        <v>2392</v>
      </c>
      <c r="Q1564" t="s">
        <v>1699</v>
      </c>
      <c r="R1564">
        <v>415239</v>
      </c>
      <c r="S1564" t="s">
        <v>1314</v>
      </c>
      <c r="T1564" s="2">
        <v>10</v>
      </c>
      <c r="U1564">
        <v>0</v>
      </c>
      <c r="V1564" t="s">
        <v>260</v>
      </c>
      <c r="W1564">
        <v>0</v>
      </c>
      <c r="X1564">
        <v>0</v>
      </c>
      <c r="Y1564">
        <v>0</v>
      </c>
      <c r="Z1564" t="s">
        <v>88</v>
      </c>
      <c r="AA1564" t="s">
        <v>1732</v>
      </c>
      <c r="AB1564" t="s">
        <v>10</v>
      </c>
      <c r="AC1564">
        <v>0</v>
      </c>
      <c r="AD1564">
        <v>0</v>
      </c>
      <c r="AE1564">
        <v>726182084336</v>
      </c>
      <c r="AF1564">
        <v>20.170000000000002</v>
      </c>
      <c r="AG1564">
        <v>0</v>
      </c>
      <c r="AH1564">
        <v>15</v>
      </c>
      <c r="AI1564">
        <v>35.17</v>
      </c>
      <c r="AJ1564" t="s">
        <v>2</v>
      </c>
      <c r="AK1564" t="s">
        <v>11</v>
      </c>
    </row>
    <row r="1565" spans="1:37">
      <c r="A1565">
        <v>257844</v>
      </c>
      <c r="B1565" s="1">
        <v>45366</v>
      </c>
      <c r="C1565" t="s">
        <v>1689</v>
      </c>
      <c r="D1565" t="s">
        <v>1690</v>
      </c>
      <c r="E1565" t="s">
        <v>1691</v>
      </c>
      <c r="F1565" t="s">
        <v>1692</v>
      </c>
      <c r="G1565" t="s">
        <v>75</v>
      </c>
      <c r="H1565" t="s">
        <v>1693</v>
      </c>
      <c r="I1565" t="s">
        <v>2389</v>
      </c>
      <c r="J1565" t="s">
        <v>2390</v>
      </c>
      <c r="K1565" t="s">
        <v>2</v>
      </c>
      <c r="L1565" t="s">
        <v>2391</v>
      </c>
      <c r="M1565" t="s">
        <v>137</v>
      </c>
      <c r="N1565">
        <v>94111</v>
      </c>
      <c r="O1565" t="s">
        <v>1697</v>
      </c>
      <c r="P1565" t="s">
        <v>2392</v>
      </c>
      <c r="Q1565" t="s">
        <v>1699</v>
      </c>
      <c r="R1565">
        <v>415239</v>
      </c>
      <c r="S1565" t="s">
        <v>1314</v>
      </c>
      <c r="T1565" s="2">
        <v>10</v>
      </c>
      <c r="U1565">
        <v>0</v>
      </c>
      <c r="V1565" t="s">
        <v>260</v>
      </c>
      <c r="W1565">
        <v>1</v>
      </c>
      <c r="X1565">
        <v>1</v>
      </c>
      <c r="Y1565">
        <v>0</v>
      </c>
      <c r="Z1565" t="s">
        <v>1900</v>
      </c>
      <c r="AA1565" t="s">
        <v>1901</v>
      </c>
      <c r="AB1565" t="s">
        <v>14</v>
      </c>
      <c r="AC1565">
        <v>1.9</v>
      </c>
      <c r="AD1565">
        <v>1.9</v>
      </c>
      <c r="AE1565">
        <v>726182084336</v>
      </c>
      <c r="AF1565">
        <v>20.170000000000002</v>
      </c>
      <c r="AG1565">
        <v>0</v>
      </c>
      <c r="AH1565">
        <v>15</v>
      </c>
      <c r="AI1565">
        <v>35.17</v>
      </c>
      <c r="AJ1565" t="s">
        <v>2</v>
      </c>
      <c r="AK1565" t="s">
        <v>11</v>
      </c>
    </row>
    <row r="1566" spans="1:37">
      <c r="A1566">
        <v>257844</v>
      </c>
      <c r="B1566" s="1">
        <v>45366</v>
      </c>
      <c r="C1566" t="s">
        <v>1689</v>
      </c>
      <c r="D1566" t="s">
        <v>1690</v>
      </c>
      <c r="E1566" t="s">
        <v>1691</v>
      </c>
      <c r="F1566" t="s">
        <v>1692</v>
      </c>
      <c r="G1566" t="s">
        <v>75</v>
      </c>
      <c r="H1566" t="s">
        <v>1693</v>
      </c>
      <c r="I1566" t="s">
        <v>2389</v>
      </c>
      <c r="J1566" t="s">
        <v>2390</v>
      </c>
      <c r="K1566" t="s">
        <v>2</v>
      </c>
      <c r="L1566" t="s">
        <v>2391</v>
      </c>
      <c r="M1566" t="s">
        <v>137</v>
      </c>
      <c r="N1566">
        <v>94111</v>
      </c>
      <c r="O1566" t="s">
        <v>1697</v>
      </c>
      <c r="P1566" t="s">
        <v>2392</v>
      </c>
      <c r="Q1566" t="s">
        <v>1699</v>
      </c>
      <c r="R1566">
        <v>415239</v>
      </c>
      <c r="S1566" t="s">
        <v>1314</v>
      </c>
      <c r="T1566" s="2">
        <v>10</v>
      </c>
      <c r="U1566">
        <v>0</v>
      </c>
      <c r="V1566" t="s">
        <v>260</v>
      </c>
      <c r="W1566">
        <v>0</v>
      </c>
      <c r="X1566">
        <v>0</v>
      </c>
      <c r="Y1566">
        <v>0</v>
      </c>
      <c r="Z1566" t="s">
        <v>88</v>
      </c>
      <c r="AA1566" t="s">
        <v>1732</v>
      </c>
      <c r="AB1566" t="s">
        <v>10</v>
      </c>
      <c r="AC1566">
        <v>0</v>
      </c>
      <c r="AD1566">
        <v>0</v>
      </c>
      <c r="AE1566">
        <v>726182084336</v>
      </c>
      <c r="AF1566">
        <v>20.170000000000002</v>
      </c>
      <c r="AG1566">
        <v>0</v>
      </c>
      <c r="AH1566">
        <v>15</v>
      </c>
      <c r="AI1566">
        <v>35.17</v>
      </c>
      <c r="AJ1566" t="s">
        <v>2</v>
      </c>
      <c r="AK1566" t="s">
        <v>11</v>
      </c>
    </row>
    <row r="1567" spans="1:37">
      <c r="A1567">
        <v>257844</v>
      </c>
      <c r="B1567" s="1">
        <v>45366</v>
      </c>
      <c r="C1567" t="s">
        <v>1689</v>
      </c>
      <c r="D1567" t="s">
        <v>1690</v>
      </c>
      <c r="E1567" t="s">
        <v>1691</v>
      </c>
      <c r="F1567" t="s">
        <v>1692</v>
      </c>
      <c r="G1567" t="s">
        <v>75</v>
      </c>
      <c r="H1567" t="s">
        <v>1693</v>
      </c>
      <c r="I1567" t="s">
        <v>2389</v>
      </c>
      <c r="J1567" t="s">
        <v>2390</v>
      </c>
      <c r="K1567" t="s">
        <v>2</v>
      </c>
      <c r="L1567" t="s">
        <v>2391</v>
      </c>
      <c r="M1567" t="s">
        <v>137</v>
      </c>
      <c r="N1567">
        <v>94111</v>
      </c>
      <c r="O1567" t="s">
        <v>1697</v>
      </c>
      <c r="P1567" t="s">
        <v>2392</v>
      </c>
      <c r="Q1567" t="s">
        <v>1699</v>
      </c>
      <c r="R1567">
        <v>415239</v>
      </c>
      <c r="S1567" t="s">
        <v>1314</v>
      </c>
      <c r="T1567" s="2">
        <v>10</v>
      </c>
      <c r="U1567">
        <v>0</v>
      </c>
      <c r="V1567" t="s">
        <v>260</v>
      </c>
      <c r="W1567">
        <v>1</v>
      </c>
      <c r="X1567">
        <v>1</v>
      </c>
      <c r="Y1567">
        <v>0</v>
      </c>
      <c r="Z1567" t="s">
        <v>2401</v>
      </c>
      <c r="AA1567" t="s">
        <v>2402</v>
      </c>
      <c r="AB1567" t="s">
        <v>14</v>
      </c>
      <c r="AC1567">
        <v>1.9</v>
      </c>
      <c r="AD1567">
        <v>1.9</v>
      </c>
      <c r="AE1567">
        <v>726182084336</v>
      </c>
      <c r="AF1567">
        <v>20.170000000000002</v>
      </c>
      <c r="AG1567">
        <v>0</v>
      </c>
      <c r="AH1567">
        <v>15</v>
      </c>
      <c r="AI1567">
        <v>35.17</v>
      </c>
      <c r="AJ1567" t="s">
        <v>2</v>
      </c>
      <c r="AK1567" t="s">
        <v>11</v>
      </c>
    </row>
    <row r="1568" spans="1:37">
      <c r="A1568">
        <v>257844</v>
      </c>
      <c r="B1568" s="1">
        <v>45366</v>
      </c>
      <c r="C1568" t="s">
        <v>1689</v>
      </c>
      <c r="D1568" t="s">
        <v>1690</v>
      </c>
      <c r="E1568" t="s">
        <v>1691</v>
      </c>
      <c r="F1568" t="s">
        <v>1692</v>
      </c>
      <c r="G1568" t="s">
        <v>75</v>
      </c>
      <c r="H1568" t="s">
        <v>1693</v>
      </c>
      <c r="I1568" t="s">
        <v>2389</v>
      </c>
      <c r="J1568" t="s">
        <v>2390</v>
      </c>
      <c r="K1568" t="s">
        <v>2</v>
      </c>
      <c r="L1568" t="s">
        <v>2391</v>
      </c>
      <c r="M1568" t="s">
        <v>137</v>
      </c>
      <c r="N1568">
        <v>94111</v>
      </c>
      <c r="O1568" t="s">
        <v>1697</v>
      </c>
      <c r="P1568" t="s">
        <v>2392</v>
      </c>
      <c r="Q1568" t="s">
        <v>1699</v>
      </c>
      <c r="R1568">
        <v>415239</v>
      </c>
      <c r="S1568" t="s">
        <v>1314</v>
      </c>
      <c r="T1568" s="2">
        <v>10</v>
      </c>
      <c r="U1568">
        <v>0</v>
      </c>
      <c r="V1568" t="s">
        <v>260</v>
      </c>
      <c r="W1568">
        <v>0</v>
      </c>
      <c r="X1568">
        <v>0</v>
      </c>
      <c r="Y1568">
        <v>0</v>
      </c>
      <c r="Z1568" t="s">
        <v>88</v>
      </c>
      <c r="AA1568" t="s">
        <v>1732</v>
      </c>
      <c r="AB1568" t="s">
        <v>10</v>
      </c>
      <c r="AC1568">
        <v>0</v>
      </c>
      <c r="AD1568">
        <v>0</v>
      </c>
      <c r="AE1568">
        <v>726182084336</v>
      </c>
      <c r="AF1568">
        <v>20.170000000000002</v>
      </c>
      <c r="AG1568">
        <v>0</v>
      </c>
      <c r="AH1568">
        <v>15</v>
      </c>
      <c r="AI1568">
        <v>35.17</v>
      </c>
      <c r="AJ1568" t="s">
        <v>2</v>
      </c>
      <c r="AK1568" t="s">
        <v>11</v>
      </c>
    </row>
    <row r="1569" spans="1:37">
      <c r="A1569">
        <v>257844</v>
      </c>
      <c r="B1569" s="1">
        <v>45366</v>
      </c>
      <c r="C1569" t="s">
        <v>1689</v>
      </c>
      <c r="D1569" t="s">
        <v>1690</v>
      </c>
      <c r="E1569" t="s">
        <v>1691</v>
      </c>
      <c r="F1569" t="s">
        <v>1692</v>
      </c>
      <c r="G1569" t="s">
        <v>75</v>
      </c>
      <c r="H1569" t="s">
        <v>1693</v>
      </c>
      <c r="I1569" t="s">
        <v>2389</v>
      </c>
      <c r="J1569" t="s">
        <v>2390</v>
      </c>
      <c r="K1569" t="s">
        <v>2</v>
      </c>
      <c r="L1569" t="s">
        <v>2391</v>
      </c>
      <c r="M1569" t="s">
        <v>137</v>
      </c>
      <c r="N1569">
        <v>94111</v>
      </c>
      <c r="O1569" t="s">
        <v>1697</v>
      </c>
      <c r="P1569" t="s">
        <v>2392</v>
      </c>
      <c r="Q1569" t="s">
        <v>1699</v>
      </c>
      <c r="R1569">
        <v>415239</v>
      </c>
      <c r="S1569" t="s">
        <v>1314</v>
      </c>
      <c r="T1569" s="2">
        <v>10</v>
      </c>
      <c r="U1569">
        <v>0</v>
      </c>
      <c r="V1569" t="s">
        <v>260</v>
      </c>
      <c r="W1569">
        <v>1</v>
      </c>
      <c r="X1569">
        <v>1</v>
      </c>
      <c r="Y1569">
        <v>0</v>
      </c>
      <c r="Z1569" t="s">
        <v>1936</v>
      </c>
      <c r="AA1569" t="s">
        <v>1937</v>
      </c>
      <c r="AB1569" t="s">
        <v>14</v>
      </c>
      <c r="AC1569">
        <v>1.9</v>
      </c>
      <c r="AD1569">
        <v>1.9</v>
      </c>
      <c r="AE1569">
        <v>726182084336</v>
      </c>
      <c r="AF1569">
        <v>20.170000000000002</v>
      </c>
      <c r="AG1569">
        <v>0</v>
      </c>
      <c r="AH1569">
        <v>15</v>
      </c>
      <c r="AI1569">
        <v>35.17</v>
      </c>
      <c r="AJ1569" t="s">
        <v>2</v>
      </c>
      <c r="AK1569" t="s">
        <v>11</v>
      </c>
    </row>
    <row r="1570" spans="1:37">
      <c r="A1570">
        <v>257844</v>
      </c>
      <c r="B1570" s="1">
        <v>45366</v>
      </c>
      <c r="C1570" t="s">
        <v>1689</v>
      </c>
      <c r="D1570" t="s">
        <v>1690</v>
      </c>
      <c r="E1570" t="s">
        <v>1691</v>
      </c>
      <c r="F1570" t="s">
        <v>1692</v>
      </c>
      <c r="G1570" t="s">
        <v>75</v>
      </c>
      <c r="H1570" t="s">
        <v>1693</v>
      </c>
      <c r="I1570" t="s">
        <v>2389</v>
      </c>
      <c r="J1570" t="s">
        <v>2390</v>
      </c>
      <c r="K1570" t="s">
        <v>2</v>
      </c>
      <c r="L1570" t="s">
        <v>2391</v>
      </c>
      <c r="M1570" t="s">
        <v>137</v>
      </c>
      <c r="N1570">
        <v>94111</v>
      </c>
      <c r="O1570" t="s">
        <v>1697</v>
      </c>
      <c r="P1570" t="s">
        <v>2392</v>
      </c>
      <c r="Q1570" t="s">
        <v>1699</v>
      </c>
      <c r="R1570">
        <v>415239</v>
      </c>
      <c r="S1570" t="s">
        <v>1314</v>
      </c>
      <c r="T1570" s="2">
        <v>10</v>
      </c>
      <c r="U1570">
        <v>0</v>
      </c>
      <c r="V1570" t="s">
        <v>260</v>
      </c>
      <c r="W1570">
        <v>0</v>
      </c>
      <c r="X1570">
        <v>0</v>
      </c>
      <c r="Y1570">
        <v>0</v>
      </c>
      <c r="Z1570" t="s">
        <v>88</v>
      </c>
      <c r="AA1570" t="s">
        <v>1732</v>
      </c>
      <c r="AB1570" t="s">
        <v>10</v>
      </c>
      <c r="AC1570">
        <v>0</v>
      </c>
      <c r="AD1570">
        <v>0</v>
      </c>
      <c r="AE1570">
        <v>726182084336</v>
      </c>
      <c r="AF1570">
        <v>20.170000000000002</v>
      </c>
      <c r="AG1570">
        <v>0</v>
      </c>
      <c r="AH1570">
        <v>15</v>
      </c>
      <c r="AI1570">
        <v>35.17</v>
      </c>
      <c r="AJ1570" t="s">
        <v>2</v>
      </c>
      <c r="AK1570" t="s">
        <v>11</v>
      </c>
    </row>
    <row r="1571" spans="1:37">
      <c r="A1571">
        <v>257844</v>
      </c>
      <c r="B1571" s="1">
        <v>45366</v>
      </c>
      <c r="C1571" t="s">
        <v>1689</v>
      </c>
      <c r="D1571" t="s">
        <v>1690</v>
      </c>
      <c r="E1571" t="s">
        <v>1691</v>
      </c>
      <c r="F1571" t="s">
        <v>1692</v>
      </c>
      <c r="G1571" t="s">
        <v>75</v>
      </c>
      <c r="H1571" t="s">
        <v>1693</v>
      </c>
      <c r="I1571" t="s">
        <v>2389</v>
      </c>
      <c r="J1571" t="s">
        <v>2390</v>
      </c>
      <c r="K1571" t="s">
        <v>2</v>
      </c>
      <c r="L1571" t="s">
        <v>2391</v>
      </c>
      <c r="M1571" t="s">
        <v>137</v>
      </c>
      <c r="N1571">
        <v>94111</v>
      </c>
      <c r="O1571" t="s">
        <v>1697</v>
      </c>
      <c r="P1571" t="s">
        <v>2392</v>
      </c>
      <c r="Q1571" t="s">
        <v>1699</v>
      </c>
      <c r="R1571">
        <v>415239</v>
      </c>
      <c r="S1571" t="s">
        <v>1314</v>
      </c>
      <c r="T1571" s="2">
        <v>10</v>
      </c>
      <c r="U1571">
        <v>0</v>
      </c>
      <c r="V1571" t="s">
        <v>260</v>
      </c>
      <c r="W1571">
        <v>0</v>
      </c>
      <c r="X1571">
        <v>0</v>
      </c>
      <c r="Y1571">
        <v>0</v>
      </c>
      <c r="Z1571" t="s">
        <v>88</v>
      </c>
      <c r="AA1571" t="s">
        <v>2</v>
      </c>
      <c r="AB1571" t="s">
        <v>10</v>
      </c>
      <c r="AC1571">
        <v>0</v>
      </c>
      <c r="AD1571">
        <v>0</v>
      </c>
      <c r="AE1571">
        <v>726182084336</v>
      </c>
      <c r="AF1571">
        <v>20.170000000000002</v>
      </c>
      <c r="AG1571">
        <v>0</v>
      </c>
      <c r="AH1571">
        <v>15</v>
      </c>
      <c r="AI1571">
        <v>35.17</v>
      </c>
      <c r="AJ1571" t="s">
        <v>2</v>
      </c>
      <c r="AK1571" t="s">
        <v>11</v>
      </c>
    </row>
    <row r="1572" spans="1:37">
      <c r="A1572">
        <v>257844</v>
      </c>
      <c r="B1572" s="1">
        <v>45366</v>
      </c>
      <c r="C1572" t="s">
        <v>1689</v>
      </c>
      <c r="D1572" t="s">
        <v>1690</v>
      </c>
      <c r="E1572" t="s">
        <v>1691</v>
      </c>
      <c r="F1572" t="s">
        <v>1692</v>
      </c>
      <c r="G1572" t="s">
        <v>75</v>
      </c>
      <c r="H1572" t="s">
        <v>1693</v>
      </c>
      <c r="I1572" t="s">
        <v>2389</v>
      </c>
      <c r="J1572" t="s">
        <v>2390</v>
      </c>
      <c r="K1572" t="s">
        <v>2</v>
      </c>
      <c r="L1572" t="s">
        <v>2391</v>
      </c>
      <c r="M1572" t="s">
        <v>137</v>
      </c>
      <c r="N1572">
        <v>94111</v>
      </c>
      <c r="O1572" t="s">
        <v>1697</v>
      </c>
      <c r="P1572" t="s">
        <v>2392</v>
      </c>
      <c r="Q1572" t="s">
        <v>1699</v>
      </c>
      <c r="R1572">
        <v>415239</v>
      </c>
      <c r="S1572" t="s">
        <v>1314</v>
      </c>
      <c r="T1572" s="2">
        <v>10</v>
      </c>
      <c r="U1572">
        <v>0</v>
      </c>
      <c r="V1572" t="s">
        <v>260</v>
      </c>
      <c r="W1572">
        <v>0</v>
      </c>
      <c r="X1572">
        <v>0</v>
      </c>
      <c r="Y1572">
        <v>0</v>
      </c>
      <c r="Z1572" t="s">
        <v>88</v>
      </c>
      <c r="AA1572" t="s">
        <v>2403</v>
      </c>
      <c r="AB1572" t="s">
        <v>10</v>
      </c>
      <c r="AC1572">
        <v>0</v>
      </c>
      <c r="AD1572">
        <v>0</v>
      </c>
      <c r="AE1572">
        <v>726182084336</v>
      </c>
      <c r="AF1572">
        <v>20.170000000000002</v>
      </c>
      <c r="AG1572">
        <v>0</v>
      </c>
      <c r="AH1572">
        <v>15</v>
      </c>
      <c r="AI1572">
        <v>35.17</v>
      </c>
      <c r="AJ1572" t="s">
        <v>2</v>
      </c>
      <c r="AK1572" t="s">
        <v>11</v>
      </c>
    </row>
    <row r="1573" spans="1:37">
      <c r="A1573">
        <v>257844</v>
      </c>
      <c r="B1573" s="1">
        <v>45366</v>
      </c>
      <c r="C1573" t="s">
        <v>1689</v>
      </c>
      <c r="D1573" t="s">
        <v>1690</v>
      </c>
      <c r="E1573" t="s">
        <v>1691</v>
      </c>
      <c r="F1573" t="s">
        <v>1692</v>
      </c>
      <c r="G1573" t="s">
        <v>75</v>
      </c>
      <c r="H1573" t="s">
        <v>1693</v>
      </c>
      <c r="I1573" t="s">
        <v>2389</v>
      </c>
      <c r="J1573" t="s">
        <v>2390</v>
      </c>
      <c r="K1573" t="s">
        <v>2</v>
      </c>
      <c r="L1573" t="s">
        <v>2391</v>
      </c>
      <c r="M1573" t="s">
        <v>137</v>
      </c>
      <c r="N1573">
        <v>94111</v>
      </c>
      <c r="O1573" t="s">
        <v>1697</v>
      </c>
      <c r="P1573" t="s">
        <v>2392</v>
      </c>
      <c r="Q1573" t="s">
        <v>1699</v>
      </c>
      <c r="R1573">
        <v>415239</v>
      </c>
      <c r="S1573" t="s">
        <v>1314</v>
      </c>
      <c r="T1573" s="2">
        <v>10</v>
      </c>
      <c r="U1573">
        <v>0</v>
      </c>
      <c r="V1573" t="s">
        <v>260</v>
      </c>
      <c r="W1573">
        <v>0</v>
      </c>
      <c r="X1573">
        <v>0</v>
      </c>
      <c r="Y1573">
        <v>0</v>
      </c>
      <c r="Z1573" t="s">
        <v>88</v>
      </c>
      <c r="AA1573" t="s">
        <v>2</v>
      </c>
      <c r="AB1573" t="s">
        <v>10</v>
      </c>
      <c r="AC1573">
        <v>0</v>
      </c>
      <c r="AD1573">
        <v>0</v>
      </c>
      <c r="AE1573">
        <v>726182084336</v>
      </c>
      <c r="AF1573">
        <v>20.170000000000002</v>
      </c>
      <c r="AG1573">
        <v>0</v>
      </c>
      <c r="AH1573">
        <v>15</v>
      </c>
      <c r="AI1573">
        <v>35.17</v>
      </c>
      <c r="AJ1573" t="s">
        <v>2</v>
      </c>
      <c r="AK1573" t="s">
        <v>11</v>
      </c>
    </row>
    <row r="1574" spans="1:37">
      <c r="A1574">
        <v>257844</v>
      </c>
      <c r="B1574" s="1">
        <v>45366</v>
      </c>
      <c r="C1574" t="s">
        <v>1689</v>
      </c>
      <c r="D1574" t="s">
        <v>1690</v>
      </c>
      <c r="E1574" t="s">
        <v>1691</v>
      </c>
      <c r="F1574" t="s">
        <v>1692</v>
      </c>
      <c r="G1574" t="s">
        <v>75</v>
      </c>
      <c r="H1574" t="s">
        <v>1693</v>
      </c>
      <c r="I1574" t="s">
        <v>2389</v>
      </c>
      <c r="J1574" t="s">
        <v>2390</v>
      </c>
      <c r="K1574" t="s">
        <v>2</v>
      </c>
      <c r="L1574" t="s">
        <v>2391</v>
      </c>
      <c r="M1574" t="s">
        <v>137</v>
      </c>
      <c r="N1574">
        <v>94111</v>
      </c>
      <c r="O1574" t="s">
        <v>1697</v>
      </c>
      <c r="P1574" t="s">
        <v>2392</v>
      </c>
      <c r="Q1574" t="s">
        <v>1699</v>
      </c>
      <c r="R1574">
        <v>415239</v>
      </c>
      <c r="S1574" t="s">
        <v>1314</v>
      </c>
      <c r="T1574" s="2">
        <v>10</v>
      </c>
      <c r="U1574">
        <v>0</v>
      </c>
      <c r="V1574" t="s">
        <v>260</v>
      </c>
      <c r="W1574">
        <v>0</v>
      </c>
      <c r="X1574">
        <v>0</v>
      </c>
      <c r="Y1574">
        <v>0</v>
      </c>
      <c r="Z1574" t="s">
        <v>88</v>
      </c>
      <c r="AA1574" t="s">
        <v>1035</v>
      </c>
      <c r="AB1574" t="s">
        <v>10</v>
      </c>
      <c r="AC1574">
        <v>0</v>
      </c>
      <c r="AD1574">
        <v>0</v>
      </c>
      <c r="AE1574">
        <v>726182084336</v>
      </c>
      <c r="AF1574">
        <v>20.170000000000002</v>
      </c>
      <c r="AG1574">
        <v>0</v>
      </c>
      <c r="AH1574">
        <v>15</v>
      </c>
      <c r="AI1574">
        <v>35.17</v>
      </c>
      <c r="AJ1574" t="s">
        <v>2</v>
      </c>
      <c r="AK1574" t="s">
        <v>11</v>
      </c>
    </row>
    <row r="1575" spans="1:37">
      <c r="A1575">
        <v>257844</v>
      </c>
      <c r="B1575" s="1">
        <v>45366</v>
      </c>
      <c r="C1575" t="s">
        <v>1689</v>
      </c>
      <c r="D1575" t="s">
        <v>1690</v>
      </c>
      <c r="E1575" t="s">
        <v>1691</v>
      </c>
      <c r="F1575" t="s">
        <v>1692</v>
      </c>
      <c r="G1575" t="s">
        <v>75</v>
      </c>
      <c r="H1575" t="s">
        <v>1693</v>
      </c>
      <c r="I1575" t="s">
        <v>2389</v>
      </c>
      <c r="J1575" t="s">
        <v>2390</v>
      </c>
      <c r="K1575" t="s">
        <v>2</v>
      </c>
      <c r="L1575" t="s">
        <v>2391</v>
      </c>
      <c r="M1575" t="s">
        <v>137</v>
      </c>
      <c r="N1575">
        <v>94111</v>
      </c>
      <c r="O1575" t="s">
        <v>1697</v>
      </c>
      <c r="P1575" t="s">
        <v>2392</v>
      </c>
      <c r="Q1575" t="s">
        <v>1699</v>
      </c>
      <c r="R1575">
        <v>415239</v>
      </c>
      <c r="S1575" t="s">
        <v>1314</v>
      </c>
      <c r="T1575" s="2">
        <v>10</v>
      </c>
      <c r="U1575">
        <v>0</v>
      </c>
      <c r="V1575" t="s">
        <v>260</v>
      </c>
      <c r="W1575">
        <v>0</v>
      </c>
      <c r="X1575">
        <v>0</v>
      </c>
      <c r="Y1575">
        <v>0</v>
      </c>
      <c r="Z1575" t="s">
        <v>88</v>
      </c>
      <c r="AA1575" t="s">
        <v>1317</v>
      </c>
      <c r="AB1575" t="s">
        <v>10</v>
      </c>
      <c r="AC1575">
        <v>0</v>
      </c>
      <c r="AD1575">
        <v>0</v>
      </c>
      <c r="AE1575">
        <v>726182084336</v>
      </c>
      <c r="AF1575">
        <v>20.170000000000002</v>
      </c>
      <c r="AG1575">
        <v>0</v>
      </c>
      <c r="AH1575">
        <v>15</v>
      </c>
      <c r="AI1575">
        <v>35.17</v>
      </c>
      <c r="AJ1575" t="s">
        <v>2</v>
      </c>
      <c r="AK1575" t="s">
        <v>11</v>
      </c>
    </row>
    <row r="1576" spans="1:37">
      <c r="A1576">
        <v>257844</v>
      </c>
      <c r="B1576" s="1">
        <v>45366</v>
      </c>
      <c r="C1576" t="s">
        <v>1689</v>
      </c>
      <c r="D1576" t="s">
        <v>1690</v>
      </c>
      <c r="E1576" t="s">
        <v>1691</v>
      </c>
      <c r="F1576" t="s">
        <v>1692</v>
      </c>
      <c r="G1576" t="s">
        <v>75</v>
      </c>
      <c r="H1576" t="s">
        <v>1693</v>
      </c>
      <c r="I1576" t="s">
        <v>2389</v>
      </c>
      <c r="J1576" t="s">
        <v>2390</v>
      </c>
      <c r="K1576" t="s">
        <v>2</v>
      </c>
      <c r="L1576" t="s">
        <v>2391</v>
      </c>
      <c r="M1576" t="s">
        <v>137</v>
      </c>
      <c r="N1576">
        <v>94111</v>
      </c>
      <c r="O1576" t="s">
        <v>1697</v>
      </c>
      <c r="P1576" t="s">
        <v>2392</v>
      </c>
      <c r="Q1576" t="s">
        <v>1699</v>
      </c>
      <c r="R1576">
        <v>415239</v>
      </c>
      <c r="S1576" t="s">
        <v>1314</v>
      </c>
      <c r="T1576" s="2">
        <v>10</v>
      </c>
      <c r="U1576">
        <v>0</v>
      </c>
      <c r="V1576" t="s">
        <v>260</v>
      </c>
      <c r="W1576">
        <v>0</v>
      </c>
      <c r="X1576">
        <v>0</v>
      </c>
      <c r="Y1576">
        <v>0</v>
      </c>
      <c r="Z1576" t="s">
        <v>88</v>
      </c>
      <c r="AA1576" t="s">
        <v>1035</v>
      </c>
      <c r="AB1576" t="s">
        <v>10</v>
      </c>
      <c r="AC1576">
        <v>0</v>
      </c>
      <c r="AD1576">
        <v>0</v>
      </c>
      <c r="AE1576">
        <v>726182084336</v>
      </c>
      <c r="AF1576">
        <v>20.170000000000002</v>
      </c>
      <c r="AG1576">
        <v>0</v>
      </c>
      <c r="AH1576">
        <v>15</v>
      </c>
      <c r="AI1576">
        <v>35.17</v>
      </c>
      <c r="AJ1576" t="s">
        <v>2</v>
      </c>
      <c r="AK1576" t="s">
        <v>11</v>
      </c>
    </row>
    <row r="1577" spans="1:37">
      <c r="A1577">
        <v>257849</v>
      </c>
      <c r="B1577" s="1">
        <v>45366</v>
      </c>
      <c r="C1577" t="s">
        <v>2404</v>
      </c>
      <c r="D1577" t="s">
        <v>2405</v>
      </c>
      <c r="E1577" t="s">
        <v>2</v>
      </c>
      <c r="F1577" t="s">
        <v>747</v>
      </c>
      <c r="G1577" t="s">
        <v>255</v>
      </c>
      <c r="H1577">
        <v>90090</v>
      </c>
      <c r="I1577" t="s">
        <v>2406</v>
      </c>
      <c r="J1577" t="s">
        <v>2407</v>
      </c>
      <c r="K1577" t="s">
        <v>2</v>
      </c>
      <c r="L1577" t="s">
        <v>2408</v>
      </c>
      <c r="M1577" t="s">
        <v>255</v>
      </c>
      <c r="N1577">
        <v>60504</v>
      </c>
      <c r="O1577" t="s">
        <v>2409</v>
      </c>
      <c r="P1577" t="s">
        <v>2410</v>
      </c>
      <c r="Q1577" t="s">
        <v>6</v>
      </c>
      <c r="R1577">
        <v>415385</v>
      </c>
      <c r="S1577" t="s">
        <v>84</v>
      </c>
      <c r="T1577" s="2">
        <v>45</v>
      </c>
      <c r="U1577">
        <v>0</v>
      </c>
      <c r="V1577" t="s">
        <v>260</v>
      </c>
      <c r="W1577">
        <v>0</v>
      </c>
      <c r="X1577">
        <v>0</v>
      </c>
      <c r="Y1577">
        <v>0</v>
      </c>
      <c r="Z1577" t="s">
        <v>9</v>
      </c>
      <c r="AA1577" t="s">
        <v>2</v>
      </c>
      <c r="AB1577" t="s">
        <v>10</v>
      </c>
      <c r="AC1577">
        <v>0</v>
      </c>
      <c r="AD1577">
        <v>0</v>
      </c>
      <c r="AE1577">
        <v>726182084391</v>
      </c>
      <c r="AF1577">
        <v>0</v>
      </c>
      <c r="AG1577">
        <v>0</v>
      </c>
      <c r="AH1577">
        <v>0</v>
      </c>
      <c r="AI1577">
        <v>0</v>
      </c>
      <c r="AJ1577" t="s">
        <v>2</v>
      </c>
      <c r="AK1577" t="s">
        <v>11</v>
      </c>
    </row>
    <row r="1578" spans="1:37">
      <c r="A1578">
        <v>257849</v>
      </c>
      <c r="B1578" s="1">
        <v>45366</v>
      </c>
      <c r="C1578" t="s">
        <v>2404</v>
      </c>
      <c r="D1578" t="s">
        <v>2405</v>
      </c>
      <c r="E1578" t="s">
        <v>2</v>
      </c>
      <c r="F1578" t="s">
        <v>747</v>
      </c>
      <c r="G1578" t="s">
        <v>255</v>
      </c>
      <c r="H1578">
        <v>90090</v>
      </c>
      <c r="I1578" t="s">
        <v>2406</v>
      </c>
      <c r="J1578" t="s">
        <v>2407</v>
      </c>
      <c r="K1578" t="s">
        <v>2</v>
      </c>
      <c r="L1578" t="s">
        <v>2408</v>
      </c>
      <c r="M1578" t="s">
        <v>255</v>
      </c>
      <c r="N1578">
        <v>60504</v>
      </c>
      <c r="O1578" t="s">
        <v>2409</v>
      </c>
      <c r="P1578" t="s">
        <v>2410</v>
      </c>
      <c r="Q1578" t="s">
        <v>6</v>
      </c>
      <c r="R1578">
        <v>415385</v>
      </c>
      <c r="S1578" t="s">
        <v>84</v>
      </c>
      <c r="T1578" s="2">
        <v>45</v>
      </c>
      <c r="U1578">
        <v>0</v>
      </c>
      <c r="V1578" t="s">
        <v>260</v>
      </c>
      <c r="W1578">
        <v>5</v>
      </c>
      <c r="X1578">
        <v>5</v>
      </c>
      <c r="Y1578">
        <v>0</v>
      </c>
      <c r="Z1578" t="s">
        <v>2411</v>
      </c>
      <c r="AA1578" t="s">
        <v>2412</v>
      </c>
      <c r="AB1578" t="s">
        <v>14</v>
      </c>
      <c r="AC1578">
        <v>0</v>
      </c>
      <c r="AD1578">
        <v>0</v>
      </c>
      <c r="AE1578">
        <v>726182084391</v>
      </c>
      <c r="AF1578">
        <v>0</v>
      </c>
      <c r="AG1578">
        <v>0</v>
      </c>
      <c r="AH1578">
        <v>0</v>
      </c>
      <c r="AI1578">
        <v>0</v>
      </c>
      <c r="AJ1578" t="s">
        <v>2</v>
      </c>
      <c r="AK1578" t="s">
        <v>11</v>
      </c>
    </row>
    <row r="1579" spans="1:37">
      <c r="A1579">
        <v>257849</v>
      </c>
      <c r="B1579" s="1">
        <v>45366</v>
      </c>
      <c r="C1579" t="s">
        <v>2404</v>
      </c>
      <c r="D1579" t="s">
        <v>2405</v>
      </c>
      <c r="E1579" t="s">
        <v>2</v>
      </c>
      <c r="F1579" t="s">
        <v>747</v>
      </c>
      <c r="G1579" t="s">
        <v>255</v>
      </c>
      <c r="H1579">
        <v>90090</v>
      </c>
      <c r="I1579" t="s">
        <v>2406</v>
      </c>
      <c r="J1579" t="s">
        <v>2407</v>
      </c>
      <c r="K1579" t="s">
        <v>2</v>
      </c>
      <c r="L1579" t="s">
        <v>2408</v>
      </c>
      <c r="M1579" t="s">
        <v>255</v>
      </c>
      <c r="N1579">
        <v>60504</v>
      </c>
      <c r="O1579" t="s">
        <v>2409</v>
      </c>
      <c r="P1579" t="s">
        <v>2410</v>
      </c>
      <c r="Q1579" t="s">
        <v>6</v>
      </c>
      <c r="R1579">
        <v>415385</v>
      </c>
      <c r="S1579" t="s">
        <v>84</v>
      </c>
      <c r="T1579" s="2">
        <v>45</v>
      </c>
      <c r="U1579">
        <v>0</v>
      </c>
      <c r="V1579" t="s">
        <v>260</v>
      </c>
      <c r="W1579">
        <v>5</v>
      </c>
      <c r="X1579">
        <v>5</v>
      </c>
      <c r="Y1579">
        <v>0</v>
      </c>
      <c r="Z1579" t="s">
        <v>2413</v>
      </c>
      <c r="AA1579" t="s">
        <v>2414</v>
      </c>
      <c r="AB1579" t="s">
        <v>14</v>
      </c>
      <c r="AC1579">
        <v>0</v>
      </c>
      <c r="AD1579">
        <v>0</v>
      </c>
      <c r="AE1579">
        <v>726182084391</v>
      </c>
      <c r="AF1579">
        <v>0</v>
      </c>
      <c r="AG1579">
        <v>0</v>
      </c>
      <c r="AH1579">
        <v>0</v>
      </c>
      <c r="AI1579">
        <v>0</v>
      </c>
      <c r="AJ1579" t="s">
        <v>2</v>
      </c>
      <c r="AK1579" t="s">
        <v>11</v>
      </c>
    </row>
    <row r="1580" spans="1:37">
      <c r="A1580">
        <v>257849</v>
      </c>
      <c r="B1580" s="1">
        <v>45366</v>
      </c>
      <c r="C1580" t="s">
        <v>2404</v>
      </c>
      <c r="D1580" t="s">
        <v>2405</v>
      </c>
      <c r="E1580" t="s">
        <v>2</v>
      </c>
      <c r="F1580" t="s">
        <v>747</v>
      </c>
      <c r="G1580" t="s">
        <v>255</v>
      </c>
      <c r="H1580">
        <v>90090</v>
      </c>
      <c r="I1580" t="s">
        <v>2406</v>
      </c>
      <c r="J1580" t="s">
        <v>2407</v>
      </c>
      <c r="K1580" t="s">
        <v>2</v>
      </c>
      <c r="L1580" t="s">
        <v>2408</v>
      </c>
      <c r="M1580" t="s">
        <v>255</v>
      </c>
      <c r="N1580">
        <v>60504</v>
      </c>
      <c r="O1580" t="s">
        <v>2409</v>
      </c>
      <c r="P1580" t="s">
        <v>2410</v>
      </c>
      <c r="Q1580" t="s">
        <v>6</v>
      </c>
      <c r="R1580">
        <v>415385</v>
      </c>
      <c r="S1580" t="s">
        <v>84</v>
      </c>
      <c r="T1580" s="2">
        <v>45</v>
      </c>
      <c r="U1580">
        <v>0</v>
      </c>
      <c r="V1580" t="s">
        <v>260</v>
      </c>
      <c r="W1580">
        <v>5</v>
      </c>
      <c r="X1580">
        <v>0</v>
      </c>
      <c r="Y1580">
        <v>5</v>
      </c>
      <c r="Z1580" t="s">
        <v>2415</v>
      </c>
      <c r="AA1580" t="s">
        <v>2416</v>
      </c>
      <c r="AB1580" t="s">
        <v>14</v>
      </c>
      <c r="AC1580">
        <v>0</v>
      </c>
      <c r="AD1580">
        <v>0</v>
      </c>
      <c r="AE1580">
        <v>726182084391</v>
      </c>
      <c r="AF1580">
        <v>0</v>
      </c>
      <c r="AG1580">
        <v>0</v>
      </c>
      <c r="AH1580">
        <v>0</v>
      </c>
      <c r="AI1580">
        <v>0</v>
      </c>
      <c r="AJ1580" t="s">
        <v>2</v>
      </c>
      <c r="AK1580" t="s">
        <v>11</v>
      </c>
    </row>
    <row r="1581" spans="1:37">
      <c r="A1581">
        <v>257849</v>
      </c>
      <c r="B1581" s="1">
        <v>45366</v>
      </c>
      <c r="C1581" t="s">
        <v>2404</v>
      </c>
      <c r="D1581" t="s">
        <v>2405</v>
      </c>
      <c r="E1581" t="s">
        <v>2</v>
      </c>
      <c r="F1581" t="s">
        <v>747</v>
      </c>
      <c r="G1581" t="s">
        <v>255</v>
      </c>
      <c r="H1581">
        <v>90090</v>
      </c>
      <c r="I1581" t="s">
        <v>2406</v>
      </c>
      <c r="J1581" t="s">
        <v>2407</v>
      </c>
      <c r="K1581" t="s">
        <v>2</v>
      </c>
      <c r="L1581" t="s">
        <v>2408</v>
      </c>
      <c r="M1581" t="s">
        <v>255</v>
      </c>
      <c r="N1581">
        <v>60504</v>
      </c>
      <c r="O1581" t="s">
        <v>2409</v>
      </c>
      <c r="P1581" t="s">
        <v>2410</v>
      </c>
      <c r="Q1581" t="s">
        <v>6</v>
      </c>
      <c r="R1581">
        <v>415385</v>
      </c>
      <c r="S1581" t="s">
        <v>84</v>
      </c>
      <c r="T1581" s="2">
        <v>45</v>
      </c>
      <c r="U1581">
        <v>0</v>
      </c>
      <c r="V1581" t="s">
        <v>260</v>
      </c>
      <c r="W1581">
        <v>5</v>
      </c>
      <c r="X1581">
        <v>5</v>
      </c>
      <c r="Y1581">
        <v>0</v>
      </c>
      <c r="Z1581" t="s">
        <v>2417</v>
      </c>
      <c r="AA1581" t="s">
        <v>2418</v>
      </c>
      <c r="AB1581" t="s">
        <v>14</v>
      </c>
      <c r="AC1581">
        <v>0</v>
      </c>
      <c r="AD1581">
        <v>0</v>
      </c>
      <c r="AE1581">
        <v>726182084391</v>
      </c>
      <c r="AF1581">
        <v>0</v>
      </c>
      <c r="AG1581">
        <v>0</v>
      </c>
      <c r="AH1581">
        <v>0</v>
      </c>
      <c r="AI1581">
        <v>0</v>
      </c>
      <c r="AJ1581" t="s">
        <v>2</v>
      </c>
      <c r="AK1581" t="s">
        <v>11</v>
      </c>
    </row>
    <row r="1582" spans="1:37">
      <c r="A1582">
        <v>257849</v>
      </c>
      <c r="B1582" s="1">
        <v>45366</v>
      </c>
      <c r="C1582" t="s">
        <v>2404</v>
      </c>
      <c r="D1582" t="s">
        <v>2405</v>
      </c>
      <c r="E1582" t="s">
        <v>2</v>
      </c>
      <c r="F1582" t="s">
        <v>747</v>
      </c>
      <c r="G1582" t="s">
        <v>255</v>
      </c>
      <c r="H1582">
        <v>90090</v>
      </c>
      <c r="I1582" t="s">
        <v>2406</v>
      </c>
      <c r="J1582" t="s">
        <v>2407</v>
      </c>
      <c r="K1582" t="s">
        <v>2</v>
      </c>
      <c r="L1582" t="s">
        <v>2408</v>
      </c>
      <c r="M1582" t="s">
        <v>255</v>
      </c>
      <c r="N1582">
        <v>60504</v>
      </c>
      <c r="O1582" t="s">
        <v>2409</v>
      </c>
      <c r="P1582" t="s">
        <v>2410</v>
      </c>
      <c r="Q1582" t="s">
        <v>6</v>
      </c>
      <c r="R1582">
        <v>415385</v>
      </c>
      <c r="S1582" t="s">
        <v>84</v>
      </c>
      <c r="T1582" s="2">
        <v>45</v>
      </c>
      <c r="U1582">
        <v>0</v>
      </c>
      <c r="V1582" t="s">
        <v>260</v>
      </c>
      <c r="W1582">
        <v>5</v>
      </c>
      <c r="X1582">
        <v>5</v>
      </c>
      <c r="Y1582">
        <v>0</v>
      </c>
      <c r="Z1582" t="s">
        <v>2419</v>
      </c>
      <c r="AA1582" t="s">
        <v>2420</v>
      </c>
      <c r="AB1582" t="s">
        <v>14</v>
      </c>
      <c r="AC1582">
        <v>0</v>
      </c>
      <c r="AD1582">
        <v>0</v>
      </c>
      <c r="AE1582">
        <v>726182084391</v>
      </c>
      <c r="AF1582">
        <v>0</v>
      </c>
      <c r="AG1582">
        <v>0</v>
      </c>
      <c r="AH1582">
        <v>0</v>
      </c>
      <c r="AI1582">
        <v>0</v>
      </c>
      <c r="AJ1582" t="s">
        <v>2</v>
      </c>
      <c r="AK1582" t="s">
        <v>11</v>
      </c>
    </row>
    <row r="1583" spans="1:37">
      <c r="A1583">
        <v>257849</v>
      </c>
      <c r="B1583" s="1">
        <v>45366</v>
      </c>
      <c r="C1583" t="s">
        <v>2404</v>
      </c>
      <c r="D1583" t="s">
        <v>2405</v>
      </c>
      <c r="E1583" t="s">
        <v>2</v>
      </c>
      <c r="F1583" t="s">
        <v>747</v>
      </c>
      <c r="G1583" t="s">
        <v>255</v>
      </c>
      <c r="H1583">
        <v>90090</v>
      </c>
      <c r="I1583" t="s">
        <v>2406</v>
      </c>
      <c r="J1583" t="s">
        <v>2407</v>
      </c>
      <c r="K1583" t="s">
        <v>2</v>
      </c>
      <c r="L1583" t="s">
        <v>2408</v>
      </c>
      <c r="M1583" t="s">
        <v>255</v>
      </c>
      <c r="N1583">
        <v>60504</v>
      </c>
      <c r="O1583" t="s">
        <v>2409</v>
      </c>
      <c r="P1583" t="s">
        <v>2410</v>
      </c>
      <c r="Q1583" t="s">
        <v>6</v>
      </c>
      <c r="R1583">
        <v>415385</v>
      </c>
      <c r="S1583" t="s">
        <v>84</v>
      </c>
      <c r="T1583" s="2">
        <v>45</v>
      </c>
      <c r="U1583">
        <v>0</v>
      </c>
      <c r="V1583" t="s">
        <v>260</v>
      </c>
      <c r="W1583">
        <v>5</v>
      </c>
      <c r="X1583">
        <v>5</v>
      </c>
      <c r="Y1583">
        <v>0</v>
      </c>
      <c r="Z1583" t="s">
        <v>2421</v>
      </c>
      <c r="AA1583" t="s">
        <v>2422</v>
      </c>
      <c r="AB1583" t="s">
        <v>14</v>
      </c>
      <c r="AC1583">
        <v>0</v>
      </c>
      <c r="AD1583">
        <v>0</v>
      </c>
      <c r="AE1583">
        <v>726182084391</v>
      </c>
      <c r="AF1583">
        <v>0</v>
      </c>
      <c r="AG1583">
        <v>0</v>
      </c>
      <c r="AH1583">
        <v>0</v>
      </c>
      <c r="AI1583">
        <v>0</v>
      </c>
      <c r="AJ1583" t="s">
        <v>2</v>
      </c>
      <c r="AK1583" t="s">
        <v>11</v>
      </c>
    </row>
    <row r="1584" spans="1:37">
      <c r="A1584">
        <v>257849</v>
      </c>
      <c r="B1584" s="1">
        <v>45366</v>
      </c>
      <c r="C1584" t="s">
        <v>2404</v>
      </c>
      <c r="D1584" t="s">
        <v>2405</v>
      </c>
      <c r="E1584" t="s">
        <v>2</v>
      </c>
      <c r="F1584" t="s">
        <v>747</v>
      </c>
      <c r="G1584" t="s">
        <v>255</v>
      </c>
      <c r="H1584">
        <v>90090</v>
      </c>
      <c r="I1584" t="s">
        <v>2406</v>
      </c>
      <c r="J1584" t="s">
        <v>2407</v>
      </c>
      <c r="K1584" t="s">
        <v>2</v>
      </c>
      <c r="L1584" t="s">
        <v>2408</v>
      </c>
      <c r="M1584" t="s">
        <v>255</v>
      </c>
      <c r="N1584">
        <v>60504</v>
      </c>
      <c r="O1584" t="s">
        <v>2409</v>
      </c>
      <c r="P1584" t="s">
        <v>2410</v>
      </c>
      <c r="Q1584" t="s">
        <v>6</v>
      </c>
      <c r="R1584">
        <v>415385</v>
      </c>
      <c r="S1584" t="s">
        <v>84</v>
      </c>
      <c r="T1584" s="2">
        <v>45</v>
      </c>
      <c r="U1584">
        <v>0</v>
      </c>
      <c r="V1584" t="s">
        <v>260</v>
      </c>
      <c r="W1584">
        <v>5</v>
      </c>
      <c r="X1584">
        <v>5</v>
      </c>
      <c r="Y1584">
        <v>0</v>
      </c>
      <c r="Z1584" t="s">
        <v>2423</v>
      </c>
      <c r="AA1584" t="s">
        <v>2424</v>
      </c>
      <c r="AB1584" t="s">
        <v>14</v>
      </c>
      <c r="AC1584">
        <v>0</v>
      </c>
      <c r="AD1584">
        <v>0</v>
      </c>
      <c r="AE1584">
        <v>726182084391</v>
      </c>
      <c r="AF1584">
        <v>0</v>
      </c>
      <c r="AG1584">
        <v>0</v>
      </c>
      <c r="AH1584">
        <v>0</v>
      </c>
      <c r="AI1584">
        <v>0</v>
      </c>
      <c r="AJ1584" t="s">
        <v>2</v>
      </c>
      <c r="AK1584" t="s">
        <v>11</v>
      </c>
    </row>
    <row r="1585" spans="1:37">
      <c r="A1585">
        <v>257849</v>
      </c>
      <c r="B1585" s="1">
        <v>45366</v>
      </c>
      <c r="C1585" t="s">
        <v>2404</v>
      </c>
      <c r="D1585" t="s">
        <v>2405</v>
      </c>
      <c r="E1585" t="s">
        <v>2</v>
      </c>
      <c r="F1585" t="s">
        <v>747</v>
      </c>
      <c r="G1585" t="s">
        <v>255</v>
      </c>
      <c r="H1585">
        <v>90090</v>
      </c>
      <c r="I1585" t="s">
        <v>2406</v>
      </c>
      <c r="J1585" t="s">
        <v>2407</v>
      </c>
      <c r="K1585" t="s">
        <v>2</v>
      </c>
      <c r="L1585" t="s">
        <v>2408</v>
      </c>
      <c r="M1585" t="s">
        <v>255</v>
      </c>
      <c r="N1585">
        <v>60504</v>
      </c>
      <c r="O1585" t="s">
        <v>2409</v>
      </c>
      <c r="P1585" t="s">
        <v>2410</v>
      </c>
      <c r="Q1585" t="s">
        <v>6</v>
      </c>
      <c r="R1585">
        <v>415385</v>
      </c>
      <c r="S1585" t="s">
        <v>84</v>
      </c>
      <c r="T1585" s="2">
        <v>45</v>
      </c>
      <c r="U1585">
        <v>0</v>
      </c>
      <c r="V1585" t="s">
        <v>260</v>
      </c>
      <c r="W1585">
        <v>5</v>
      </c>
      <c r="X1585">
        <v>5</v>
      </c>
      <c r="Y1585">
        <v>0</v>
      </c>
      <c r="Z1585" t="s">
        <v>2425</v>
      </c>
      <c r="AA1585" t="s">
        <v>2426</v>
      </c>
      <c r="AB1585" t="s">
        <v>14</v>
      </c>
      <c r="AC1585">
        <v>0</v>
      </c>
      <c r="AD1585">
        <v>0</v>
      </c>
      <c r="AE1585">
        <v>726182084391</v>
      </c>
      <c r="AF1585">
        <v>0</v>
      </c>
      <c r="AG1585">
        <v>0</v>
      </c>
      <c r="AH1585">
        <v>0</v>
      </c>
      <c r="AI1585">
        <v>0</v>
      </c>
      <c r="AJ1585" t="s">
        <v>2</v>
      </c>
      <c r="AK1585" t="s">
        <v>11</v>
      </c>
    </row>
    <row r="1586" spans="1:37">
      <c r="A1586">
        <v>257849</v>
      </c>
      <c r="B1586" s="1">
        <v>45366</v>
      </c>
      <c r="C1586" t="s">
        <v>2404</v>
      </c>
      <c r="D1586" t="s">
        <v>2405</v>
      </c>
      <c r="E1586" t="s">
        <v>2</v>
      </c>
      <c r="F1586" t="s">
        <v>747</v>
      </c>
      <c r="G1586" t="s">
        <v>255</v>
      </c>
      <c r="H1586">
        <v>90090</v>
      </c>
      <c r="I1586" t="s">
        <v>2406</v>
      </c>
      <c r="J1586" t="s">
        <v>2407</v>
      </c>
      <c r="K1586" t="s">
        <v>2</v>
      </c>
      <c r="L1586" t="s">
        <v>2408</v>
      </c>
      <c r="M1586" t="s">
        <v>255</v>
      </c>
      <c r="N1586">
        <v>60504</v>
      </c>
      <c r="O1586" t="s">
        <v>2409</v>
      </c>
      <c r="P1586" t="s">
        <v>2410</v>
      </c>
      <c r="Q1586" t="s">
        <v>6</v>
      </c>
      <c r="R1586">
        <v>415385</v>
      </c>
      <c r="S1586" t="s">
        <v>84</v>
      </c>
      <c r="T1586" s="2">
        <v>45</v>
      </c>
      <c r="U1586">
        <v>0</v>
      </c>
      <c r="V1586" t="s">
        <v>260</v>
      </c>
      <c r="W1586">
        <v>5</v>
      </c>
      <c r="X1586">
        <v>5</v>
      </c>
      <c r="Y1586">
        <v>0</v>
      </c>
      <c r="Z1586" t="s">
        <v>2427</v>
      </c>
      <c r="AA1586" t="s">
        <v>2428</v>
      </c>
      <c r="AB1586" t="s">
        <v>14</v>
      </c>
      <c r="AC1586">
        <v>0</v>
      </c>
      <c r="AD1586">
        <v>0</v>
      </c>
      <c r="AE1586">
        <v>726182084391</v>
      </c>
      <c r="AF1586">
        <v>0</v>
      </c>
      <c r="AG1586">
        <v>0</v>
      </c>
      <c r="AH1586">
        <v>0</v>
      </c>
      <c r="AI1586">
        <v>0</v>
      </c>
      <c r="AJ1586" t="s">
        <v>2</v>
      </c>
      <c r="AK1586" t="s">
        <v>11</v>
      </c>
    </row>
    <row r="1587" spans="1:37">
      <c r="A1587">
        <v>257849</v>
      </c>
      <c r="B1587" s="1">
        <v>45366</v>
      </c>
      <c r="C1587" t="s">
        <v>2404</v>
      </c>
      <c r="D1587" t="s">
        <v>2405</v>
      </c>
      <c r="E1587" t="s">
        <v>2</v>
      </c>
      <c r="F1587" t="s">
        <v>747</v>
      </c>
      <c r="G1587" t="s">
        <v>255</v>
      </c>
      <c r="H1587">
        <v>90090</v>
      </c>
      <c r="I1587" t="s">
        <v>2406</v>
      </c>
      <c r="J1587" t="s">
        <v>2407</v>
      </c>
      <c r="K1587" t="s">
        <v>2</v>
      </c>
      <c r="L1587" t="s">
        <v>2408</v>
      </c>
      <c r="M1587" t="s">
        <v>255</v>
      </c>
      <c r="N1587">
        <v>60504</v>
      </c>
      <c r="O1587" t="s">
        <v>2409</v>
      </c>
      <c r="P1587" t="s">
        <v>2410</v>
      </c>
      <c r="Q1587" t="s">
        <v>6</v>
      </c>
      <c r="R1587">
        <v>415385</v>
      </c>
      <c r="S1587" t="s">
        <v>84</v>
      </c>
      <c r="T1587" s="2">
        <v>45</v>
      </c>
      <c r="U1587">
        <v>0</v>
      </c>
      <c r="V1587" t="s">
        <v>260</v>
      </c>
      <c r="W1587">
        <v>0</v>
      </c>
      <c r="X1587">
        <v>0</v>
      </c>
      <c r="Y1587">
        <v>0</v>
      </c>
      <c r="Z1587" t="s">
        <v>88</v>
      </c>
      <c r="AA1587" t="s">
        <v>311</v>
      </c>
      <c r="AB1587" t="s">
        <v>10</v>
      </c>
      <c r="AC1587">
        <v>0</v>
      </c>
      <c r="AD1587">
        <v>0</v>
      </c>
      <c r="AE1587">
        <v>726182084391</v>
      </c>
      <c r="AF1587">
        <v>0</v>
      </c>
      <c r="AG1587">
        <v>0</v>
      </c>
      <c r="AH1587">
        <v>0</v>
      </c>
      <c r="AI1587">
        <v>0</v>
      </c>
      <c r="AJ1587" t="s">
        <v>2</v>
      </c>
      <c r="AK1587" t="s">
        <v>11</v>
      </c>
    </row>
    <row r="1588" spans="1:37">
      <c r="A1588">
        <v>257849</v>
      </c>
      <c r="B1588" s="1">
        <v>45366</v>
      </c>
      <c r="C1588" t="s">
        <v>2404</v>
      </c>
      <c r="D1588" t="s">
        <v>2405</v>
      </c>
      <c r="E1588" t="s">
        <v>2</v>
      </c>
      <c r="F1588" t="s">
        <v>747</v>
      </c>
      <c r="G1588" t="s">
        <v>255</v>
      </c>
      <c r="H1588">
        <v>90090</v>
      </c>
      <c r="I1588" t="s">
        <v>2406</v>
      </c>
      <c r="J1588" t="s">
        <v>2407</v>
      </c>
      <c r="K1588" t="s">
        <v>2</v>
      </c>
      <c r="L1588" t="s">
        <v>2408</v>
      </c>
      <c r="M1588" t="s">
        <v>255</v>
      </c>
      <c r="N1588">
        <v>60504</v>
      </c>
      <c r="O1588" t="s">
        <v>2409</v>
      </c>
      <c r="P1588" t="s">
        <v>2410</v>
      </c>
      <c r="Q1588" t="s">
        <v>6</v>
      </c>
      <c r="R1588">
        <v>415385</v>
      </c>
      <c r="S1588" t="s">
        <v>84</v>
      </c>
      <c r="T1588" s="2">
        <v>45</v>
      </c>
      <c r="U1588">
        <v>0</v>
      </c>
      <c r="V1588" t="s">
        <v>260</v>
      </c>
      <c r="W1588">
        <v>5</v>
      </c>
      <c r="X1588">
        <v>5</v>
      </c>
      <c r="Y1588">
        <v>0</v>
      </c>
      <c r="Z1588" t="s">
        <v>2429</v>
      </c>
      <c r="AA1588" t="s">
        <v>2430</v>
      </c>
      <c r="AB1588" t="s">
        <v>14</v>
      </c>
      <c r="AC1588">
        <v>0</v>
      </c>
      <c r="AD1588">
        <v>0</v>
      </c>
      <c r="AE1588">
        <v>726182084391</v>
      </c>
      <c r="AF1588">
        <v>0</v>
      </c>
      <c r="AG1588">
        <v>0</v>
      </c>
      <c r="AH1588">
        <v>0</v>
      </c>
      <c r="AI1588">
        <v>0</v>
      </c>
      <c r="AJ1588" t="s">
        <v>2</v>
      </c>
      <c r="AK1588" t="s">
        <v>11</v>
      </c>
    </row>
    <row r="1589" spans="1:37">
      <c r="A1589">
        <v>257849</v>
      </c>
      <c r="B1589" s="1">
        <v>45366</v>
      </c>
      <c r="C1589" t="s">
        <v>2404</v>
      </c>
      <c r="D1589" t="s">
        <v>2405</v>
      </c>
      <c r="E1589" t="s">
        <v>2</v>
      </c>
      <c r="F1589" t="s">
        <v>747</v>
      </c>
      <c r="G1589" t="s">
        <v>255</v>
      </c>
      <c r="H1589">
        <v>90090</v>
      </c>
      <c r="I1589" t="s">
        <v>2406</v>
      </c>
      <c r="J1589" t="s">
        <v>2407</v>
      </c>
      <c r="K1589" t="s">
        <v>2</v>
      </c>
      <c r="L1589" t="s">
        <v>2408</v>
      </c>
      <c r="M1589" t="s">
        <v>255</v>
      </c>
      <c r="N1589">
        <v>60504</v>
      </c>
      <c r="O1589" t="s">
        <v>2409</v>
      </c>
      <c r="P1589" t="s">
        <v>2410</v>
      </c>
      <c r="Q1589" t="s">
        <v>6</v>
      </c>
      <c r="R1589">
        <v>415385</v>
      </c>
      <c r="S1589" t="s">
        <v>84</v>
      </c>
      <c r="T1589" s="2">
        <v>45</v>
      </c>
      <c r="U1589">
        <v>0</v>
      </c>
      <c r="V1589" t="s">
        <v>260</v>
      </c>
      <c r="W1589">
        <v>0</v>
      </c>
      <c r="X1589">
        <v>0</v>
      </c>
      <c r="Y1589">
        <v>0</v>
      </c>
      <c r="Z1589" t="s">
        <v>88</v>
      </c>
      <c r="AA1589" t="s">
        <v>2</v>
      </c>
      <c r="AB1589" t="s">
        <v>10</v>
      </c>
      <c r="AC1589">
        <v>0</v>
      </c>
      <c r="AD1589">
        <v>0</v>
      </c>
      <c r="AE1589">
        <v>726182084391</v>
      </c>
      <c r="AF1589">
        <v>0</v>
      </c>
      <c r="AG1589">
        <v>0</v>
      </c>
      <c r="AH1589">
        <v>0</v>
      </c>
      <c r="AI1589">
        <v>0</v>
      </c>
      <c r="AJ1589" t="s">
        <v>2</v>
      </c>
      <c r="AK1589" t="s">
        <v>11</v>
      </c>
    </row>
    <row r="1590" spans="1:37">
      <c r="A1590">
        <v>257849</v>
      </c>
      <c r="B1590" s="1">
        <v>45366</v>
      </c>
      <c r="C1590" t="s">
        <v>2404</v>
      </c>
      <c r="D1590" t="s">
        <v>2405</v>
      </c>
      <c r="E1590" t="s">
        <v>2</v>
      </c>
      <c r="F1590" t="s">
        <v>747</v>
      </c>
      <c r="G1590" t="s">
        <v>255</v>
      </c>
      <c r="H1590">
        <v>90090</v>
      </c>
      <c r="I1590" t="s">
        <v>2406</v>
      </c>
      <c r="J1590" t="s">
        <v>2407</v>
      </c>
      <c r="K1590" t="s">
        <v>2</v>
      </c>
      <c r="L1590" t="s">
        <v>2408</v>
      </c>
      <c r="M1590" t="s">
        <v>255</v>
      </c>
      <c r="N1590">
        <v>60504</v>
      </c>
      <c r="O1590" t="s">
        <v>2409</v>
      </c>
      <c r="P1590" t="s">
        <v>2410</v>
      </c>
      <c r="Q1590" t="s">
        <v>6</v>
      </c>
      <c r="R1590">
        <v>415385</v>
      </c>
      <c r="S1590" t="s">
        <v>84</v>
      </c>
      <c r="T1590" s="2">
        <v>45</v>
      </c>
      <c r="U1590">
        <v>0</v>
      </c>
      <c r="V1590" t="s">
        <v>260</v>
      </c>
      <c r="W1590">
        <v>0</v>
      </c>
      <c r="X1590">
        <v>0</v>
      </c>
      <c r="Y1590">
        <v>0</v>
      </c>
      <c r="Z1590" t="s">
        <v>88</v>
      </c>
      <c r="AA1590" t="s">
        <v>852</v>
      </c>
      <c r="AB1590" t="s">
        <v>10</v>
      </c>
      <c r="AC1590">
        <v>0</v>
      </c>
      <c r="AD1590">
        <v>0</v>
      </c>
      <c r="AE1590">
        <v>726182084391</v>
      </c>
      <c r="AF1590">
        <v>0</v>
      </c>
      <c r="AG1590">
        <v>0</v>
      </c>
      <c r="AH1590">
        <v>0</v>
      </c>
      <c r="AI1590">
        <v>0</v>
      </c>
      <c r="AJ1590" t="s">
        <v>2</v>
      </c>
      <c r="AK1590" t="s">
        <v>11</v>
      </c>
    </row>
    <row r="1591" spans="1:37">
      <c r="A1591">
        <v>257850</v>
      </c>
      <c r="B1591" s="1">
        <v>45366</v>
      </c>
      <c r="C1591" t="s">
        <v>49</v>
      </c>
      <c r="D1591" t="s">
        <v>50</v>
      </c>
      <c r="E1591" t="s">
        <v>51</v>
      </c>
      <c r="F1591" t="s">
        <v>52</v>
      </c>
      <c r="G1591" t="s">
        <v>53</v>
      </c>
      <c r="H1591">
        <v>85281</v>
      </c>
      <c r="I1591" t="s">
        <v>2431</v>
      </c>
      <c r="J1591" t="s">
        <v>2432</v>
      </c>
      <c r="K1591" t="s">
        <v>2433</v>
      </c>
      <c r="L1591" t="s">
        <v>2434</v>
      </c>
      <c r="M1591" t="s">
        <v>53</v>
      </c>
      <c r="N1591">
        <v>85260</v>
      </c>
      <c r="O1591" t="s">
        <v>54</v>
      </c>
      <c r="P1591" t="s">
        <v>2435</v>
      </c>
      <c r="Q1591" t="s">
        <v>46</v>
      </c>
      <c r="R1591">
        <v>415057</v>
      </c>
      <c r="S1591" t="s">
        <v>84</v>
      </c>
      <c r="T1591" s="2">
        <v>3</v>
      </c>
      <c r="U1591">
        <v>0</v>
      </c>
      <c r="V1591" t="s">
        <v>153</v>
      </c>
      <c r="W1591">
        <v>0</v>
      </c>
      <c r="X1591">
        <v>0</v>
      </c>
      <c r="Y1591">
        <v>0</v>
      </c>
      <c r="Z1591" t="s">
        <v>9</v>
      </c>
      <c r="AA1591" t="s">
        <v>2</v>
      </c>
      <c r="AB1591" t="s">
        <v>10</v>
      </c>
      <c r="AC1591">
        <v>0</v>
      </c>
      <c r="AD1591">
        <v>0</v>
      </c>
      <c r="AE1591">
        <v>726182084483</v>
      </c>
      <c r="AF1591">
        <v>0</v>
      </c>
      <c r="AG1591">
        <v>0</v>
      </c>
      <c r="AH1591">
        <v>0</v>
      </c>
      <c r="AI1591">
        <v>0</v>
      </c>
      <c r="AJ1591" t="s">
        <v>2</v>
      </c>
      <c r="AK1591" t="s">
        <v>11</v>
      </c>
    </row>
    <row r="1592" spans="1:37">
      <c r="A1592">
        <v>257850</v>
      </c>
      <c r="B1592" s="1">
        <v>45366</v>
      </c>
      <c r="C1592" t="s">
        <v>49</v>
      </c>
      <c r="D1592" t="s">
        <v>50</v>
      </c>
      <c r="E1592" t="s">
        <v>51</v>
      </c>
      <c r="F1592" t="s">
        <v>52</v>
      </c>
      <c r="G1592" t="s">
        <v>53</v>
      </c>
      <c r="H1592">
        <v>85281</v>
      </c>
      <c r="I1592" t="s">
        <v>2431</v>
      </c>
      <c r="J1592" t="s">
        <v>2432</v>
      </c>
      <c r="K1592" t="s">
        <v>2433</v>
      </c>
      <c r="L1592" t="s">
        <v>2434</v>
      </c>
      <c r="M1592" t="s">
        <v>53</v>
      </c>
      <c r="N1592">
        <v>85260</v>
      </c>
      <c r="O1592" t="s">
        <v>54</v>
      </c>
      <c r="P1592" t="s">
        <v>2435</v>
      </c>
      <c r="Q1592" t="s">
        <v>46</v>
      </c>
      <c r="R1592">
        <v>415057</v>
      </c>
      <c r="S1592" t="s">
        <v>84</v>
      </c>
      <c r="T1592" s="2">
        <v>3</v>
      </c>
      <c r="U1592">
        <v>0</v>
      </c>
      <c r="V1592" t="s">
        <v>153</v>
      </c>
      <c r="W1592">
        <v>1</v>
      </c>
      <c r="X1592">
        <v>1</v>
      </c>
      <c r="Y1592">
        <v>0</v>
      </c>
      <c r="Z1592" t="s">
        <v>2436</v>
      </c>
      <c r="AA1592" t="s">
        <v>2437</v>
      </c>
      <c r="AB1592" t="s">
        <v>14</v>
      </c>
      <c r="AC1592">
        <v>0</v>
      </c>
      <c r="AD1592">
        <v>0</v>
      </c>
      <c r="AE1592">
        <v>726182084483</v>
      </c>
      <c r="AF1592">
        <v>0</v>
      </c>
      <c r="AG1592">
        <v>0</v>
      </c>
      <c r="AH1592">
        <v>0</v>
      </c>
      <c r="AI1592">
        <v>0</v>
      </c>
      <c r="AJ1592" t="s">
        <v>2</v>
      </c>
      <c r="AK1592" t="s">
        <v>11</v>
      </c>
    </row>
    <row r="1593" spans="1:37">
      <c r="A1593">
        <v>257850</v>
      </c>
      <c r="B1593" s="1">
        <v>45366</v>
      </c>
      <c r="C1593" t="s">
        <v>49</v>
      </c>
      <c r="D1593" t="s">
        <v>50</v>
      </c>
      <c r="E1593" t="s">
        <v>51</v>
      </c>
      <c r="F1593" t="s">
        <v>52</v>
      </c>
      <c r="G1593" t="s">
        <v>53</v>
      </c>
      <c r="H1593">
        <v>85281</v>
      </c>
      <c r="I1593" t="s">
        <v>2431</v>
      </c>
      <c r="J1593" t="s">
        <v>2432</v>
      </c>
      <c r="K1593" t="s">
        <v>2433</v>
      </c>
      <c r="L1593" t="s">
        <v>2434</v>
      </c>
      <c r="M1593" t="s">
        <v>53</v>
      </c>
      <c r="N1593">
        <v>85260</v>
      </c>
      <c r="O1593" t="s">
        <v>54</v>
      </c>
      <c r="P1593" t="s">
        <v>2435</v>
      </c>
      <c r="Q1593" t="s">
        <v>46</v>
      </c>
      <c r="R1593">
        <v>415057</v>
      </c>
      <c r="S1593" t="s">
        <v>84</v>
      </c>
      <c r="T1593" s="2">
        <v>3</v>
      </c>
      <c r="U1593">
        <v>0</v>
      </c>
      <c r="V1593" t="s">
        <v>153</v>
      </c>
      <c r="W1593">
        <v>0</v>
      </c>
      <c r="X1593">
        <v>0</v>
      </c>
      <c r="Y1593">
        <v>0</v>
      </c>
      <c r="Z1593" t="s">
        <v>88</v>
      </c>
      <c r="AA1593" t="s">
        <v>2438</v>
      </c>
      <c r="AB1593" t="s">
        <v>10</v>
      </c>
      <c r="AC1593">
        <v>0</v>
      </c>
      <c r="AD1593">
        <v>0</v>
      </c>
      <c r="AE1593">
        <v>726182084483</v>
      </c>
      <c r="AF1593">
        <v>0</v>
      </c>
      <c r="AG1593">
        <v>0</v>
      </c>
      <c r="AH1593">
        <v>0</v>
      </c>
      <c r="AI1593">
        <v>0</v>
      </c>
      <c r="AJ1593" t="s">
        <v>2</v>
      </c>
      <c r="AK1593" t="s">
        <v>11</v>
      </c>
    </row>
    <row r="1594" spans="1:37">
      <c r="A1594">
        <v>257850</v>
      </c>
      <c r="B1594" s="1">
        <v>45366</v>
      </c>
      <c r="C1594" t="s">
        <v>49</v>
      </c>
      <c r="D1594" t="s">
        <v>50</v>
      </c>
      <c r="E1594" t="s">
        <v>51</v>
      </c>
      <c r="F1594" t="s">
        <v>52</v>
      </c>
      <c r="G1594" t="s">
        <v>53</v>
      </c>
      <c r="H1594">
        <v>85281</v>
      </c>
      <c r="I1594" t="s">
        <v>2431</v>
      </c>
      <c r="J1594" t="s">
        <v>2432</v>
      </c>
      <c r="K1594" t="s">
        <v>2433</v>
      </c>
      <c r="L1594" t="s">
        <v>2434</v>
      </c>
      <c r="M1594" t="s">
        <v>53</v>
      </c>
      <c r="N1594">
        <v>85260</v>
      </c>
      <c r="O1594" t="s">
        <v>54</v>
      </c>
      <c r="P1594" t="s">
        <v>2435</v>
      </c>
      <c r="Q1594" t="s">
        <v>46</v>
      </c>
      <c r="R1594">
        <v>415057</v>
      </c>
      <c r="S1594" t="s">
        <v>84</v>
      </c>
      <c r="T1594" s="2">
        <v>3</v>
      </c>
      <c r="U1594">
        <v>0</v>
      </c>
      <c r="V1594" t="s">
        <v>153</v>
      </c>
      <c r="W1594">
        <v>1</v>
      </c>
      <c r="X1594">
        <v>1</v>
      </c>
      <c r="Y1594">
        <v>0</v>
      </c>
      <c r="Z1594" t="s">
        <v>2439</v>
      </c>
      <c r="AA1594" t="s">
        <v>2440</v>
      </c>
      <c r="AB1594" t="s">
        <v>14</v>
      </c>
      <c r="AC1594">
        <v>0</v>
      </c>
      <c r="AD1594">
        <v>0</v>
      </c>
      <c r="AE1594">
        <v>726182084483</v>
      </c>
      <c r="AF1594">
        <v>0</v>
      </c>
      <c r="AG1594">
        <v>0</v>
      </c>
      <c r="AH1594">
        <v>0</v>
      </c>
      <c r="AI1594">
        <v>0</v>
      </c>
      <c r="AJ1594" t="s">
        <v>2</v>
      </c>
      <c r="AK1594" t="s">
        <v>11</v>
      </c>
    </row>
    <row r="1595" spans="1:37">
      <c r="A1595">
        <v>257850</v>
      </c>
      <c r="B1595" s="1">
        <v>45366</v>
      </c>
      <c r="C1595" t="s">
        <v>49</v>
      </c>
      <c r="D1595" t="s">
        <v>50</v>
      </c>
      <c r="E1595" t="s">
        <v>51</v>
      </c>
      <c r="F1595" t="s">
        <v>52</v>
      </c>
      <c r="G1595" t="s">
        <v>53</v>
      </c>
      <c r="H1595">
        <v>85281</v>
      </c>
      <c r="I1595" t="s">
        <v>2431</v>
      </c>
      <c r="J1595" t="s">
        <v>2432</v>
      </c>
      <c r="K1595" t="s">
        <v>2433</v>
      </c>
      <c r="L1595" t="s">
        <v>2434</v>
      </c>
      <c r="M1595" t="s">
        <v>53</v>
      </c>
      <c r="N1595">
        <v>85260</v>
      </c>
      <c r="O1595" t="s">
        <v>54</v>
      </c>
      <c r="P1595" t="s">
        <v>2435</v>
      </c>
      <c r="Q1595" t="s">
        <v>46</v>
      </c>
      <c r="R1595">
        <v>415057</v>
      </c>
      <c r="S1595" t="s">
        <v>84</v>
      </c>
      <c r="T1595" s="2">
        <v>3</v>
      </c>
      <c r="U1595">
        <v>0</v>
      </c>
      <c r="V1595" t="s">
        <v>153</v>
      </c>
      <c r="W1595">
        <v>0</v>
      </c>
      <c r="X1595">
        <v>0</v>
      </c>
      <c r="Y1595">
        <v>0</v>
      </c>
      <c r="Z1595" t="s">
        <v>88</v>
      </c>
      <c r="AA1595" t="s">
        <v>2441</v>
      </c>
      <c r="AB1595" t="s">
        <v>10</v>
      </c>
      <c r="AC1595">
        <v>0</v>
      </c>
      <c r="AD1595">
        <v>0</v>
      </c>
      <c r="AE1595">
        <v>726182084483</v>
      </c>
      <c r="AF1595">
        <v>0</v>
      </c>
      <c r="AG1595">
        <v>0</v>
      </c>
      <c r="AH1595">
        <v>0</v>
      </c>
      <c r="AI1595">
        <v>0</v>
      </c>
      <c r="AJ1595" t="s">
        <v>2</v>
      </c>
      <c r="AK1595" t="s">
        <v>11</v>
      </c>
    </row>
    <row r="1596" spans="1:37">
      <c r="A1596">
        <v>257850</v>
      </c>
      <c r="B1596" s="1">
        <v>45366</v>
      </c>
      <c r="C1596" t="s">
        <v>49</v>
      </c>
      <c r="D1596" t="s">
        <v>50</v>
      </c>
      <c r="E1596" t="s">
        <v>51</v>
      </c>
      <c r="F1596" t="s">
        <v>52</v>
      </c>
      <c r="G1596" t="s">
        <v>53</v>
      </c>
      <c r="H1596">
        <v>85281</v>
      </c>
      <c r="I1596" t="s">
        <v>2431</v>
      </c>
      <c r="J1596" t="s">
        <v>2432</v>
      </c>
      <c r="K1596" t="s">
        <v>2433</v>
      </c>
      <c r="L1596" t="s">
        <v>2434</v>
      </c>
      <c r="M1596" t="s">
        <v>53</v>
      </c>
      <c r="N1596">
        <v>85260</v>
      </c>
      <c r="O1596" t="s">
        <v>54</v>
      </c>
      <c r="P1596" t="s">
        <v>2435</v>
      </c>
      <c r="Q1596" t="s">
        <v>46</v>
      </c>
      <c r="R1596">
        <v>415057</v>
      </c>
      <c r="S1596" t="s">
        <v>84</v>
      </c>
      <c r="T1596" s="2">
        <v>3</v>
      </c>
      <c r="U1596">
        <v>0</v>
      </c>
      <c r="V1596" t="s">
        <v>153</v>
      </c>
      <c r="W1596">
        <v>1</v>
      </c>
      <c r="X1596">
        <v>1</v>
      </c>
      <c r="Y1596">
        <v>0</v>
      </c>
      <c r="Z1596" t="s">
        <v>2442</v>
      </c>
      <c r="AA1596" t="s">
        <v>2443</v>
      </c>
      <c r="AB1596" t="s">
        <v>14</v>
      </c>
      <c r="AC1596">
        <v>0</v>
      </c>
      <c r="AD1596">
        <v>0</v>
      </c>
      <c r="AE1596">
        <v>726182084483</v>
      </c>
      <c r="AF1596">
        <v>0</v>
      </c>
      <c r="AG1596">
        <v>0</v>
      </c>
      <c r="AH1596">
        <v>0</v>
      </c>
      <c r="AI1596">
        <v>0</v>
      </c>
      <c r="AJ1596" t="s">
        <v>2</v>
      </c>
      <c r="AK1596" t="s">
        <v>11</v>
      </c>
    </row>
    <row r="1597" spans="1:37">
      <c r="A1597">
        <v>257850</v>
      </c>
      <c r="B1597" s="1">
        <v>45366</v>
      </c>
      <c r="C1597" t="s">
        <v>49</v>
      </c>
      <c r="D1597" t="s">
        <v>50</v>
      </c>
      <c r="E1597" t="s">
        <v>51</v>
      </c>
      <c r="F1597" t="s">
        <v>52</v>
      </c>
      <c r="G1597" t="s">
        <v>53</v>
      </c>
      <c r="H1597">
        <v>85281</v>
      </c>
      <c r="I1597" t="s">
        <v>2431</v>
      </c>
      <c r="J1597" t="s">
        <v>2432</v>
      </c>
      <c r="K1597" t="s">
        <v>2433</v>
      </c>
      <c r="L1597" t="s">
        <v>2434</v>
      </c>
      <c r="M1597" t="s">
        <v>53</v>
      </c>
      <c r="N1597">
        <v>85260</v>
      </c>
      <c r="O1597" t="s">
        <v>54</v>
      </c>
      <c r="P1597" t="s">
        <v>2435</v>
      </c>
      <c r="Q1597" t="s">
        <v>46</v>
      </c>
      <c r="R1597">
        <v>415057</v>
      </c>
      <c r="S1597" t="s">
        <v>84</v>
      </c>
      <c r="T1597" s="2">
        <v>3</v>
      </c>
      <c r="U1597">
        <v>0</v>
      </c>
      <c r="V1597" t="s">
        <v>153</v>
      </c>
      <c r="W1597">
        <v>0</v>
      </c>
      <c r="X1597">
        <v>0</v>
      </c>
      <c r="Y1597">
        <v>0</v>
      </c>
      <c r="Z1597" t="s">
        <v>88</v>
      </c>
      <c r="AA1597" t="s">
        <v>656</v>
      </c>
      <c r="AB1597" t="s">
        <v>10</v>
      </c>
      <c r="AC1597">
        <v>0</v>
      </c>
      <c r="AD1597">
        <v>0</v>
      </c>
      <c r="AE1597">
        <v>726182084483</v>
      </c>
      <c r="AF1597">
        <v>0</v>
      </c>
      <c r="AG1597">
        <v>0</v>
      </c>
      <c r="AH1597">
        <v>0</v>
      </c>
      <c r="AI1597">
        <v>0</v>
      </c>
      <c r="AJ1597" t="s">
        <v>2</v>
      </c>
      <c r="AK1597" t="s">
        <v>11</v>
      </c>
    </row>
    <row r="1598" spans="1:37">
      <c r="A1598">
        <v>257850</v>
      </c>
      <c r="B1598" s="1">
        <v>45366</v>
      </c>
      <c r="C1598" t="s">
        <v>49</v>
      </c>
      <c r="D1598" t="s">
        <v>50</v>
      </c>
      <c r="E1598" t="s">
        <v>51</v>
      </c>
      <c r="F1598" t="s">
        <v>52</v>
      </c>
      <c r="G1598" t="s">
        <v>53</v>
      </c>
      <c r="H1598">
        <v>85281</v>
      </c>
      <c r="I1598" t="s">
        <v>2431</v>
      </c>
      <c r="J1598" t="s">
        <v>2432</v>
      </c>
      <c r="K1598" t="s">
        <v>2433</v>
      </c>
      <c r="L1598" t="s">
        <v>2434</v>
      </c>
      <c r="M1598" t="s">
        <v>53</v>
      </c>
      <c r="N1598">
        <v>85260</v>
      </c>
      <c r="O1598" t="s">
        <v>54</v>
      </c>
      <c r="P1598" t="s">
        <v>2435</v>
      </c>
      <c r="Q1598" t="s">
        <v>46</v>
      </c>
      <c r="R1598">
        <v>415057</v>
      </c>
      <c r="S1598" t="s">
        <v>84</v>
      </c>
      <c r="T1598" s="2">
        <v>3</v>
      </c>
      <c r="U1598">
        <v>0</v>
      </c>
      <c r="V1598" t="s">
        <v>153</v>
      </c>
      <c r="W1598">
        <v>0</v>
      </c>
      <c r="X1598">
        <v>0</v>
      </c>
      <c r="Y1598">
        <v>0</v>
      </c>
      <c r="Z1598" t="s">
        <v>88</v>
      </c>
      <c r="AA1598" t="s">
        <v>2</v>
      </c>
      <c r="AB1598" t="s">
        <v>10</v>
      </c>
      <c r="AC1598">
        <v>0</v>
      </c>
      <c r="AD1598">
        <v>0</v>
      </c>
      <c r="AE1598">
        <v>726182084483</v>
      </c>
      <c r="AF1598">
        <v>0</v>
      </c>
      <c r="AG1598">
        <v>0</v>
      </c>
      <c r="AH1598">
        <v>0</v>
      </c>
      <c r="AI1598">
        <v>0</v>
      </c>
      <c r="AJ1598" t="s">
        <v>2</v>
      </c>
      <c r="AK1598" t="s">
        <v>11</v>
      </c>
    </row>
    <row r="1599" spans="1:37">
      <c r="A1599">
        <v>257850</v>
      </c>
      <c r="B1599" s="1">
        <v>45366</v>
      </c>
      <c r="C1599" t="s">
        <v>49</v>
      </c>
      <c r="D1599" t="s">
        <v>50</v>
      </c>
      <c r="E1599" t="s">
        <v>51</v>
      </c>
      <c r="F1599" t="s">
        <v>52</v>
      </c>
      <c r="G1599" t="s">
        <v>53</v>
      </c>
      <c r="H1599">
        <v>85281</v>
      </c>
      <c r="I1599" t="s">
        <v>2431</v>
      </c>
      <c r="J1599" t="s">
        <v>2432</v>
      </c>
      <c r="K1599" t="s">
        <v>2433</v>
      </c>
      <c r="L1599" t="s">
        <v>2434</v>
      </c>
      <c r="M1599" t="s">
        <v>53</v>
      </c>
      <c r="N1599">
        <v>85260</v>
      </c>
      <c r="O1599" t="s">
        <v>54</v>
      </c>
      <c r="P1599" t="s">
        <v>2435</v>
      </c>
      <c r="Q1599" t="s">
        <v>46</v>
      </c>
      <c r="R1599">
        <v>415057</v>
      </c>
      <c r="S1599" t="s">
        <v>84</v>
      </c>
      <c r="T1599" s="2">
        <v>3</v>
      </c>
      <c r="U1599">
        <v>0</v>
      </c>
      <c r="V1599" t="s">
        <v>153</v>
      </c>
      <c r="W1599">
        <v>0</v>
      </c>
      <c r="X1599">
        <v>0</v>
      </c>
      <c r="Y1599">
        <v>0</v>
      </c>
      <c r="Z1599" t="s">
        <v>88</v>
      </c>
      <c r="AA1599" t="s">
        <v>852</v>
      </c>
      <c r="AB1599" t="s">
        <v>10</v>
      </c>
      <c r="AC1599">
        <v>0</v>
      </c>
      <c r="AD1599">
        <v>0</v>
      </c>
      <c r="AE1599">
        <v>726182084483</v>
      </c>
      <c r="AF1599">
        <v>0</v>
      </c>
      <c r="AG1599">
        <v>0</v>
      </c>
      <c r="AH1599">
        <v>0</v>
      </c>
      <c r="AI1599">
        <v>0</v>
      </c>
      <c r="AJ1599" t="s">
        <v>2</v>
      </c>
      <c r="AK1599" t="s">
        <v>11</v>
      </c>
    </row>
    <row r="1600" spans="1:37">
      <c r="A1600">
        <v>257851</v>
      </c>
      <c r="B1600" s="1">
        <v>45366</v>
      </c>
      <c r="C1600" t="s">
        <v>2444</v>
      </c>
      <c r="D1600" t="s">
        <v>2445</v>
      </c>
      <c r="E1600" t="s">
        <v>2</v>
      </c>
      <c r="F1600" t="s">
        <v>2446</v>
      </c>
      <c r="G1600" t="s">
        <v>575</v>
      </c>
      <c r="H1600">
        <v>49306</v>
      </c>
      <c r="I1600" t="s">
        <v>2447</v>
      </c>
      <c r="J1600" t="s">
        <v>2448</v>
      </c>
      <c r="K1600" t="s">
        <v>2449</v>
      </c>
      <c r="L1600" t="s">
        <v>2446</v>
      </c>
      <c r="M1600" t="s">
        <v>575</v>
      </c>
      <c r="N1600">
        <v>49306</v>
      </c>
      <c r="O1600" t="s">
        <v>2450</v>
      </c>
      <c r="P1600">
        <v>469018</v>
      </c>
      <c r="Q1600" t="s">
        <v>6</v>
      </c>
      <c r="R1600">
        <v>414932</v>
      </c>
      <c r="S1600" t="s">
        <v>2451</v>
      </c>
      <c r="T1600" s="2">
        <v>4</v>
      </c>
      <c r="U1600">
        <v>0</v>
      </c>
      <c r="V1600" t="s">
        <v>236</v>
      </c>
      <c r="W1600">
        <v>0</v>
      </c>
      <c r="X1600">
        <v>0</v>
      </c>
      <c r="Y1600">
        <v>0</v>
      </c>
      <c r="Z1600" t="s">
        <v>9</v>
      </c>
      <c r="AA1600" t="s">
        <v>2</v>
      </c>
      <c r="AB1600" t="s">
        <v>10</v>
      </c>
      <c r="AC1600">
        <v>0</v>
      </c>
      <c r="AD1600">
        <v>0</v>
      </c>
      <c r="AE1600">
        <v>9442816972</v>
      </c>
      <c r="AF1600">
        <v>223.11</v>
      </c>
      <c r="AG1600">
        <v>0</v>
      </c>
      <c r="AH1600">
        <v>0</v>
      </c>
      <c r="AI1600">
        <v>223.11</v>
      </c>
      <c r="AJ1600" t="s">
        <v>2</v>
      </c>
      <c r="AK1600" t="s">
        <v>11</v>
      </c>
    </row>
    <row r="1601" spans="1:37">
      <c r="A1601">
        <v>257851</v>
      </c>
      <c r="B1601" s="1">
        <v>45366</v>
      </c>
      <c r="C1601" t="s">
        <v>2444</v>
      </c>
      <c r="D1601" t="s">
        <v>2445</v>
      </c>
      <c r="E1601" t="s">
        <v>2</v>
      </c>
      <c r="F1601" t="s">
        <v>2446</v>
      </c>
      <c r="G1601" t="s">
        <v>575</v>
      </c>
      <c r="H1601">
        <v>49306</v>
      </c>
      <c r="I1601" t="s">
        <v>2447</v>
      </c>
      <c r="J1601" t="s">
        <v>2448</v>
      </c>
      <c r="K1601" t="s">
        <v>2449</v>
      </c>
      <c r="L1601" t="s">
        <v>2446</v>
      </c>
      <c r="M1601" t="s">
        <v>575</v>
      </c>
      <c r="N1601">
        <v>49306</v>
      </c>
      <c r="O1601" t="s">
        <v>2450</v>
      </c>
      <c r="P1601">
        <v>469018</v>
      </c>
      <c r="Q1601" t="s">
        <v>6</v>
      </c>
      <c r="R1601">
        <v>414932</v>
      </c>
      <c r="S1601" t="s">
        <v>2451</v>
      </c>
      <c r="T1601" s="2">
        <v>4</v>
      </c>
      <c r="U1601">
        <v>0</v>
      </c>
      <c r="V1601" t="s">
        <v>236</v>
      </c>
      <c r="W1601">
        <v>1</v>
      </c>
      <c r="X1601">
        <v>1</v>
      </c>
      <c r="Y1601">
        <v>0</v>
      </c>
      <c r="Z1601" t="s">
        <v>2452</v>
      </c>
      <c r="AA1601" t="s">
        <v>2453</v>
      </c>
      <c r="AB1601" t="s">
        <v>14</v>
      </c>
      <c r="AC1601">
        <v>23.26</v>
      </c>
      <c r="AD1601">
        <v>23.26</v>
      </c>
      <c r="AE1601">
        <v>9442816972</v>
      </c>
      <c r="AF1601">
        <v>223.11</v>
      </c>
      <c r="AG1601">
        <v>0</v>
      </c>
      <c r="AH1601">
        <v>0</v>
      </c>
      <c r="AI1601">
        <v>223.11</v>
      </c>
      <c r="AJ1601" t="s">
        <v>2</v>
      </c>
      <c r="AK1601" t="s">
        <v>11</v>
      </c>
    </row>
    <row r="1602" spans="1:37">
      <c r="A1602">
        <v>257851</v>
      </c>
      <c r="B1602" s="1">
        <v>45366</v>
      </c>
      <c r="C1602" t="s">
        <v>2444</v>
      </c>
      <c r="D1602" t="s">
        <v>2445</v>
      </c>
      <c r="E1602" t="s">
        <v>2</v>
      </c>
      <c r="F1602" t="s">
        <v>2446</v>
      </c>
      <c r="G1602" t="s">
        <v>575</v>
      </c>
      <c r="H1602">
        <v>49306</v>
      </c>
      <c r="I1602" t="s">
        <v>2447</v>
      </c>
      <c r="J1602" t="s">
        <v>2448</v>
      </c>
      <c r="K1602" t="s">
        <v>2449</v>
      </c>
      <c r="L1602" t="s">
        <v>2446</v>
      </c>
      <c r="M1602" t="s">
        <v>575</v>
      </c>
      <c r="N1602">
        <v>49306</v>
      </c>
      <c r="O1602" t="s">
        <v>2450</v>
      </c>
      <c r="P1602">
        <v>469018</v>
      </c>
      <c r="Q1602" t="s">
        <v>6</v>
      </c>
      <c r="R1602">
        <v>414932</v>
      </c>
      <c r="S1602" t="s">
        <v>2451</v>
      </c>
      <c r="T1602" s="2">
        <v>4</v>
      </c>
      <c r="U1602">
        <v>0</v>
      </c>
      <c r="V1602" t="s">
        <v>236</v>
      </c>
      <c r="W1602">
        <v>0</v>
      </c>
      <c r="X1602">
        <v>0</v>
      </c>
      <c r="Y1602">
        <v>0</v>
      </c>
      <c r="Z1602" t="s">
        <v>88</v>
      </c>
      <c r="AA1602" t="s">
        <v>1041</v>
      </c>
      <c r="AB1602" t="s">
        <v>10</v>
      </c>
      <c r="AC1602">
        <v>0</v>
      </c>
      <c r="AD1602">
        <v>0</v>
      </c>
      <c r="AE1602">
        <v>9442816972</v>
      </c>
      <c r="AF1602">
        <v>223.11</v>
      </c>
      <c r="AG1602">
        <v>0</v>
      </c>
      <c r="AH1602">
        <v>0</v>
      </c>
      <c r="AI1602">
        <v>223.11</v>
      </c>
      <c r="AJ1602" t="s">
        <v>2</v>
      </c>
      <c r="AK1602" t="s">
        <v>11</v>
      </c>
    </row>
    <row r="1603" spans="1:37">
      <c r="A1603">
        <v>257851</v>
      </c>
      <c r="B1603" s="1">
        <v>45366</v>
      </c>
      <c r="C1603" t="s">
        <v>2444</v>
      </c>
      <c r="D1603" t="s">
        <v>2445</v>
      </c>
      <c r="E1603" t="s">
        <v>2</v>
      </c>
      <c r="F1603" t="s">
        <v>2446</v>
      </c>
      <c r="G1603" t="s">
        <v>575</v>
      </c>
      <c r="H1603">
        <v>49306</v>
      </c>
      <c r="I1603" t="s">
        <v>2447</v>
      </c>
      <c r="J1603" t="s">
        <v>2448</v>
      </c>
      <c r="K1603" t="s">
        <v>2449</v>
      </c>
      <c r="L1603" t="s">
        <v>2446</v>
      </c>
      <c r="M1603" t="s">
        <v>575</v>
      </c>
      <c r="N1603">
        <v>49306</v>
      </c>
      <c r="O1603" t="s">
        <v>2450</v>
      </c>
      <c r="P1603">
        <v>469018</v>
      </c>
      <c r="Q1603" t="s">
        <v>6</v>
      </c>
      <c r="R1603">
        <v>414932</v>
      </c>
      <c r="S1603" t="s">
        <v>2451</v>
      </c>
      <c r="T1603" s="2">
        <v>4</v>
      </c>
      <c r="U1603">
        <v>0</v>
      </c>
      <c r="V1603" t="s">
        <v>236</v>
      </c>
      <c r="W1603">
        <v>1</v>
      </c>
      <c r="X1603">
        <v>1</v>
      </c>
      <c r="Y1603">
        <v>0</v>
      </c>
      <c r="Z1603" t="s">
        <v>2454</v>
      </c>
      <c r="AA1603" t="s">
        <v>2455</v>
      </c>
      <c r="AB1603" t="s">
        <v>14</v>
      </c>
      <c r="AC1603">
        <v>67.02</v>
      </c>
      <c r="AD1603">
        <v>67.02</v>
      </c>
      <c r="AE1603">
        <v>9442816972</v>
      </c>
      <c r="AF1603">
        <v>223.11</v>
      </c>
      <c r="AG1603">
        <v>0</v>
      </c>
      <c r="AH1603">
        <v>0</v>
      </c>
      <c r="AI1603">
        <v>223.11</v>
      </c>
      <c r="AJ1603" t="s">
        <v>2</v>
      </c>
      <c r="AK1603" t="s">
        <v>11</v>
      </c>
    </row>
    <row r="1604" spans="1:37">
      <c r="A1604">
        <v>257851</v>
      </c>
      <c r="B1604" s="1">
        <v>45366</v>
      </c>
      <c r="C1604" t="s">
        <v>2444</v>
      </c>
      <c r="D1604" t="s">
        <v>2445</v>
      </c>
      <c r="E1604" t="s">
        <v>2</v>
      </c>
      <c r="F1604" t="s">
        <v>2446</v>
      </c>
      <c r="G1604" t="s">
        <v>575</v>
      </c>
      <c r="H1604">
        <v>49306</v>
      </c>
      <c r="I1604" t="s">
        <v>2447</v>
      </c>
      <c r="J1604" t="s">
        <v>2448</v>
      </c>
      <c r="K1604" t="s">
        <v>2449</v>
      </c>
      <c r="L1604" t="s">
        <v>2446</v>
      </c>
      <c r="M1604" t="s">
        <v>575</v>
      </c>
      <c r="N1604">
        <v>49306</v>
      </c>
      <c r="O1604" t="s">
        <v>2450</v>
      </c>
      <c r="P1604">
        <v>469018</v>
      </c>
      <c r="Q1604" t="s">
        <v>6</v>
      </c>
      <c r="R1604">
        <v>414932</v>
      </c>
      <c r="S1604" t="s">
        <v>2451</v>
      </c>
      <c r="T1604" s="2">
        <v>4</v>
      </c>
      <c r="U1604">
        <v>0</v>
      </c>
      <c r="V1604" t="s">
        <v>236</v>
      </c>
      <c r="W1604">
        <v>0</v>
      </c>
      <c r="X1604">
        <v>0</v>
      </c>
      <c r="Y1604">
        <v>0</v>
      </c>
      <c r="Z1604" t="s">
        <v>88</v>
      </c>
      <c r="AA1604" t="s">
        <v>89</v>
      </c>
      <c r="AB1604" t="s">
        <v>10</v>
      </c>
      <c r="AC1604">
        <v>0</v>
      </c>
      <c r="AD1604">
        <v>0</v>
      </c>
      <c r="AE1604">
        <v>9442816972</v>
      </c>
      <c r="AF1604">
        <v>223.11</v>
      </c>
      <c r="AG1604">
        <v>0</v>
      </c>
      <c r="AH1604">
        <v>0</v>
      </c>
      <c r="AI1604">
        <v>223.11</v>
      </c>
      <c r="AJ1604" t="s">
        <v>2</v>
      </c>
      <c r="AK1604" t="s">
        <v>11</v>
      </c>
    </row>
    <row r="1605" spans="1:37">
      <c r="A1605">
        <v>257851</v>
      </c>
      <c r="B1605" s="1">
        <v>45366</v>
      </c>
      <c r="C1605" t="s">
        <v>2444</v>
      </c>
      <c r="D1605" t="s">
        <v>2445</v>
      </c>
      <c r="E1605" t="s">
        <v>2</v>
      </c>
      <c r="F1605" t="s">
        <v>2446</v>
      </c>
      <c r="G1605" t="s">
        <v>575</v>
      </c>
      <c r="H1605">
        <v>49306</v>
      </c>
      <c r="I1605" t="s">
        <v>2447</v>
      </c>
      <c r="J1605" t="s">
        <v>2448</v>
      </c>
      <c r="K1605" t="s">
        <v>2449</v>
      </c>
      <c r="L1605" t="s">
        <v>2446</v>
      </c>
      <c r="M1605" t="s">
        <v>575</v>
      </c>
      <c r="N1605">
        <v>49306</v>
      </c>
      <c r="O1605" t="s">
        <v>2450</v>
      </c>
      <c r="P1605">
        <v>469018</v>
      </c>
      <c r="Q1605" t="s">
        <v>6</v>
      </c>
      <c r="R1605">
        <v>414932</v>
      </c>
      <c r="S1605" t="s">
        <v>2451</v>
      </c>
      <c r="T1605" s="2">
        <v>4</v>
      </c>
      <c r="U1605">
        <v>0</v>
      </c>
      <c r="V1605" t="s">
        <v>236</v>
      </c>
      <c r="W1605">
        <v>1</v>
      </c>
      <c r="X1605">
        <v>1</v>
      </c>
      <c r="Y1605">
        <v>0</v>
      </c>
      <c r="Z1605" t="s">
        <v>2456</v>
      </c>
      <c r="AA1605" t="s">
        <v>2457</v>
      </c>
      <c r="AB1605" t="s">
        <v>14</v>
      </c>
      <c r="AC1605">
        <v>53.08</v>
      </c>
      <c r="AD1605">
        <v>53.08</v>
      </c>
      <c r="AE1605">
        <v>9442816972</v>
      </c>
      <c r="AF1605">
        <v>223.11</v>
      </c>
      <c r="AG1605">
        <v>0</v>
      </c>
      <c r="AH1605">
        <v>0</v>
      </c>
      <c r="AI1605">
        <v>223.11</v>
      </c>
      <c r="AJ1605" t="s">
        <v>2</v>
      </c>
      <c r="AK1605" t="s">
        <v>11</v>
      </c>
    </row>
    <row r="1606" spans="1:37">
      <c r="A1606">
        <v>257851</v>
      </c>
      <c r="B1606" s="1">
        <v>45366</v>
      </c>
      <c r="C1606" t="s">
        <v>2444</v>
      </c>
      <c r="D1606" t="s">
        <v>2445</v>
      </c>
      <c r="E1606" t="s">
        <v>2</v>
      </c>
      <c r="F1606" t="s">
        <v>2446</v>
      </c>
      <c r="G1606" t="s">
        <v>575</v>
      </c>
      <c r="H1606">
        <v>49306</v>
      </c>
      <c r="I1606" t="s">
        <v>2447</v>
      </c>
      <c r="J1606" t="s">
        <v>2448</v>
      </c>
      <c r="K1606" t="s">
        <v>2449</v>
      </c>
      <c r="L1606" t="s">
        <v>2446</v>
      </c>
      <c r="M1606" t="s">
        <v>575</v>
      </c>
      <c r="N1606">
        <v>49306</v>
      </c>
      <c r="O1606" t="s">
        <v>2450</v>
      </c>
      <c r="P1606">
        <v>469018</v>
      </c>
      <c r="Q1606" t="s">
        <v>6</v>
      </c>
      <c r="R1606">
        <v>414932</v>
      </c>
      <c r="S1606" t="s">
        <v>2451</v>
      </c>
      <c r="T1606" s="2">
        <v>4</v>
      </c>
      <c r="U1606">
        <v>0</v>
      </c>
      <c r="V1606" t="s">
        <v>236</v>
      </c>
      <c r="W1606">
        <v>0</v>
      </c>
      <c r="X1606">
        <v>0</v>
      </c>
      <c r="Y1606">
        <v>0</v>
      </c>
      <c r="Z1606" t="s">
        <v>88</v>
      </c>
      <c r="AA1606" t="s">
        <v>89</v>
      </c>
      <c r="AB1606" t="s">
        <v>10</v>
      </c>
      <c r="AC1606">
        <v>0</v>
      </c>
      <c r="AD1606">
        <v>0</v>
      </c>
      <c r="AE1606">
        <v>9442816972</v>
      </c>
      <c r="AF1606">
        <v>223.11</v>
      </c>
      <c r="AG1606">
        <v>0</v>
      </c>
      <c r="AH1606">
        <v>0</v>
      </c>
      <c r="AI1606">
        <v>223.11</v>
      </c>
      <c r="AJ1606" t="s">
        <v>2</v>
      </c>
      <c r="AK1606" t="s">
        <v>11</v>
      </c>
    </row>
    <row r="1607" spans="1:37">
      <c r="A1607">
        <v>257851</v>
      </c>
      <c r="B1607" s="1">
        <v>45366</v>
      </c>
      <c r="C1607" t="s">
        <v>2444</v>
      </c>
      <c r="D1607" t="s">
        <v>2445</v>
      </c>
      <c r="E1607" t="s">
        <v>2</v>
      </c>
      <c r="F1607" t="s">
        <v>2446</v>
      </c>
      <c r="G1607" t="s">
        <v>575</v>
      </c>
      <c r="H1607">
        <v>49306</v>
      </c>
      <c r="I1607" t="s">
        <v>2447</v>
      </c>
      <c r="J1607" t="s">
        <v>2448</v>
      </c>
      <c r="K1607" t="s">
        <v>2449</v>
      </c>
      <c r="L1607" t="s">
        <v>2446</v>
      </c>
      <c r="M1607" t="s">
        <v>575</v>
      </c>
      <c r="N1607">
        <v>49306</v>
      </c>
      <c r="O1607" t="s">
        <v>2450</v>
      </c>
      <c r="P1607">
        <v>469018</v>
      </c>
      <c r="Q1607" t="s">
        <v>6</v>
      </c>
      <c r="R1607">
        <v>414932</v>
      </c>
      <c r="S1607" t="s">
        <v>2451</v>
      </c>
      <c r="T1607" s="2">
        <v>4</v>
      </c>
      <c r="U1607">
        <v>0</v>
      </c>
      <c r="V1607" t="s">
        <v>236</v>
      </c>
      <c r="W1607">
        <v>1</v>
      </c>
      <c r="X1607">
        <v>0</v>
      </c>
      <c r="Y1607">
        <v>1</v>
      </c>
      <c r="Z1607" t="s">
        <v>2458</v>
      </c>
      <c r="AA1607" t="s">
        <v>2459</v>
      </c>
      <c r="AB1607" t="s">
        <v>14</v>
      </c>
      <c r="AC1607">
        <v>56.13</v>
      </c>
      <c r="AD1607">
        <v>0</v>
      </c>
      <c r="AE1607">
        <v>9442816972</v>
      </c>
      <c r="AF1607">
        <v>223.11</v>
      </c>
      <c r="AG1607">
        <v>0</v>
      </c>
      <c r="AH1607">
        <v>0</v>
      </c>
      <c r="AI1607">
        <v>223.11</v>
      </c>
      <c r="AJ1607" t="s">
        <v>2</v>
      </c>
      <c r="AK1607" t="s">
        <v>11</v>
      </c>
    </row>
    <row r="1608" spans="1:37">
      <c r="A1608">
        <v>257851</v>
      </c>
      <c r="B1608" s="1">
        <v>45366</v>
      </c>
      <c r="C1608" t="s">
        <v>2444</v>
      </c>
      <c r="D1608" t="s">
        <v>2445</v>
      </c>
      <c r="E1608" t="s">
        <v>2</v>
      </c>
      <c r="F1608" t="s">
        <v>2446</v>
      </c>
      <c r="G1608" t="s">
        <v>575</v>
      </c>
      <c r="H1608">
        <v>49306</v>
      </c>
      <c r="I1608" t="s">
        <v>2447</v>
      </c>
      <c r="J1608" t="s">
        <v>2448</v>
      </c>
      <c r="K1608" t="s">
        <v>2449</v>
      </c>
      <c r="L1608" t="s">
        <v>2446</v>
      </c>
      <c r="M1608" t="s">
        <v>575</v>
      </c>
      <c r="N1608">
        <v>49306</v>
      </c>
      <c r="O1608" t="s">
        <v>2450</v>
      </c>
      <c r="P1608">
        <v>469018</v>
      </c>
      <c r="Q1608" t="s">
        <v>6</v>
      </c>
      <c r="R1608">
        <v>414932</v>
      </c>
      <c r="S1608" t="s">
        <v>2451</v>
      </c>
      <c r="T1608" s="2">
        <v>4</v>
      </c>
      <c r="U1608">
        <v>0</v>
      </c>
      <c r="V1608" t="s">
        <v>236</v>
      </c>
      <c r="W1608">
        <v>1</v>
      </c>
      <c r="X1608">
        <v>1</v>
      </c>
      <c r="Y1608">
        <v>0</v>
      </c>
      <c r="Z1608" t="s">
        <v>2460</v>
      </c>
      <c r="AA1608" t="s">
        <v>2461</v>
      </c>
      <c r="AB1608" t="s">
        <v>14</v>
      </c>
      <c r="AC1608">
        <v>79.75</v>
      </c>
      <c r="AD1608">
        <v>79.75</v>
      </c>
      <c r="AE1608">
        <v>9442816972</v>
      </c>
      <c r="AF1608">
        <v>223.11</v>
      </c>
      <c r="AG1608">
        <v>0</v>
      </c>
      <c r="AH1608">
        <v>0</v>
      </c>
      <c r="AI1608">
        <v>223.11</v>
      </c>
      <c r="AJ1608" t="s">
        <v>2</v>
      </c>
      <c r="AK1608" t="s">
        <v>11</v>
      </c>
    </row>
    <row r="1609" spans="1:37">
      <c r="A1609">
        <v>257851</v>
      </c>
      <c r="B1609" s="1">
        <v>45366</v>
      </c>
      <c r="C1609" t="s">
        <v>2444</v>
      </c>
      <c r="D1609" t="s">
        <v>2445</v>
      </c>
      <c r="E1609" t="s">
        <v>2</v>
      </c>
      <c r="F1609" t="s">
        <v>2446</v>
      </c>
      <c r="G1609" t="s">
        <v>575</v>
      </c>
      <c r="H1609">
        <v>49306</v>
      </c>
      <c r="I1609" t="s">
        <v>2447</v>
      </c>
      <c r="J1609" t="s">
        <v>2448</v>
      </c>
      <c r="K1609" t="s">
        <v>2449</v>
      </c>
      <c r="L1609" t="s">
        <v>2446</v>
      </c>
      <c r="M1609" t="s">
        <v>575</v>
      </c>
      <c r="N1609">
        <v>49306</v>
      </c>
      <c r="O1609" t="s">
        <v>2450</v>
      </c>
      <c r="P1609">
        <v>469018</v>
      </c>
      <c r="Q1609" t="s">
        <v>6</v>
      </c>
      <c r="R1609">
        <v>414932</v>
      </c>
      <c r="S1609" t="s">
        <v>2451</v>
      </c>
      <c r="T1609" s="2">
        <v>4</v>
      </c>
      <c r="U1609">
        <v>0</v>
      </c>
      <c r="V1609" t="s">
        <v>236</v>
      </c>
      <c r="W1609">
        <v>0</v>
      </c>
      <c r="X1609">
        <v>0</v>
      </c>
      <c r="Y1609">
        <v>0</v>
      </c>
      <c r="Z1609" t="s">
        <v>88</v>
      </c>
      <c r="AA1609" t="s">
        <v>266</v>
      </c>
      <c r="AB1609" t="s">
        <v>10</v>
      </c>
      <c r="AC1609">
        <v>0</v>
      </c>
      <c r="AD1609">
        <v>0</v>
      </c>
      <c r="AE1609">
        <v>9442816972</v>
      </c>
      <c r="AF1609">
        <v>223.11</v>
      </c>
      <c r="AG1609">
        <v>0</v>
      </c>
      <c r="AH1609">
        <v>0</v>
      </c>
      <c r="AI1609">
        <v>223.11</v>
      </c>
      <c r="AJ1609" t="s">
        <v>2</v>
      </c>
      <c r="AK1609" t="s">
        <v>11</v>
      </c>
    </row>
    <row r="1610" spans="1:37">
      <c r="A1610">
        <v>257852</v>
      </c>
      <c r="B1610" s="1">
        <v>45366</v>
      </c>
      <c r="C1610" t="s">
        <v>2462</v>
      </c>
      <c r="D1610" t="s">
        <v>2463</v>
      </c>
      <c r="E1610" t="s">
        <v>2</v>
      </c>
      <c r="F1610" t="s">
        <v>866</v>
      </c>
      <c r="G1610" t="s">
        <v>67</v>
      </c>
      <c r="H1610">
        <v>77003</v>
      </c>
      <c r="I1610" t="s">
        <v>2464</v>
      </c>
      <c r="J1610" t="s">
        <v>2465</v>
      </c>
      <c r="K1610" t="s">
        <v>2</v>
      </c>
      <c r="L1610" t="s">
        <v>866</v>
      </c>
      <c r="M1610" t="s">
        <v>67</v>
      </c>
      <c r="N1610">
        <v>77003</v>
      </c>
      <c r="O1610" t="s">
        <v>2466</v>
      </c>
      <c r="P1610" t="s">
        <v>2467</v>
      </c>
      <c r="Q1610" t="s">
        <v>6</v>
      </c>
      <c r="R1610">
        <v>415102</v>
      </c>
      <c r="S1610" t="s">
        <v>2451</v>
      </c>
      <c r="T1610" s="2">
        <v>15</v>
      </c>
      <c r="U1610">
        <v>0</v>
      </c>
      <c r="V1610" t="s">
        <v>260</v>
      </c>
      <c r="W1610">
        <v>0</v>
      </c>
      <c r="X1610">
        <v>0</v>
      </c>
      <c r="Y1610">
        <v>0</v>
      </c>
      <c r="Z1610" t="s">
        <v>9</v>
      </c>
      <c r="AA1610" t="s">
        <v>2</v>
      </c>
      <c r="AB1610" t="s">
        <v>10</v>
      </c>
      <c r="AC1610">
        <v>0</v>
      </c>
      <c r="AD1610">
        <v>0</v>
      </c>
      <c r="AE1610">
        <v>9442812573</v>
      </c>
      <c r="AF1610">
        <v>2339.0500000000002</v>
      </c>
      <c r="AG1610">
        <v>0</v>
      </c>
      <c r="AH1610">
        <v>0</v>
      </c>
      <c r="AI1610">
        <v>2339.0500000000002</v>
      </c>
      <c r="AJ1610" t="s">
        <v>2</v>
      </c>
      <c r="AK1610" t="s">
        <v>11</v>
      </c>
    </row>
    <row r="1611" spans="1:37">
      <c r="A1611">
        <v>257852</v>
      </c>
      <c r="B1611" s="1">
        <v>45366</v>
      </c>
      <c r="C1611" t="s">
        <v>2462</v>
      </c>
      <c r="D1611" t="s">
        <v>2463</v>
      </c>
      <c r="E1611" t="s">
        <v>2</v>
      </c>
      <c r="F1611" t="s">
        <v>866</v>
      </c>
      <c r="G1611" t="s">
        <v>67</v>
      </c>
      <c r="H1611">
        <v>77003</v>
      </c>
      <c r="I1611" t="s">
        <v>2464</v>
      </c>
      <c r="J1611" t="s">
        <v>2465</v>
      </c>
      <c r="K1611" t="s">
        <v>2</v>
      </c>
      <c r="L1611" t="s">
        <v>866</v>
      </c>
      <c r="M1611" t="s">
        <v>67</v>
      </c>
      <c r="N1611">
        <v>77003</v>
      </c>
      <c r="O1611" t="s">
        <v>2466</v>
      </c>
      <c r="P1611" t="s">
        <v>2467</v>
      </c>
      <c r="Q1611" t="s">
        <v>6</v>
      </c>
      <c r="R1611">
        <v>415102</v>
      </c>
      <c r="S1611" t="s">
        <v>2451</v>
      </c>
      <c r="T1611" s="2">
        <v>15</v>
      </c>
      <c r="U1611">
        <v>0</v>
      </c>
      <c r="V1611" t="s">
        <v>260</v>
      </c>
      <c r="W1611">
        <v>5</v>
      </c>
      <c r="X1611">
        <v>5</v>
      </c>
      <c r="Y1611">
        <v>0</v>
      </c>
      <c r="Z1611" t="s">
        <v>2468</v>
      </c>
      <c r="AA1611" t="s">
        <v>2469</v>
      </c>
      <c r="AB1611" t="s">
        <v>14</v>
      </c>
      <c r="AC1611">
        <v>78.294600000000003</v>
      </c>
      <c r="AD1611">
        <v>391.47</v>
      </c>
      <c r="AE1611">
        <v>9442812573</v>
      </c>
      <c r="AF1611">
        <v>2339.0500000000002</v>
      </c>
      <c r="AG1611">
        <v>0</v>
      </c>
      <c r="AH1611">
        <v>0</v>
      </c>
      <c r="AI1611">
        <v>2339.0500000000002</v>
      </c>
      <c r="AJ1611" t="s">
        <v>2</v>
      </c>
      <c r="AK1611" t="s">
        <v>11</v>
      </c>
    </row>
    <row r="1612" spans="1:37">
      <c r="A1612">
        <v>257852</v>
      </c>
      <c r="B1612" s="1">
        <v>45366</v>
      </c>
      <c r="C1612" t="s">
        <v>2462</v>
      </c>
      <c r="D1612" t="s">
        <v>2463</v>
      </c>
      <c r="E1612" t="s">
        <v>2</v>
      </c>
      <c r="F1612" t="s">
        <v>866</v>
      </c>
      <c r="G1612" t="s">
        <v>67</v>
      </c>
      <c r="H1612">
        <v>77003</v>
      </c>
      <c r="I1612" t="s">
        <v>2464</v>
      </c>
      <c r="J1612" t="s">
        <v>2465</v>
      </c>
      <c r="K1612" t="s">
        <v>2</v>
      </c>
      <c r="L1612" t="s">
        <v>866</v>
      </c>
      <c r="M1612" t="s">
        <v>67</v>
      </c>
      <c r="N1612">
        <v>77003</v>
      </c>
      <c r="O1612" t="s">
        <v>2466</v>
      </c>
      <c r="P1612" t="s">
        <v>2467</v>
      </c>
      <c r="Q1612" t="s">
        <v>6</v>
      </c>
      <c r="R1612">
        <v>415102</v>
      </c>
      <c r="S1612" t="s">
        <v>2451</v>
      </c>
      <c r="T1612" s="2">
        <v>15</v>
      </c>
      <c r="U1612">
        <v>0</v>
      </c>
      <c r="V1612" t="s">
        <v>260</v>
      </c>
      <c r="W1612">
        <v>0</v>
      </c>
      <c r="X1612">
        <v>0</v>
      </c>
      <c r="Y1612">
        <v>0</v>
      </c>
      <c r="Z1612" t="s">
        <v>88</v>
      </c>
      <c r="AA1612" t="s">
        <v>317</v>
      </c>
      <c r="AB1612" t="s">
        <v>10</v>
      </c>
      <c r="AC1612">
        <v>0</v>
      </c>
      <c r="AD1612">
        <v>0</v>
      </c>
      <c r="AE1612">
        <v>9442812573</v>
      </c>
      <c r="AF1612">
        <v>2339.0500000000002</v>
      </c>
      <c r="AG1612">
        <v>0</v>
      </c>
      <c r="AH1612">
        <v>0</v>
      </c>
      <c r="AI1612">
        <v>2339.0500000000002</v>
      </c>
      <c r="AJ1612" t="s">
        <v>2</v>
      </c>
      <c r="AK1612" t="s">
        <v>11</v>
      </c>
    </row>
    <row r="1613" spans="1:37">
      <c r="A1613">
        <v>257852</v>
      </c>
      <c r="B1613" s="1">
        <v>45366</v>
      </c>
      <c r="C1613" t="s">
        <v>2462</v>
      </c>
      <c r="D1613" t="s">
        <v>2463</v>
      </c>
      <c r="E1613" t="s">
        <v>2</v>
      </c>
      <c r="F1613" t="s">
        <v>866</v>
      </c>
      <c r="G1613" t="s">
        <v>67</v>
      </c>
      <c r="H1613">
        <v>77003</v>
      </c>
      <c r="I1613" t="s">
        <v>2464</v>
      </c>
      <c r="J1613" t="s">
        <v>2465</v>
      </c>
      <c r="K1613" t="s">
        <v>2</v>
      </c>
      <c r="L1613" t="s">
        <v>866</v>
      </c>
      <c r="M1613" t="s">
        <v>67</v>
      </c>
      <c r="N1613">
        <v>77003</v>
      </c>
      <c r="O1613" t="s">
        <v>2466</v>
      </c>
      <c r="P1613" t="s">
        <v>2467</v>
      </c>
      <c r="Q1613" t="s">
        <v>6</v>
      </c>
      <c r="R1613">
        <v>415102</v>
      </c>
      <c r="S1613" t="s">
        <v>2451</v>
      </c>
      <c r="T1613" s="2">
        <v>15</v>
      </c>
      <c r="U1613">
        <v>0</v>
      </c>
      <c r="V1613" t="s">
        <v>260</v>
      </c>
      <c r="W1613">
        <v>2</v>
      </c>
      <c r="X1613">
        <v>2</v>
      </c>
      <c r="Y1613">
        <v>0</v>
      </c>
      <c r="Z1613" t="s">
        <v>2470</v>
      </c>
      <c r="AA1613" t="s">
        <v>2471</v>
      </c>
      <c r="AB1613" t="s">
        <v>14</v>
      </c>
      <c r="AC1613">
        <v>86.433800000000005</v>
      </c>
      <c r="AD1613">
        <v>172.87</v>
      </c>
      <c r="AE1613">
        <v>9442812573</v>
      </c>
      <c r="AF1613">
        <v>2339.0500000000002</v>
      </c>
      <c r="AG1613">
        <v>0</v>
      </c>
      <c r="AH1613">
        <v>0</v>
      </c>
      <c r="AI1613">
        <v>2339.0500000000002</v>
      </c>
      <c r="AJ1613" t="s">
        <v>2</v>
      </c>
      <c r="AK1613" t="s">
        <v>11</v>
      </c>
    </row>
    <row r="1614" spans="1:37">
      <c r="A1614">
        <v>257852</v>
      </c>
      <c r="B1614" s="1">
        <v>45366</v>
      </c>
      <c r="C1614" t="s">
        <v>2462</v>
      </c>
      <c r="D1614" t="s">
        <v>2463</v>
      </c>
      <c r="E1614" t="s">
        <v>2</v>
      </c>
      <c r="F1614" t="s">
        <v>866</v>
      </c>
      <c r="G1614" t="s">
        <v>67</v>
      </c>
      <c r="H1614">
        <v>77003</v>
      </c>
      <c r="I1614" t="s">
        <v>2464</v>
      </c>
      <c r="J1614" t="s">
        <v>2465</v>
      </c>
      <c r="K1614" t="s">
        <v>2</v>
      </c>
      <c r="L1614" t="s">
        <v>866</v>
      </c>
      <c r="M1614" t="s">
        <v>67</v>
      </c>
      <c r="N1614">
        <v>77003</v>
      </c>
      <c r="O1614" t="s">
        <v>2466</v>
      </c>
      <c r="P1614" t="s">
        <v>2467</v>
      </c>
      <c r="Q1614" t="s">
        <v>6</v>
      </c>
      <c r="R1614">
        <v>415102</v>
      </c>
      <c r="S1614" t="s">
        <v>2451</v>
      </c>
      <c r="T1614" s="2">
        <v>15</v>
      </c>
      <c r="U1614">
        <v>0</v>
      </c>
      <c r="V1614" t="s">
        <v>260</v>
      </c>
      <c r="W1614">
        <v>0</v>
      </c>
      <c r="X1614">
        <v>0</v>
      </c>
      <c r="Y1614">
        <v>0</v>
      </c>
      <c r="Z1614" t="s">
        <v>88</v>
      </c>
      <c r="AA1614" t="s">
        <v>317</v>
      </c>
      <c r="AB1614" t="s">
        <v>10</v>
      </c>
      <c r="AC1614">
        <v>0</v>
      </c>
      <c r="AD1614">
        <v>0</v>
      </c>
      <c r="AE1614">
        <v>9442812573</v>
      </c>
      <c r="AF1614">
        <v>2339.0500000000002</v>
      </c>
      <c r="AG1614">
        <v>0</v>
      </c>
      <c r="AH1614">
        <v>0</v>
      </c>
      <c r="AI1614">
        <v>2339.0500000000002</v>
      </c>
      <c r="AJ1614" t="s">
        <v>2</v>
      </c>
      <c r="AK1614" t="s">
        <v>11</v>
      </c>
    </row>
    <row r="1615" spans="1:37">
      <c r="A1615">
        <v>257852</v>
      </c>
      <c r="B1615" s="1">
        <v>45366</v>
      </c>
      <c r="C1615" t="s">
        <v>2462</v>
      </c>
      <c r="D1615" t="s">
        <v>2463</v>
      </c>
      <c r="E1615" t="s">
        <v>2</v>
      </c>
      <c r="F1615" t="s">
        <v>866</v>
      </c>
      <c r="G1615" t="s">
        <v>67</v>
      </c>
      <c r="H1615">
        <v>77003</v>
      </c>
      <c r="I1615" t="s">
        <v>2464</v>
      </c>
      <c r="J1615" t="s">
        <v>2465</v>
      </c>
      <c r="K1615" t="s">
        <v>2</v>
      </c>
      <c r="L1615" t="s">
        <v>866</v>
      </c>
      <c r="M1615" t="s">
        <v>67</v>
      </c>
      <c r="N1615">
        <v>77003</v>
      </c>
      <c r="O1615" t="s">
        <v>2466</v>
      </c>
      <c r="P1615" t="s">
        <v>2467</v>
      </c>
      <c r="Q1615" t="s">
        <v>6</v>
      </c>
      <c r="R1615">
        <v>415102</v>
      </c>
      <c r="S1615" t="s">
        <v>2451</v>
      </c>
      <c r="T1615" s="2">
        <v>15</v>
      </c>
      <c r="U1615">
        <v>0</v>
      </c>
      <c r="V1615" t="s">
        <v>260</v>
      </c>
      <c r="W1615">
        <v>1</v>
      </c>
      <c r="X1615">
        <v>1</v>
      </c>
      <c r="Y1615">
        <v>0</v>
      </c>
      <c r="Z1615" t="s">
        <v>2472</v>
      </c>
      <c r="AA1615" t="s">
        <v>2473</v>
      </c>
      <c r="AB1615" t="s">
        <v>14</v>
      </c>
      <c r="AC1615">
        <v>172.86760000000001</v>
      </c>
      <c r="AD1615">
        <v>172.87</v>
      </c>
      <c r="AE1615">
        <v>9442812573</v>
      </c>
      <c r="AF1615">
        <v>2339.0500000000002</v>
      </c>
      <c r="AG1615">
        <v>0</v>
      </c>
      <c r="AH1615">
        <v>0</v>
      </c>
      <c r="AI1615">
        <v>2339.0500000000002</v>
      </c>
      <c r="AJ1615" t="s">
        <v>2</v>
      </c>
      <c r="AK1615" t="s">
        <v>11</v>
      </c>
    </row>
    <row r="1616" spans="1:37">
      <c r="A1616">
        <v>257852</v>
      </c>
      <c r="B1616" s="1">
        <v>45366</v>
      </c>
      <c r="C1616" t="s">
        <v>2462</v>
      </c>
      <c r="D1616" t="s">
        <v>2463</v>
      </c>
      <c r="E1616" t="s">
        <v>2</v>
      </c>
      <c r="F1616" t="s">
        <v>866</v>
      </c>
      <c r="G1616" t="s">
        <v>67</v>
      </c>
      <c r="H1616">
        <v>77003</v>
      </c>
      <c r="I1616" t="s">
        <v>2464</v>
      </c>
      <c r="J1616" t="s">
        <v>2465</v>
      </c>
      <c r="K1616" t="s">
        <v>2</v>
      </c>
      <c r="L1616" t="s">
        <v>866</v>
      </c>
      <c r="M1616" t="s">
        <v>67</v>
      </c>
      <c r="N1616">
        <v>77003</v>
      </c>
      <c r="O1616" t="s">
        <v>2466</v>
      </c>
      <c r="P1616" t="s">
        <v>2467</v>
      </c>
      <c r="Q1616" t="s">
        <v>6</v>
      </c>
      <c r="R1616">
        <v>415102</v>
      </c>
      <c r="S1616" t="s">
        <v>2451</v>
      </c>
      <c r="T1616" s="2">
        <v>15</v>
      </c>
      <c r="U1616">
        <v>0</v>
      </c>
      <c r="V1616" t="s">
        <v>260</v>
      </c>
      <c r="W1616">
        <v>0</v>
      </c>
      <c r="X1616">
        <v>0</v>
      </c>
      <c r="Y1616">
        <v>0</v>
      </c>
      <c r="Z1616" t="s">
        <v>88</v>
      </c>
      <c r="AA1616" t="s">
        <v>317</v>
      </c>
      <c r="AB1616" t="s">
        <v>10</v>
      </c>
      <c r="AC1616">
        <v>0</v>
      </c>
      <c r="AD1616">
        <v>0</v>
      </c>
      <c r="AE1616">
        <v>9442812573</v>
      </c>
      <c r="AF1616">
        <v>2339.0500000000002</v>
      </c>
      <c r="AG1616">
        <v>0</v>
      </c>
      <c r="AH1616">
        <v>0</v>
      </c>
      <c r="AI1616">
        <v>2339.0500000000002</v>
      </c>
      <c r="AJ1616" t="s">
        <v>2</v>
      </c>
      <c r="AK1616" t="s">
        <v>11</v>
      </c>
    </row>
    <row r="1617" spans="1:37">
      <c r="A1617">
        <v>257852</v>
      </c>
      <c r="B1617" s="1">
        <v>45366</v>
      </c>
      <c r="C1617" t="s">
        <v>2462</v>
      </c>
      <c r="D1617" t="s">
        <v>2463</v>
      </c>
      <c r="E1617" t="s">
        <v>2</v>
      </c>
      <c r="F1617" t="s">
        <v>866</v>
      </c>
      <c r="G1617" t="s">
        <v>67</v>
      </c>
      <c r="H1617">
        <v>77003</v>
      </c>
      <c r="I1617" t="s">
        <v>2464</v>
      </c>
      <c r="J1617" t="s">
        <v>2465</v>
      </c>
      <c r="K1617" t="s">
        <v>2</v>
      </c>
      <c r="L1617" t="s">
        <v>866</v>
      </c>
      <c r="M1617" t="s">
        <v>67</v>
      </c>
      <c r="N1617">
        <v>77003</v>
      </c>
      <c r="O1617" t="s">
        <v>2466</v>
      </c>
      <c r="P1617" t="s">
        <v>2467</v>
      </c>
      <c r="Q1617" t="s">
        <v>6</v>
      </c>
      <c r="R1617">
        <v>415102</v>
      </c>
      <c r="S1617" t="s">
        <v>2451</v>
      </c>
      <c r="T1617" s="2">
        <v>15</v>
      </c>
      <c r="U1617">
        <v>0</v>
      </c>
      <c r="V1617" t="s">
        <v>260</v>
      </c>
      <c r="W1617">
        <v>2</v>
      </c>
      <c r="X1617">
        <v>0</v>
      </c>
      <c r="Y1617">
        <v>2</v>
      </c>
      <c r="Z1617" t="s">
        <v>2474</v>
      </c>
      <c r="AA1617" t="s">
        <v>2475</v>
      </c>
      <c r="AB1617" t="s">
        <v>14</v>
      </c>
      <c r="AC1617">
        <v>120.4532</v>
      </c>
      <c r="AD1617">
        <v>0</v>
      </c>
      <c r="AE1617">
        <v>9442812573</v>
      </c>
      <c r="AF1617">
        <v>2339.0500000000002</v>
      </c>
      <c r="AG1617">
        <v>0</v>
      </c>
      <c r="AH1617">
        <v>0</v>
      </c>
      <c r="AI1617">
        <v>2339.0500000000002</v>
      </c>
      <c r="AJ1617" t="s">
        <v>2</v>
      </c>
      <c r="AK1617" t="s">
        <v>11</v>
      </c>
    </row>
    <row r="1618" spans="1:37">
      <c r="A1618">
        <v>257852</v>
      </c>
      <c r="B1618" s="1">
        <v>45366</v>
      </c>
      <c r="C1618" t="s">
        <v>2462</v>
      </c>
      <c r="D1618" t="s">
        <v>2463</v>
      </c>
      <c r="E1618" t="s">
        <v>2</v>
      </c>
      <c r="F1618" t="s">
        <v>866</v>
      </c>
      <c r="G1618" t="s">
        <v>67</v>
      </c>
      <c r="H1618">
        <v>77003</v>
      </c>
      <c r="I1618" t="s">
        <v>2464</v>
      </c>
      <c r="J1618" t="s">
        <v>2465</v>
      </c>
      <c r="K1618" t="s">
        <v>2</v>
      </c>
      <c r="L1618" t="s">
        <v>866</v>
      </c>
      <c r="M1618" t="s">
        <v>67</v>
      </c>
      <c r="N1618">
        <v>77003</v>
      </c>
      <c r="O1618" t="s">
        <v>2466</v>
      </c>
      <c r="P1618" t="s">
        <v>2467</v>
      </c>
      <c r="Q1618" t="s">
        <v>6</v>
      </c>
      <c r="R1618">
        <v>415102</v>
      </c>
      <c r="S1618" t="s">
        <v>2451</v>
      </c>
      <c r="T1618" s="2">
        <v>15</v>
      </c>
      <c r="U1618">
        <v>0</v>
      </c>
      <c r="V1618" t="s">
        <v>260</v>
      </c>
      <c r="W1618">
        <v>0</v>
      </c>
      <c r="X1618">
        <v>0</v>
      </c>
      <c r="Y1618">
        <v>0</v>
      </c>
      <c r="Z1618" t="s">
        <v>88</v>
      </c>
      <c r="AA1618" t="s">
        <v>317</v>
      </c>
      <c r="AB1618" t="s">
        <v>10</v>
      </c>
      <c r="AC1618">
        <v>0</v>
      </c>
      <c r="AD1618">
        <v>0</v>
      </c>
      <c r="AE1618">
        <v>9442812573</v>
      </c>
      <c r="AF1618">
        <v>2339.0500000000002</v>
      </c>
      <c r="AG1618">
        <v>0</v>
      </c>
      <c r="AH1618">
        <v>0</v>
      </c>
      <c r="AI1618">
        <v>2339.0500000000002</v>
      </c>
      <c r="AJ1618" t="s">
        <v>2</v>
      </c>
      <c r="AK1618" t="s">
        <v>11</v>
      </c>
    </row>
    <row r="1619" spans="1:37">
      <c r="A1619">
        <v>257852</v>
      </c>
      <c r="B1619" s="1">
        <v>45366</v>
      </c>
      <c r="C1619" t="s">
        <v>2462</v>
      </c>
      <c r="D1619" t="s">
        <v>2463</v>
      </c>
      <c r="E1619" t="s">
        <v>2</v>
      </c>
      <c r="F1619" t="s">
        <v>866</v>
      </c>
      <c r="G1619" t="s">
        <v>67</v>
      </c>
      <c r="H1619">
        <v>77003</v>
      </c>
      <c r="I1619" t="s">
        <v>2464</v>
      </c>
      <c r="J1619" t="s">
        <v>2465</v>
      </c>
      <c r="K1619" t="s">
        <v>2</v>
      </c>
      <c r="L1619" t="s">
        <v>866</v>
      </c>
      <c r="M1619" t="s">
        <v>67</v>
      </c>
      <c r="N1619">
        <v>77003</v>
      </c>
      <c r="O1619" t="s">
        <v>2466</v>
      </c>
      <c r="P1619" t="s">
        <v>2467</v>
      </c>
      <c r="Q1619" t="s">
        <v>6</v>
      </c>
      <c r="R1619">
        <v>415102</v>
      </c>
      <c r="S1619" t="s">
        <v>2451</v>
      </c>
      <c r="T1619" s="2">
        <v>15</v>
      </c>
      <c r="U1619">
        <v>0</v>
      </c>
      <c r="V1619" t="s">
        <v>260</v>
      </c>
      <c r="W1619">
        <v>2</v>
      </c>
      <c r="X1619">
        <v>2</v>
      </c>
      <c r="Y1619">
        <v>0</v>
      </c>
      <c r="Z1619" t="s">
        <v>2476</v>
      </c>
      <c r="AA1619" t="s">
        <v>2477</v>
      </c>
      <c r="AB1619" t="s">
        <v>14</v>
      </c>
      <c r="AC1619">
        <v>120.4532</v>
      </c>
      <c r="AD1619">
        <v>240.91</v>
      </c>
      <c r="AE1619">
        <v>9442812573</v>
      </c>
      <c r="AF1619">
        <v>2339.0500000000002</v>
      </c>
      <c r="AG1619">
        <v>0</v>
      </c>
      <c r="AH1619">
        <v>0</v>
      </c>
      <c r="AI1619">
        <v>2339.0500000000002</v>
      </c>
      <c r="AJ1619" t="s">
        <v>2</v>
      </c>
      <c r="AK1619" t="s">
        <v>11</v>
      </c>
    </row>
    <row r="1620" spans="1:37">
      <c r="A1620">
        <v>257852</v>
      </c>
      <c r="B1620" s="1">
        <v>45366</v>
      </c>
      <c r="C1620" t="s">
        <v>2462</v>
      </c>
      <c r="D1620" t="s">
        <v>2463</v>
      </c>
      <c r="E1620" t="s">
        <v>2</v>
      </c>
      <c r="F1620" t="s">
        <v>866</v>
      </c>
      <c r="G1620" t="s">
        <v>67</v>
      </c>
      <c r="H1620">
        <v>77003</v>
      </c>
      <c r="I1620" t="s">
        <v>2464</v>
      </c>
      <c r="J1620" t="s">
        <v>2465</v>
      </c>
      <c r="K1620" t="s">
        <v>2</v>
      </c>
      <c r="L1620" t="s">
        <v>866</v>
      </c>
      <c r="M1620" t="s">
        <v>67</v>
      </c>
      <c r="N1620">
        <v>77003</v>
      </c>
      <c r="O1620" t="s">
        <v>2466</v>
      </c>
      <c r="P1620" t="s">
        <v>2467</v>
      </c>
      <c r="Q1620" t="s">
        <v>6</v>
      </c>
      <c r="R1620">
        <v>415102</v>
      </c>
      <c r="S1620" t="s">
        <v>2451</v>
      </c>
      <c r="T1620" s="2">
        <v>15</v>
      </c>
      <c r="U1620">
        <v>0</v>
      </c>
      <c r="V1620" t="s">
        <v>260</v>
      </c>
      <c r="W1620">
        <v>0</v>
      </c>
      <c r="X1620">
        <v>0</v>
      </c>
      <c r="Y1620">
        <v>0</v>
      </c>
      <c r="Z1620" t="s">
        <v>88</v>
      </c>
      <c r="AA1620" t="s">
        <v>317</v>
      </c>
      <c r="AB1620" t="s">
        <v>10</v>
      </c>
      <c r="AC1620">
        <v>0</v>
      </c>
      <c r="AD1620">
        <v>0</v>
      </c>
      <c r="AE1620">
        <v>9442812573</v>
      </c>
      <c r="AF1620">
        <v>2339.0500000000002</v>
      </c>
      <c r="AG1620">
        <v>0</v>
      </c>
      <c r="AH1620">
        <v>0</v>
      </c>
      <c r="AI1620">
        <v>2339.0500000000002</v>
      </c>
      <c r="AJ1620" t="s">
        <v>2</v>
      </c>
      <c r="AK1620" t="s">
        <v>11</v>
      </c>
    </row>
    <row r="1621" spans="1:37">
      <c r="A1621">
        <v>257852</v>
      </c>
      <c r="B1621" s="1">
        <v>45366</v>
      </c>
      <c r="C1621" t="s">
        <v>2462</v>
      </c>
      <c r="D1621" t="s">
        <v>2463</v>
      </c>
      <c r="E1621" t="s">
        <v>2</v>
      </c>
      <c r="F1621" t="s">
        <v>866</v>
      </c>
      <c r="G1621" t="s">
        <v>67</v>
      </c>
      <c r="H1621">
        <v>77003</v>
      </c>
      <c r="I1621" t="s">
        <v>2464</v>
      </c>
      <c r="J1621" t="s">
        <v>2465</v>
      </c>
      <c r="K1621" t="s">
        <v>2</v>
      </c>
      <c r="L1621" t="s">
        <v>866</v>
      </c>
      <c r="M1621" t="s">
        <v>67</v>
      </c>
      <c r="N1621">
        <v>77003</v>
      </c>
      <c r="O1621" t="s">
        <v>2466</v>
      </c>
      <c r="P1621" t="s">
        <v>2467</v>
      </c>
      <c r="Q1621" t="s">
        <v>6</v>
      </c>
      <c r="R1621">
        <v>415102</v>
      </c>
      <c r="S1621" t="s">
        <v>2451</v>
      </c>
      <c r="T1621" s="2">
        <v>15</v>
      </c>
      <c r="U1621">
        <v>0</v>
      </c>
      <c r="V1621" t="s">
        <v>260</v>
      </c>
      <c r="W1621">
        <v>1</v>
      </c>
      <c r="X1621">
        <v>1</v>
      </c>
      <c r="Y1621">
        <v>0</v>
      </c>
      <c r="Z1621" t="s">
        <v>2478</v>
      </c>
      <c r="AA1621" t="s">
        <v>2479</v>
      </c>
      <c r="AB1621" t="s">
        <v>14</v>
      </c>
      <c r="AC1621">
        <v>132.9751</v>
      </c>
      <c r="AD1621">
        <v>132.97999999999999</v>
      </c>
      <c r="AE1621">
        <v>9442812573</v>
      </c>
      <c r="AF1621">
        <v>2339.0500000000002</v>
      </c>
      <c r="AG1621">
        <v>0</v>
      </c>
      <c r="AH1621">
        <v>0</v>
      </c>
      <c r="AI1621">
        <v>2339.0500000000002</v>
      </c>
      <c r="AJ1621" t="s">
        <v>2</v>
      </c>
      <c r="AK1621" t="s">
        <v>11</v>
      </c>
    </row>
    <row r="1622" spans="1:37">
      <c r="A1622">
        <v>257852</v>
      </c>
      <c r="B1622" s="1">
        <v>45366</v>
      </c>
      <c r="C1622" t="s">
        <v>2462</v>
      </c>
      <c r="D1622" t="s">
        <v>2463</v>
      </c>
      <c r="E1622" t="s">
        <v>2</v>
      </c>
      <c r="F1622" t="s">
        <v>866</v>
      </c>
      <c r="G1622" t="s">
        <v>67</v>
      </c>
      <c r="H1622">
        <v>77003</v>
      </c>
      <c r="I1622" t="s">
        <v>2464</v>
      </c>
      <c r="J1622" t="s">
        <v>2465</v>
      </c>
      <c r="K1622" t="s">
        <v>2</v>
      </c>
      <c r="L1622" t="s">
        <v>866</v>
      </c>
      <c r="M1622" t="s">
        <v>67</v>
      </c>
      <c r="N1622">
        <v>77003</v>
      </c>
      <c r="O1622" t="s">
        <v>2466</v>
      </c>
      <c r="P1622" t="s">
        <v>2467</v>
      </c>
      <c r="Q1622" t="s">
        <v>6</v>
      </c>
      <c r="R1622">
        <v>415102</v>
      </c>
      <c r="S1622" t="s">
        <v>2451</v>
      </c>
      <c r="T1622" s="2">
        <v>15</v>
      </c>
      <c r="U1622">
        <v>0</v>
      </c>
      <c r="V1622" t="s">
        <v>260</v>
      </c>
      <c r="W1622">
        <v>0</v>
      </c>
      <c r="X1622">
        <v>0</v>
      </c>
      <c r="Y1622">
        <v>0</v>
      </c>
      <c r="Z1622" t="s">
        <v>88</v>
      </c>
      <c r="AA1622" t="s">
        <v>317</v>
      </c>
      <c r="AB1622" t="s">
        <v>10</v>
      </c>
      <c r="AC1622">
        <v>0</v>
      </c>
      <c r="AD1622">
        <v>0</v>
      </c>
      <c r="AE1622">
        <v>9442812573</v>
      </c>
      <c r="AF1622">
        <v>2339.0500000000002</v>
      </c>
      <c r="AG1622">
        <v>0</v>
      </c>
      <c r="AH1622">
        <v>0</v>
      </c>
      <c r="AI1622">
        <v>2339.0500000000002</v>
      </c>
      <c r="AJ1622" t="s">
        <v>2</v>
      </c>
      <c r="AK1622" t="s">
        <v>11</v>
      </c>
    </row>
    <row r="1623" spans="1:37">
      <c r="A1623">
        <v>257852</v>
      </c>
      <c r="B1623" s="1">
        <v>45366</v>
      </c>
      <c r="C1623" t="s">
        <v>2462</v>
      </c>
      <c r="D1623" t="s">
        <v>2463</v>
      </c>
      <c r="E1623" t="s">
        <v>2</v>
      </c>
      <c r="F1623" t="s">
        <v>866</v>
      </c>
      <c r="G1623" t="s">
        <v>67</v>
      </c>
      <c r="H1623">
        <v>77003</v>
      </c>
      <c r="I1623" t="s">
        <v>2464</v>
      </c>
      <c r="J1623" t="s">
        <v>2465</v>
      </c>
      <c r="K1623" t="s">
        <v>2</v>
      </c>
      <c r="L1623" t="s">
        <v>866</v>
      </c>
      <c r="M1623" t="s">
        <v>67</v>
      </c>
      <c r="N1623">
        <v>77003</v>
      </c>
      <c r="O1623" t="s">
        <v>2466</v>
      </c>
      <c r="P1623" t="s">
        <v>2467</v>
      </c>
      <c r="Q1623" t="s">
        <v>6</v>
      </c>
      <c r="R1623">
        <v>415102</v>
      </c>
      <c r="S1623" t="s">
        <v>2451</v>
      </c>
      <c r="T1623" s="2">
        <v>15</v>
      </c>
      <c r="U1623">
        <v>0</v>
      </c>
      <c r="V1623" t="s">
        <v>260</v>
      </c>
      <c r="W1623">
        <v>1</v>
      </c>
      <c r="X1623">
        <v>1</v>
      </c>
      <c r="Y1623">
        <v>0</v>
      </c>
      <c r="Z1623" t="s">
        <v>2480</v>
      </c>
      <c r="AA1623" t="s">
        <v>1625</v>
      </c>
      <c r="AB1623" t="s">
        <v>14</v>
      </c>
      <c r="AC1623">
        <v>132.9751</v>
      </c>
      <c r="AD1623">
        <v>132.97999999999999</v>
      </c>
      <c r="AE1623">
        <v>9442812573</v>
      </c>
      <c r="AF1623">
        <v>2339.0500000000002</v>
      </c>
      <c r="AG1623">
        <v>0</v>
      </c>
      <c r="AH1623">
        <v>0</v>
      </c>
      <c r="AI1623">
        <v>2339.0500000000002</v>
      </c>
      <c r="AJ1623" t="s">
        <v>2</v>
      </c>
      <c r="AK1623" t="s">
        <v>11</v>
      </c>
    </row>
    <row r="1624" spans="1:37">
      <c r="A1624">
        <v>257852</v>
      </c>
      <c r="B1624" s="1">
        <v>45366</v>
      </c>
      <c r="C1624" t="s">
        <v>2462</v>
      </c>
      <c r="D1624" t="s">
        <v>2463</v>
      </c>
      <c r="E1624" t="s">
        <v>2</v>
      </c>
      <c r="F1624" t="s">
        <v>866</v>
      </c>
      <c r="G1624" t="s">
        <v>67</v>
      </c>
      <c r="H1624">
        <v>77003</v>
      </c>
      <c r="I1624" t="s">
        <v>2464</v>
      </c>
      <c r="J1624" t="s">
        <v>2465</v>
      </c>
      <c r="K1624" t="s">
        <v>2</v>
      </c>
      <c r="L1624" t="s">
        <v>866</v>
      </c>
      <c r="M1624" t="s">
        <v>67</v>
      </c>
      <c r="N1624">
        <v>77003</v>
      </c>
      <c r="O1624" t="s">
        <v>2466</v>
      </c>
      <c r="P1624" t="s">
        <v>2467</v>
      </c>
      <c r="Q1624" t="s">
        <v>6</v>
      </c>
      <c r="R1624">
        <v>415102</v>
      </c>
      <c r="S1624" t="s">
        <v>2451</v>
      </c>
      <c r="T1624" s="2">
        <v>15</v>
      </c>
      <c r="U1624">
        <v>0</v>
      </c>
      <c r="V1624" t="s">
        <v>260</v>
      </c>
      <c r="W1624">
        <v>0</v>
      </c>
      <c r="X1624">
        <v>0</v>
      </c>
      <c r="Y1624">
        <v>0</v>
      </c>
      <c r="Z1624" t="s">
        <v>88</v>
      </c>
      <c r="AA1624" t="s">
        <v>317</v>
      </c>
      <c r="AB1624" t="s">
        <v>10</v>
      </c>
      <c r="AC1624">
        <v>0</v>
      </c>
      <c r="AD1624">
        <v>0</v>
      </c>
      <c r="AE1624">
        <v>9442812573</v>
      </c>
      <c r="AF1624">
        <v>2339.0500000000002</v>
      </c>
      <c r="AG1624">
        <v>0</v>
      </c>
      <c r="AH1624">
        <v>0</v>
      </c>
      <c r="AI1624">
        <v>2339.0500000000002</v>
      </c>
      <c r="AJ1624" t="s">
        <v>2</v>
      </c>
      <c r="AK1624" t="s">
        <v>11</v>
      </c>
    </row>
    <row r="1625" spans="1:37">
      <c r="A1625">
        <v>257852</v>
      </c>
      <c r="B1625" s="1">
        <v>45366</v>
      </c>
      <c r="C1625" t="s">
        <v>2462</v>
      </c>
      <c r="D1625" t="s">
        <v>2463</v>
      </c>
      <c r="E1625" t="s">
        <v>2</v>
      </c>
      <c r="F1625" t="s">
        <v>866</v>
      </c>
      <c r="G1625" t="s">
        <v>67</v>
      </c>
      <c r="H1625">
        <v>77003</v>
      </c>
      <c r="I1625" t="s">
        <v>2464</v>
      </c>
      <c r="J1625" t="s">
        <v>2465</v>
      </c>
      <c r="K1625" t="s">
        <v>2</v>
      </c>
      <c r="L1625" t="s">
        <v>866</v>
      </c>
      <c r="M1625" t="s">
        <v>67</v>
      </c>
      <c r="N1625">
        <v>77003</v>
      </c>
      <c r="O1625" t="s">
        <v>2466</v>
      </c>
      <c r="P1625" t="s">
        <v>2467</v>
      </c>
      <c r="Q1625" t="s">
        <v>6</v>
      </c>
      <c r="R1625">
        <v>415102</v>
      </c>
      <c r="S1625" t="s">
        <v>2451</v>
      </c>
      <c r="T1625" s="2">
        <v>15</v>
      </c>
      <c r="U1625">
        <v>0</v>
      </c>
      <c r="V1625" t="s">
        <v>260</v>
      </c>
      <c r="W1625">
        <v>1</v>
      </c>
      <c r="X1625">
        <v>0</v>
      </c>
      <c r="Y1625">
        <v>1</v>
      </c>
      <c r="Z1625" t="s">
        <v>2481</v>
      </c>
      <c r="AA1625" t="s">
        <v>2482</v>
      </c>
      <c r="AB1625" t="s">
        <v>14</v>
      </c>
      <c r="AC1625">
        <v>132.9751</v>
      </c>
      <c r="AD1625">
        <v>0</v>
      </c>
      <c r="AE1625">
        <v>9442812573</v>
      </c>
      <c r="AF1625">
        <v>2339.0500000000002</v>
      </c>
      <c r="AG1625">
        <v>0</v>
      </c>
      <c r="AH1625">
        <v>0</v>
      </c>
      <c r="AI1625">
        <v>2339.0500000000002</v>
      </c>
      <c r="AJ1625" t="s">
        <v>2</v>
      </c>
      <c r="AK1625" t="s">
        <v>11</v>
      </c>
    </row>
    <row r="1626" spans="1:37">
      <c r="A1626">
        <v>257852</v>
      </c>
      <c r="B1626" s="1">
        <v>45366</v>
      </c>
      <c r="C1626" t="s">
        <v>2462</v>
      </c>
      <c r="D1626" t="s">
        <v>2463</v>
      </c>
      <c r="E1626" t="s">
        <v>2</v>
      </c>
      <c r="F1626" t="s">
        <v>866</v>
      </c>
      <c r="G1626" t="s">
        <v>67</v>
      </c>
      <c r="H1626">
        <v>77003</v>
      </c>
      <c r="I1626" t="s">
        <v>2464</v>
      </c>
      <c r="J1626" t="s">
        <v>2465</v>
      </c>
      <c r="K1626" t="s">
        <v>2</v>
      </c>
      <c r="L1626" t="s">
        <v>866</v>
      </c>
      <c r="M1626" t="s">
        <v>67</v>
      </c>
      <c r="N1626">
        <v>77003</v>
      </c>
      <c r="O1626" t="s">
        <v>2466</v>
      </c>
      <c r="P1626" t="s">
        <v>2467</v>
      </c>
      <c r="Q1626" t="s">
        <v>6</v>
      </c>
      <c r="R1626">
        <v>415102</v>
      </c>
      <c r="S1626" t="s">
        <v>2451</v>
      </c>
      <c r="T1626" s="2">
        <v>15</v>
      </c>
      <c r="U1626">
        <v>0</v>
      </c>
      <c r="V1626" t="s">
        <v>260</v>
      </c>
      <c r="W1626">
        <v>0</v>
      </c>
      <c r="X1626">
        <v>0</v>
      </c>
      <c r="Y1626">
        <v>0</v>
      </c>
      <c r="Z1626" t="s">
        <v>88</v>
      </c>
      <c r="AA1626" t="s">
        <v>317</v>
      </c>
      <c r="AB1626" t="s">
        <v>10</v>
      </c>
      <c r="AC1626">
        <v>0</v>
      </c>
      <c r="AD1626">
        <v>0</v>
      </c>
      <c r="AE1626">
        <v>9442812573</v>
      </c>
      <c r="AF1626">
        <v>2339.0500000000002</v>
      </c>
      <c r="AG1626">
        <v>0</v>
      </c>
      <c r="AH1626">
        <v>0</v>
      </c>
      <c r="AI1626">
        <v>2339.0500000000002</v>
      </c>
      <c r="AJ1626" t="s">
        <v>2</v>
      </c>
      <c r="AK1626" t="s">
        <v>11</v>
      </c>
    </row>
    <row r="1627" spans="1:37">
      <c r="A1627">
        <v>257852</v>
      </c>
      <c r="B1627" s="1">
        <v>45366</v>
      </c>
      <c r="C1627" t="s">
        <v>2462</v>
      </c>
      <c r="D1627" t="s">
        <v>2463</v>
      </c>
      <c r="E1627" t="s">
        <v>2</v>
      </c>
      <c r="F1627" t="s">
        <v>866</v>
      </c>
      <c r="G1627" t="s">
        <v>67</v>
      </c>
      <c r="H1627">
        <v>77003</v>
      </c>
      <c r="I1627" t="s">
        <v>2464</v>
      </c>
      <c r="J1627" t="s">
        <v>2465</v>
      </c>
      <c r="K1627" t="s">
        <v>2</v>
      </c>
      <c r="L1627" t="s">
        <v>866</v>
      </c>
      <c r="M1627" t="s">
        <v>67</v>
      </c>
      <c r="N1627">
        <v>77003</v>
      </c>
      <c r="O1627" t="s">
        <v>2466</v>
      </c>
      <c r="P1627" t="s">
        <v>2467</v>
      </c>
      <c r="Q1627" t="s">
        <v>6</v>
      </c>
      <c r="R1627">
        <v>415102</v>
      </c>
      <c r="S1627" t="s">
        <v>2451</v>
      </c>
      <c r="T1627" s="2">
        <v>15</v>
      </c>
      <c r="U1627">
        <v>0</v>
      </c>
      <c r="V1627" t="s">
        <v>260</v>
      </c>
      <c r="W1627">
        <v>1</v>
      </c>
      <c r="X1627">
        <v>1</v>
      </c>
      <c r="Y1627">
        <v>0</v>
      </c>
      <c r="Z1627" t="s">
        <v>2483</v>
      </c>
      <c r="AA1627" t="s">
        <v>2484</v>
      </c>
      <c r="AB1627" t="s">
        <v>14</v>
      </c>
      <c r="AC1627">
        <v>983.54399999999998</v>
      </c>
      <c r="AD1627">
        <v>983.54</v>
      </c>
      <c r="AE1627">
        <v>9442812573</v>
      </c>
      <c r="AF1627">
        <v>2339.0500000000002</v>
      </c>
      <c r="AG1627">
        <v>0</v>
      </c>
      <c r="AH1627">
        <v>0</v>
      </c>
      <c r="AI1627">
        <v>2339.0500000000002</v>
      </c>
      <c r="AJ1627" t="s">
        <v>2</v>
      </c>
      <c r="AK1627" t="s">
        <v>11</v>
      </c>
    </row>
    <row r="1628" spans="1:37">
      <c r="A1628">
        <v>257852</v>
      </c>
      <c r="B1628" s="1">
        <v>45366</v>
      </c>
      <c r="C1628" t="s">
        <v>2462</v>
      </c>
      <c r="D1628" t="s">
        <v>2463</v>
      </c>
      <c r="E1628" t="s">
        <v>2</v>
      </c>
      <c r="F1628" t="s">
        <v>866</v>
      </c>
      <c r="G1628" t="s">
        <v>67</v>
      </c>
      <c r="H1628">
        <v>77003</v>
      </c>
      <c r="I1628" t="s">
        <v>2464</v>
      </c>
      <c r="J1628" t="s">
        <v>2465</v>
      </c>
      <c r="K1628" t="s">
        <v>2</v>
      </c>
      <c r="L1628" t="s">
        <v>866</v>
      </c>
      <c r="M1628" t="s">
        <v>67</v>
      </c>
      <c r="N1628">
        <v>77003</v>
      </c>
      <c r="O1628" t="s">
        <v>2466</v>
      </c>
      <c r="P1628" t="s">
        <v>2467</v>
      </c>
      <c r="Q1628" t="s">
        <v>6</v>
      </c>
      <c r="R1628">
        <v>415102</v>
      </c>
      <c r="S1628" t="s">
        <v>2451</v>
      </c>
      <c r="T1628" s="2">
        <v>15</v>
      </c>
      <c r="U1628">
        <v>0</v>
      </c>
      <c r="V1628" t="s">
        <v>260</v>
      </c>
      <c r="W1628">
        <v>0</v>
      </c>
      <c r="X1628">
        <v>0</v>
      </c>
      <c r="Y1628">
        <v>0</v>
      </c>
      <c r="Z1628" t="s">
        <v>88</v>
      </c>
      <c r="AA1628" t="s">
        <v>107</v>
      </c>
      <c r="AB1628" t="s">
        <v>10</v>
      </c>
      <c r="AC1628">
        <v>0</v>
      </c>
      <c r="AD1628">
        <v>0</v>
      </c>
      <c r="AE1628">
        <v>9442812573</v>
      </c>
      <c r="AF1628">
        <v>2339.0500000000002</v>
      </c>
      <c r="AG1628">
        <v>0</v>
      </c>
      <c r="AH1628">
        <v>0</v>
      </c>
      <c r="AI1628">
        <v>2339.0500000000002</v>
      </c>
      <c r="AJ1628" t="s">
        <v>2</v>
      </c>
      <c r="AK1628" t="s">
        <v>11</v>
      </c>
    </row>
    <row r="1629" spans="1:37">
      <c r="A1629">
        <v>257852</v>
      </c>
      <c r="B1629" s="1">
        <v>45366</v>
      </c>
      <c r="C1629" t="s">
        <v>2462</v>
      </c>
      <c r="D1629" t="s">
        <v>2463</v>
      </c>
      <c r="E1629" t="s">
        <v>2</v>
      </c>
      <c r="F1629" t="s">
        <v>866</v>
      </c>
      <c r="G1629" t="s">
        <v>67</v>
      </c>
      <c r="H1629">
        <v>77003</v>
      </c>
      <c r="I1629" t="s">
        <v>2464</v>
      </c>
      <c r="J1629" t="s">
        <v>2465</v>
      </c>
      <c r="K1629" t="s">
        <v>2</v>
      </c>
      <c r="L1629" t="s">
        <v>866</v>
      </c>
      <c r="M1629" t="s">
        <v>67</v>
      </c>
      <c r="N1629">
        <v>77003</v>
      </c>
      <c r="O1629" t="s">
        <v>2466</v>
      </c>
      <c r="P1629" t="s">
        <v>2467</v>
      </c>
      <c r="Q1629" t="s">
        <v>6</v>
      </c>
      <c r="R1629">
        <v>415102</v>
      </c>
      <c r="S1629" t="s">
        <v>2451</v>
      </c>
      <c r="T1629" s="2">
        <v>15</v>
      </c>
      <c r="U1629">
        <v>0</v>
      </c>
      <c r="V1629" t="s">
        <v>260</v>
      </c>
      <c r="W1629">
        <v>1</v>
      </c>
      <c r="X1629">
        <v>1</v>
      </c>
      <c r="Y1629">
        <v>0</v>
      </c>
      <c r="Z1629" t="s">
        <v>2485</v>
      </c>
      <c r="AA1629" t="s">
        <v>2486</v>
      </c>
      <c r="AB1629" t="s">
        <v>14</v>
      </c>
      <c r="AC1629">
        <v>86.433800000000005</v>
      </c>
      <c r="AD1629">
        <v>86.43</v>
      </c>
      <c r="AE1629">
        <v>9442812573</v>
      </c>
      <c r="AF1629">
        <v>2339.0500000000002</v>
      </c>
      <c r="AG1629">
        <v>0</v>
      </c>
      <c r="AH1629">
        <v>0</v>
      </c>
      <c r="AI1629">
        <v>2339.0500000000002</v>
      </c>
      <c r="AJ1629" t="s">
        <v>2</v>
      </c>
      <c r="AK1629" t="s">
        <v>11</v>
      </c>
    </row>
    <row r="1630" spans="1:37">
      <c r="A1630">
        <v>257852</v>
      </c>
      <c r="B1630" s="1">
        <v>45366</v>
      </c>
      <c r="C1630" t="s">
        <v>2462</v>
      </c>
      <c r="D1630" t="s">
        <v>2463</v>
      </c>
      <c r="E1630" t="s">
        <v>2</v>
      </c>
      <c r="F1630" t="s">
        <v>866</v>
      </c>
      <c r="G1630" t="s">
        <v>67</v>
      </c>
      <c r="H1630">
        <v>77003</v>
      </c>
      <c r="I1630" t="s">
        <v>2464</v>
      </c>
      <c r="J1630" t="s">
        <v>2465</v>
      </c>
      <c r="K1630" t="s">
        <v>2</v>
      </c>
      <c r="L1630" t="s">
        <v>866</v>
      </c>
      <c r="M1630" t="s">
        <v>67</v>
      </c>
      <c r="N1630">
        <v>77003</v>
      </c>
      <c r="O1630" t="s">
        <v>2466</v>
      </c>
      <c r="P1630" t="s">
        <v>2467</v>
      </c>
      <c r="Q1630" t="s">
        <v>6</v>
      </c>
      <c r="R1630">
        <v>415102</v>
      </c>
      <c r="S1630" t="s">
        <v>2451</v>
      </c>
      <c r="T1630" s="2">
        <v>15</v>
      </c>
      <c r="U1630">
        <v>0</v>
      </c>
      <c r="V1630" t="s">
        <v>260</v>
      </c>
      <c r="W1630">
        <v>0</v>
      </c>
      <c r="X1630">
        <v>0</v>
      </c>
      <c r="Y1630">
        <v>0</v>
      </c>
      <c r="Z1630" t="s">
        <v>88</v>
      </c>
      <c r="AA1630" t="s">
        <v>317</v>
      </c>
      <c r="AB1630" t="s">
        <v>10</v>
      </c>
      <c r="AC1630">
        <v>0</v>
      </c>
      <c r="AD1630">
        <v>0</v>
      </c>
      <c r="AE1630">
        <v>9442812573</v>
      </c>
      <c r="AF1630">
        <v>2339.0500000000002</v>
      </c>
      <c r="AG1630">
        <v>0</v>
      </c>
      <c r="AH1630">
        <v>0</v>
      </c>
      <c r="AI1630">
        <v>2339.0500000000002</v>
      </c>
      <c r="AJ1630" t="s">
        <v>2</v>
      </c>
      <c r="AK1630" t="s">
        <v>11</v>
      </c>
    </row>
    <row r="1631" spans="1:37">
      <c r="A1631">
        <v>257852</v>
      </c>
      <c r="B1631" s="1">
        <v>45366</v>
      </c>
      <c r="C1631" t="s">
        <v>2462</v>
      </c>
      <c r="D1631" t="s">
        <v>2463</v>
      </c>
      <c r="E1631" t="s">
        <v>2</v>
      </c>
      <c r="F1631" t="s">
        <v>866</v>
      </c>
      <c r="G1631" t="s">
        <v>67</v>
      </c>
      <c r="H1631">
        <v>77003</v>
      </c>
      <c r="I1631" t="s">
        <v>2464</v>
      </c>
      <c r="J1631" t="s">
        <v>2465</v>
      </c>
      <c r="K1631" t="s">
        <v>2</v>
      </c>
      <c r="L1631" t="s">
        <v>866</v>
      </c>
      <c r="M1631" t="s">
        <v>67</v>
      </c>
      <c r="N1631">
        <v>77003</v>
      </c>
      <c r="O1631" t="s">
        <v>2466</v>
      </c>
      <c r="P1631" t="s">
        <v>2467</v>
      </c>
      <c r="Q1631" t="s">
        <v>6</v>
      </c>
      <c r="R1631">
        <v>415102</v>
      </c>
      <c r="S1631" t="s">
        <v>2451</v>
      </c>
      <c r="T1631" s="2">
        <v>15</v>
      </c>
      <c r="U1631">
        <v>0</v>
      </c>
      <c r="V1631" t="s">
        <v>260</v>
      </c>
      <c r="W1631">
        <v>1</v>
      </c>
      <c r="X1631">
        <v>1</v>
      </c>
      <c r="Y1631">
        <v>0</v>
      </c>
      <c r="Z1631" t="s">
        <v>183</v>
      </c>
      <c r="AA1631" t="s">
        <v>184</v>
      </c>
      <c r="AB1631" t="s">
        <v>14</v>
      </c>
      <c r="AC1631">
        <v>25</v>
      </c>
      <c r="AD1631">
        <v>25</v>
      </c>
      <c r="AE1631">
        <v>9442812573</v>
      </c>
      <c r="AF1631">
        <v>2339.0500000000002</v>
      </c>
      <c r="AG1631">
        <v>0</v>
      </c>
      <c r="AH1631">
        <v>0</v>
      </c>
      <c r="AI1631">
        <v>2339.0500000000002</v>
      </c>
      <c r="AJ1631" t="s">
        <v>2</v>
      </c>
      <c r="AK1631" t="s">
        <v>11</v>
      </c>
    </row>
    <row r="1632" spans="1:37">
      <c r="A1632">
        <v>257853</v>
      </c>
      <c r="B1632" s="1">
        <v>45366</v>
      </c>
      <c r="C1632" t="s">
        <v>2487</v>
      </c>
      <c r="D1632" t="s">
        <v>2488</v>
      </c>
      <c r="E1632" t="s">
        <v>2</v>
      </c>
      <c r="F1632" t="s">
        <v>766</v>
      </c>
      <c r="G1632" t="s">
        <v>767</v>
      </c>
      <c r="H1632" t="s">
        <v>2489</v>
      </c>
      <c r="I1632" t="s">
        <v>2487</v>
      </c>
      <c r="J1632" t="s">
        <v>2488</v>
      </c>
      <c r="K1632" t="s">
        <v>2</v>
      </c>
      <c r="L1632" t="s">
        <v>766</v>
      </c>
      <c r="M1632" t="s">
        <v>767</v>
      </c>
      <c r="N1632" t="s">
        <v>2489</v>
      </c>
      <c r="O1632" t="s">
        <v>2490</v>
      </c>
      <c r="P1632" t="s">
        <v>2491</v>
      </c>
      <c r="Q1632" t="s">
        <v>21</v>
      </c>
      <c r="R1632">
        <v>415107</v>
      </c>
      <c r="S1632" t="s">
        <v>2451</v>
      </c>
      <c r="T1632" s="2">
        <v>11</v>
      </c>
      <c r="U1632">
        <v>0</v>
      </c>
      <c r="V1632" t="s">
        <v>260</v>
      </c>
      <c r="W1632">
        <v>0</v>
      </c>
      <c r="X1632">
        <v>0</v>
      </c>
      <c r="Y1632">
        <v>0</v>
      </c>
      <c r="Z1632" t="s">
        <v>9</v>
      </c>
      <c r="AA1632" t="s">
        <v>2</v>
      </c>
      <c r="AB1632" t="s">
        <v>10</v>
      </c>
      <c r="AC1632">
        <v>0</v>
      </c>
      <c r="AD1632">
        <v>0</v>
      </c>
      <c r="AE1632">
        <v>9442818265</v>
      </c>
      <c r="AF1632">
        <v>2758.91</v>
      </c>
      <c r="AG1632">
        <v>0</v>
      </c>
      <c r="AH1632">
        <v>0</v>
      </c>
      <c r="AI1632">
        <v>2758.91</v>
      </c>
      <c r="AJ1632" t="s">
        <v>2</v>
      </c>
      <c r="AK1632" t="s">
        <v>11</v>
      </c>
    </row>
    <row r="1633" spans="1:37">
      <c r="A1633">
        <v>257853</v>
      </c>
      <c r="B1633" s="1">
        <v>45366</v>
      </c>
      <c r="C1633" t="s">
        <v>2487</v>
      </c>
      <c r="D1633" t="s">
        <v>2488</v>
      </c>
      <c r="E1633" t="s">
        <v>2</v>
      </c>
      <c r="F1633" t="s">
        <v>766</v>
      </c>
      <c r="G1633" t="s">
        <v>767</v>
      </c>
      <c r="H1633" t="s">
        <v>2489</v>
      </c>
      <c r="I1633" t="s">
        <v>2487</v>
      </c>
      <c r="J1633" t="s">
        <v>2488</v>
      </c>
      <c r="K1633" t="s">
        <v>2</v>
      </c>
      <c r="L1633" t="s">
        <v>766</v>
      </c>
      <c r="M1633" t="s">
        <v>767</v>
      </c>
      <c r="N1633" t="s">
        <v>2489</v>
      </c>
      <c r="O1633" t="s">
        <v>2490</v>
      </c>
      <c r="P1633" t="s">
        <v>2491</v>
      </c>
      <c r="Q1633" t="s">
        <v>21</v>
      </c>
      <c r="R1633">
        <v>415107</v>
      </c>
      <c r="S1633" t="s">
        <v>2451</v>
      </c>
      <c r="T1633" s="2">
        <v>11</v>
      </c>
      <c r="U1633">
        <v>0</v>
      </c>
      <c r="V1633" t="s">
        <v>260</v>
      </c>
      <c r="W1633">
        <v>1</v>
      </c>
      <c r="X1633">
        <v>1</v>
      </c>
      <c r="Y1633">
        <v>0</v>
      </c>
      <c r="Z1633" t="s">
        <v>39</v>
      </c>
      <c r="AA1633" t="s">
        <v>40</v>
      </c>
      <c r="AB1633" t="s">
        <v>14</v>
      </c>
      <c r="AC1633">
        <v>39.524999999999999</v>
      </c>
      <c r="AD1633">
        <v>39.53</v>
      </c>
      <c r="AE1633">
        <v>9442818265</v>
      </c>
      <c r="AF1633">
        <v>2758.91</v>
      </c>
      <c r="AG1633">
        <v>0</v>
      </c>
      <c r="AH1633">
        <v>0</v>
      </c>
      <c r="AI1633">
        <v>2758.91</v>
      </c>
      <c r="AJ1633" t="s">
        <v>2</v>
      </c>
      <c r="AK1633" t="s">
        <v>11</v>
      </c>
    </row>
    <row r="1634" spans="1:37">
      <c r="A1634">
        <v>257853</v>
      </c>
      <c r="B1634" s="1">
        <v>45366</v>
      </c>
      <c r="C1634" t="s">
        <v>2487</v>
      </c>
      <c r="D1634" t="s">
        <v>2488</v>
      </c>
      <c r="E1634" t="s">
        <v>2</v>
      </c>
      <c r="F1634" t="s">
        <v>766</v>
      </c>
      <c r="G1634" t="s">
        <v>767</v>
      </c>
      <c r="H1634" t="s">
        <v>2489</v>
      </c>
      <c r="I1634" t="s">
        <v>2487</v>
      </c>
      <c r="J1634" t="s">
        <v>2488</v>
      </c>
      <c r="K1634" t="s">
        <v>2</v>
      </c>
      <c r="L1634" t="s">
        <v>766</v>
      </c>
      <c r="M1634" t="s">
        <v>767</v>
      </c>
      <c r="N1634" t="s">
        <v>2489</v>
      </c>
      <c r="O1634" t="s">
        <v>2490</v>
      </c>
      <c r="P1634" t="s">
        <v>2491</v>
      </c>
      <c r="Q1634" t="s">
        <v>21</v>
      </c>
      <c r="R1634">
        <v>415107</v>
      </c>
      <c r="S1634" t="s">
        <v>2451</v>
      </c>
      <c r="T1634" s="2">
        <v>11</v>
      </c>
      <c r="U1634">
        <v>0</v>
      </c>
      <c r="V1634" t="s">
        <v>260</v>
      </c>
      <c r="W1634">
        <v>0</v>
      </c>
      <c r="X1634">
        <v>0</v>
      </c>
      <c r="Y1634">
        <v>0</v>
      </c>
      <c r="Z1634" t="s">
        <v>88</v>
      </c>
      <c r="AA1634" t="s">
        <v>2492</v>
      </c>
      <c r="AB1634" t="s">
        <v>10</v>
      </c>
      <c r="AC1634">
        <v>0</v>
      </c>
      <c r="AD1634">
        <v>0</v>
      </c>
      <c r="AE1634">
        <v>9442818265</v>
      </c>
      <c r="AF1634">
        <v>2758.91</v>
      </c>
      <c r="AG1634">
        <v>0</v>
      </c>
      <c r="AH1634">
        <v>0</v>
      </c>
      <c r="AI1634">
        <v>2758.91</v>
      </c>
      <c r="AJ1634" t="s">
        <v>2</v>
      </c>
      <c r="AK1634" t="s">
        <v>11</v>
      </c>
    </row>
    <row r="1635" spans="1:37">
      <c r="A1635">
        <v>257853</v>
      </c>
      <c r="B1635" s="1">
        <v>45366</v>
      </c>
      <c r="C1635" t="s">
        <v>2487</v>
      </c>
      <c r="D1635" t="s">
        <v>2488</v>
      </c>
      <c r="E1635" t="s">
        <v>2</v>
      </c>
      <c r="F1635" t="s">
        <v>766</v>
      </c>
      <c r="G1635" t="s">
        <v>767</v>
      </c>
      <c r="H1635" t="s">
        <v>2489</v>
      </c>
      <c r="I1635" t="s">
        <v>2487</v>
      </c>
      <c r="J1635" t="s">
        <v>2488</v>
      </c>
      <c r="K1635" t="s">
        <v>2</v>
      </c>
      <c r="L1635" t="s">
        <v>766</v>
      </c>
      <c r="M1635" t="s">
        <v>767</v>
      </c>
      <c r="N1635" t="s">
        <v>2489</v>
      </c>
      <c r="O1635" t="s">
        <v>2490</v>
      </c>
      <c r="P1635" t="s">
        <v>2491</v>
      </c>
      <c r="Q1635" t="s">
        <v>21</v>
      </c>
      <c r="R1635">
        <v>415107</v>
      </c>
      <c r="S1635" t="s">
        <v>2451</v>
      </c>
      <c r="T1635" s="2">
        <v>11</v>
      </c>
      <c r="U1635">
        <v>0</v>
      </c>
      <c r="V1635" t="s">
        <v>260</v>
      </c>
      <c r="W1635">
        <v>1</v>
      </c>
      <c r="X1635">
        <v>0</v>
      </c>
      <c r="Y1635">
        <v>1</v>
      </c>
      <c r="Z1635" t="s">
        <v>2493</v>
      </c>
      <c r="AA1635" t="s">
        <v>2494</v>
      </c>
      <c r="AB1635" t="s">
        <v>14</v>
      </c>
      <c r="AC1635">
        <v>83</v>
      </c>
      <c r="AD1635">
        <v>0</v>
      </c>
      <c r="AE1635">
        <v>9442818265</v>
      </c>
      <c r="AF1635">
        <v>2758.91</v>
      </c>
      <c r="AG1635">
        <v>0</v>
      </c>
      <c r="AH1635">
        <v>0</v>
      </c>
      <c r="AI1635">
        <v>2758.91</v>
      </c>
      <c r="AJ1635" t="s">
        <v>2</v>
      </c>
      <c r="AK1635" t="s">
        <v>11</v>
      </c>
    </row>
    <row r="1636" spans="1:37">
      <c r="A1636">
        <v>257853</v>
      </c>
      <c r="B1636" s="1">
        <v>45366</v>
      </c>
      <c r="C1636" t="s">
        <v>2487</v>
      </c>
      <c r="D1636" t="s">
        <v>2488</v>
      </c>
      <c r="E1636" t="s">
        <v>2</v>
      </c>
      <c r="F1636" t="s">
        <v>766</v>
      </c>
      <c r="G1636" t="s">
        <v>767</v>
      </c>
      <c r="H1636" t="s">
        <v>2489</v>
      </c>
      <c r="I1636" t="s">
        <v>2487</v>
      </c>
      <c r="J1636" t="s">
        <v>2488</v>
      </c>
      <c r="K1636" t="s">
        <v>2</v>
      </c>
      <c r="L1636" t="s">
        <v>766</v>
      </c>
      <c r="M1636" t="s">
        <v>767</v>
      </c>
      <c r="N1636" t="s">
        <v>2489</v>
      </c>
      <c r="O1636" t="s">
        <v>2490</v>
      </c>
      <c r="P1636" t="s">
        <v>2491</v>
      </c>
      <c r="Q1636" t="s">
        <v>21</v>
      </c>
      <c r="R1636">
        <v>415107</v>
      </c>
      <c r="S1636" t="s">
        <v>2451</v>
      </c>
      <c r="T1636" s="2">
        <v>11</v>
      </c>
      <c r="U1636">
        <v>0</v>
      </c>
      <c r="V1636" t="s">
        <v>260</v>
      </c>
      <c r="W1636">
        <v>0</v>
      </c>
      <c r="X1636">
        <v>0</v>
      </c>
      <c r="Y1636">
        <v>0</v>
      </c>
      <c r="Z1636" t="s">
        <v>88</v>
      </c>
      <c r="AA1636" t="s">
        <v>2492</v>
      </c>
      <c r="AB1636" t="s">
        <v>10</v>
      </c>
      <c r="AC1636">
        <v>0</v>
      </c>
      <c r="AD1636">
        <v>0</v>
      </c>
      <c r="AE1636">
        <v>9442818265</v>
      </c>
      <c r="AF1636">
        <v>2758.91</v>
      </c>
      <c r="AG1636">
        <v>0</v>
      </c>
      <c r="AH1636">
        <v>0</v>
      </c>
      <c r="AI1636">
        <v>2758.91</v>
      </c>
      <c r="AJ1636" t="s">
        <v>2</v>
      </c>
      <c r="AK1636" t="s">
        <v>11</v>
      </c>
    </row>
    <row r="1637" spans="1:37">
      <c r="A1637">
        <v>257853</v>
      </c>
      <c r="B1637" s="1">
        <v>45366</v>
      </c>
      <c r="C1637" t="s">
        <v>2487</v>
      </c>
      <c r="D1637" t="s">
        <v>2488</v>
      </c>
      <c r="E1637" t="s">
        <v>2</v>
      </c>
      <c r="F1637" t="s">
        <v>766</v>
      </c>
      <c r="G1637" t="s">
        <v>767</v>
      </c>
      <c r="H1637" t="s">
        <v>2489</v>
      </c>
      <c r="I1637" t="s">
        <v>2487</v>
      </c>
      <c r="J1637" t="s">
        <v>2488</v>
      </c>
      <c r="K1637" t="s">
        <v>2</v>
      </c>
      <c r="L1637" t="s">
        <v>766</v>
      </c>
      <c r="M1637" t="s">
        <v>767</v>
      </c>
      <c r="N1637" t="s">
        <v>2489</v>
      </c>
      <c r="O1637" t="s">
        <v>2490</v>
      </c>
      <c r="P1637" t="s">
        <v>2491</v>
      </c>
      <c r="Q1637" t="s">
        <v>21</v>
      </c>
      <c r="R1637">
        <v>415107</v>
      </c>
      <c r="S1637" t="s">
        <v>2451</v>
      </c>
      <c r="T1637" s="2">
        <v>11</v>
      </c>
      <c r="U1637">
        <v>0</v>
      </c>
      <c r="V1637" t="s">
        <v>260</v>
      </c>
      <c r="W1637">
        <v>1</v>
      </c>
      <c r="X1637">
        <v>1</v>
      </c>
      <c r="Y1637">
        <v>0</v>
      </c>
      <c r="Z1637" t="s">
        <v>2495</v>
      </c>
      <c r="AA1637" t="s">
        <v>2496</v>
      </c>
      <c r="AB1637" t="s">
        <v>14</v>
      </c>
      <c r="AC1637">
        <v>251.35</v>
      </c>
      <c r="AD1637">
        <v>251.35</v>
      </c>
      <c r="AE1637">
        <v>9442818265</v>
      </c>
      <c r="AF1637">
        <v>2758.91</v>
      </c>
      <c r="AG1637">
        <v>0</v>
      </c>
      <c r="AH1637">
        <v>0</v>
      </c>
      <c r="AI1637">
        <v>2758.91</v>
      </c>
      <c r="AJ1637" t="s">
        <v>2</v>
      </c>
      <c r="AK1637" t="s">
        <v>11</v>
      </c>
    </row>
    <row r="1638" spans="1:37">
      <c r="A1638">
        <v>257853</v>
      </c>
      <c r="B1638" s="1">
        <v>45366</v>
      </c>
      <c r="C1638" t="s">
        <v>2487</v>
      </c>
      <c r="D1638" t="s">
        <v>2488</v>
      </c>
      <c r="E1638" t="s">
        <v>2</v>
      </c>
      <c r="F1638" t="s">
        <v>766</v>
      </c>
      <c r="G1638" t="s">
        <v>767</v>
      </c>
      <c r="H1638" t="s">
        <v>2489</v>
      </c>
      <c r="I1638" t="s">
        <v>2487</v>
      </c>
      <c r="J1638" t="s">
        <v>2488</v>
      </c>
      <c r="K1638" t="s">
        <v>2</v>
      </c>
      <c r="L1638" t="s">
        <v>766</v>
      </c>
      <c r="M1638" t="s">
        <v>767</v>
      </c>
      <c r="N1638" t="s">
        <v>2489</v>
      </c>
      <c r="O1638" t="s">
        <v>2490</v>
      </c>
      <c r="P1638" t="s">
        <v>2491</v>
      </c>
      <c r="Q1638" t="s">
        <v>21</v>
      </c>
      <c r="R1638">
        <v>415107</v>
      </c>
      <c r="S1638" t="s">
        <v>2451</v>
      </c>
      <c r="T1638" s="2">
        <v>11</v>
      </c>
      <c r="U1638">
        <v>0</v>
      </c>
      <c r="V1638" t="s">
        <v>260</v>
      </c>
      <c r="W1638">
        <v>0</v>
      </c>
      <c r="X1638">
        <v>0</v>
      </c>
      <c r="Y1638">
        <v>0</v>
      </c>
      <c r="Z1638" t="s">
        <v>88</v>
      </c>
      <c r="AA1638" t="s">
        <v>2497</v>
      </c>
      <c r="AB1638" t="s">
        <v>10</v>
      </c>
      <c r="AC1638">
        <v>0</v>
      </c>
      <c r="AD1638">
        <v>0</v>
      </c>
      <c r="AE1638">
        <v>9442818265</v>
      </c>
      <c r="AF1638">
        <v>2758.91</v>
      </c>
      <c r="AG1638">
        <v>0</v>
      </c>
      <c r="AH1638">
        <v>0</v>
      </c>
      <c r="AI1638">
        <v>2758.91</v>
      </c>
      <c r="AJ1638" t="s">
        <v>2</v>
      </c>
      <c r="AK1638" t="s">
        <v>11</v>
      </c>
    </row>
    <row r="1639" spans="1:37">
      <c r="A1639">
        <v>257853</v>
      </c>
      <c r="B1639" s="1">
        <v>45366</v>
      </c>
      <c r="C1639" t="s">
        <v>2487</v>
      </c>
      <c r="D1639" t="s">
        <v>2488</v>
      </c>
      <c r="E1639" t="s">
        <v>2</v>
      </c>
      <c r="F1639" t="s">
        <v>766</v>
      </c>
      <c r="G1639" t="s">
        <v>767</v>
      </c>
      <c r="H1639" t="s">
        <v>2489</v>
      </c>
      <c r="I1639" t="s">
        <v>2487</v>
      </c>
      <c r="J1639" t="s">
        <v>2488</v>
      </c>
      <c r="K1639" t="s">
        <v>2</v>
      </c>
      <c r="L1639" t="s">
        <v>766</v>
      </c>
      <c r="M1639" t="s">
        <v>767</v>
      </c>
      <c r="N1639" t="s">
        <v>2489</v>
      </c>
      <c r="O1639" t="s">
        <v>2490</v>
      </c>
      <c r="P1639" t="s">
        <v>2491</v>
      </c>
      <c r="Q1639" t="s">
        <v>21</v>
      </c>
      <c r="R1639">
        <v>415107</v>
      </c>
      <c r="S1639" t="s">
        <v>2451</v>
      </c>
      <c r="T1639" s="2">
        <v>11</v>
      </c>
      <c r="U1639">
        <v>0</v>
      </c>
      <c r="V1639" t="s">
        <v>260</v>
      </c>
      <c r="W1639">
        <v>2</v>
      </c>
      <c r="X1639">
        <v>2</v>
      </c>
      <c r="Y1639">
        <v>0</v>
      </c>
      <c r="Z1639" t="s">
        <v>2498</v>
      </c>
      <c r="AA1639" t="s">
        <v>2499</v>
      </c>
      <c r="AB1639" t="s">
        <v>14</v>
      </c>
      <c r="AC1639">
        <v>1061.5872999999999</v>
      </c>
      <c r="AD1639">
        <v>2123.17</v>
      </c>
      <c r="AE1639">
        <v>9442818265</v>
      </c>
      <c r="AF1639">
        <v>2758.91</v>
      </c>
      <c r="AG1639">
        <v>0</v>
      </c>
      <c r="AH1639">
        <v>0</v>
      </c>
      <c r="AI1639">
        <v>2758.91</v>
      </c>
      <c r="AJ1639" t="s">
        <v>2</v>
      </c>
      <c r="AK1639" t="s">
        <v>11</v>
      </c>
    </row>
    <row r="1640" spans="1:37">
      <c r="A1640">
        <v>257853</v>
      </c>
      <c r="B1640" s="1">
        <v>45366</v>
      </c>
      <c r="C1640" t="s">
        <v>2487</v>
      </c>
      <c r="D1640" t="s">
        <v>2488</v>
      </c>
      <c r="E1640" t="s">
        <v>2</v>
      </c>
      <c r="F1640" t="s">
        <v>766</v>
      </c>
      <c r="G1640" t="s">
        <v>767</v>
      </c>
      <c r="H1640" t="s">
        <v>2489</v>
      </c>
      <c r="I1640" t="s">
        <v>2487</v>
      </c>
      <c r="J1640" t="s">
        <v>2488</v>
      </c>
      <c r="K1640" t="s">
        <v>2</v>
      </c>
      <c r="L1640" t="s">
        <v>766</v>
      </c>
      <c r="M1640" t="s">
        <v>767</v>
      </c>
      <c r="N1640" t="s">
        <v>2489</v>
      </c>
      <c r="O1640" t="s">
        <v>2490</v>
      </c>
      <c r="P1640" t="s">
        <v>2491</v>
      </c>
      <c r="Q1640" t="s">
        <v>21</v>
      </c>
      <c r="R1640">
        <v>415107</v>
      </c>
      <c r="S1640" t="s">
        <v>2451</v>
      </c>
      <c r="T1640" s="2">
        <v>11</v>
      </c>
      <c r="U1640">
        <v>0</v>
      </c>
      <c r="V1640" t="s">
        <v>260</v>
      </c>
      <c r="W1640">
        <v>0</v>
      </c>
      <c r="X1640">
        <v>0</v>
      </c>
      <c r="Y1640">
        <v>0</v>
      </c>
      <c r="Z1640" t="s">
        <v>88</v>
      </c>
      <c r="AA1640" t="s">
        <v>196</v>
      </c>
      <c r="AB1640" t="s">
        <v>10</v>
      </c>
      <c r="AC1640">
        <v>0</v>
      </c>
      <c r="AD1640">
        <v>0</v>
      </c>
      <c r="AE1640">
        <v>9442818265</v>
      </c>
      <c r="AF1640">
        <v>2758.91</v>
      </c>
      <c r="AG1640">
        <v>0</v>
      </c>
      <c r="AH1640">
        <v>0</v>
      </c>
      <c r="AI1640">
        <v>2758.91</v>
      </c>
      <c r="AJ1640" t="s">
        <v>2</v>
      </c>
      <c r="AK1640" t="s">
        <v>11</v>
      </c>
    </row>
    <row r="1641" spans="1:37">
      <c r="A1641">
        <v>257853</v>
      </c>
      <c r="B1641" s="1">
        <v>45366</v>
      </c>
      <c r="C1641" t="s">
        <v>2487</v>
      </c>
      <c r="D1641" t="s">
        <v>2488</v>
      </c>
      <c r="E1641" t="s">
        <v>2</v>
      </c>
      <c r="F1641" t="s">
        <v>766</v>
      </c>
      <c r="G1641" t="s">
        <v>767</v>
      </c>
      <c r="H1641" t="s">
        <v>2489</v>
      </c>
      <c r="I1641" t="s">
        <v>2487</v>
      </c>
      <c r="J1641" t="s">
        <v>2488</v>
      </c>
      <c r="K1641" t="s">
        <v>2</v>
      </c>
      <c r="L1641" t="s">
        <v>766</v>
      </c>
      <c r="M1641" t="s">
        <v>767</v>
      </c>
      <c r="N1641" t="s">
        <v>2489</v>
      </c>
      <c r="O1641" t="s">
        <v>2490</v>
      </c>
      <c r="P1641" t="s">
        <v>2491</v>
      </c>
      <c r="Q1641" t="s">
        <v>21</v>
      </c>
      <c r="R1641">
        <v>415107</v>
      </c>
      <c r="S1641" t="s">
        <v>2451</v>
      </c>
      <c r="T1641" s="2">
        <v>11</v>
      </c>
      <c r="U1641">
        <v>0</v>
      </c>
      <c r="V1641" t="s">
        <v>260</v>
      </c>
      <c r="W1641">
        <v>1</v>
      </c>
      <c r="X1641">
        <v>1</v>
      </c>
      <c r="Y1641">
        <v>0</v>
      </c>
      <c r="Z1641" t="s">
        <v>2500</v>
      </c>
      <c r="AA1641" t="s">
        <v>2501</v>
      </c>
      <c r="AB1641" t="s">
        <v>14</v>
      </c>
      <c r="AC1641">
        <v>107.0093</v>
      </c>
      <c r="AD1641">
        <v>107.01</v>
      </c>
      <c r="AE1641">
        <v>9442818265</v>
      </c>
      <c r="AF1641">
        <v>2758.91</v>
      </c>
      <c r="AG1641">
        <v>0</v>
      </c>
      <c r="AH1641">
        <v>0</v>
      </c>
      <c r="AI1641">
        <v>2758.91</v>
      </c>
      <c r="AJ1641" t="s">
        <v>2</v>
      </c>
      <c r="AK1641" t="s">
        <v>11</v>
      </c>
    </row>
    <row r="1642" spans="1:37">
      <c r="A1642">
        <v>257853</v>
      </c>
      <c r="B1642" s="1">
        <v>45366</v>
      </c>
      <c r="C1642" t="s">
        <v>2487</v>
      </c>
      <c r="D1642" t="s">
        <v>2488</v>
      </c>
      <c r="E1642" t="s">
        <v>2</v>
      </c>
      <c r="F1642" t="s">
        <v>766</v>
      </c>
      <c r="G1642" t="s">
        <v>767</v>
      </c>
      <c r="H1642" t="s">
        <v>2489</v>
      </c>
      <c r="I1642" t="s">
        <v>2487</v>
      </c>
      <c r="J1642" t="s">
        <v>2488</v>
      </c>
      <c r="K1642" t="s">
        <v>2</v>
      </c>
      <c r="L1642" t="s">
        <v>766</v>
      </c>
      <c r="M1642" t="s">
        <v>767</v>
      </c>
      <c r="N1642" t="s">
        <v>2489</v>
      </c>
      <c r="O1642" t="s">
        <v>2490</v>
      </c>
      <c r="P1642" t="s">
        <v>2491</v>
      </c>
      <c r="Q1642" t="s">
        <v>21</v>
      </c>
      <c r="R1642">
        <v>415107</v>
      </c>
      <c r="S1642" t="s">
        <v>2451</v>
      </c>
      <c r="T1642" s="2">
        <v>11</v>
      </c>
      <c r="U1642">
        <v>0</v>
      </c>
      <c r="V1642" t="s">
        <v>260</v>
      </c>
      <c r="W1642">
        <v>0</v>
      </c>
      <c r="X1642">
        <v>0</v>
      </c>
      <c r="Y1642">
        <v>0</v>
      </c>
      <c r="Z1642" t="s">
        <v>88</v>
      </c>
      <c r="AA1642" t="s">
        <v>2502</v>
      </c>
      <c r="AB1642" t="s">
        <v>10</v>
      </c>
      <c r="AC1642">
        <v>0</v>
      </c>
      <c r="AD1642">
        <v>0</v>
      </c>
      <c r="AE1642">
        <v>9442818265</v>
      </c>
      <c r="AF1642">
        <v>2758.91</v>
      </c>
      <c r="AG1642">
        <v>0</v>
      </c>
      <c r="AH1642">
        <v>0</v>
      </c>
      <c r="AI1642">
        <v>2758.91</v>
      </c>
      <c r="AJ1642" t="s">
        <v>2</v>
      </c>
      <c r="AK1642" t="s">
        <v>11</v>
      </c>
    </row>
    <row r="1643" spans="1:37">
      <c r="A1643">
        <v>257853</v>
      </c>
      <c r="B1643" s="1">
        <v>45366</v>
      </c>
      <c r="C1643" t="s">
        <v>2487</v>
      </c>
      <c r="D1643" t="s">
        <v>2488</v>
      </c>
      <c r="E1643" t="s">
        <v>2</v>
      </c>
      <c r="F1643" t="s">
        <v>766</v>
      </c>
      <c r="G1643" t="s">
        <v>767</v>
      </c>
      <c r="H1643" t="s">
        <v>2489</v>
      </c>
      <c r="I1643" t="s">
        <v>2487</v>
      </c>
      <c r="J1643" t="s">
        <v>2488</v>
      </c>
      <c r="K1643" t="s">
        <v>2</v>
      </c>
      <c r="L1643" t="s">
        <v>766</v>
      </c>
      <c r="M1643" t="s">
        <v>767</v>
      </c>
      <c r="N1643" t="s">
        <v>2489</v>
      </c>
      <c r="O1643" t="s">
        <v>2490</v>
      </c>
      <c r="P1643" t="s">
        <v>2491</v>
      </c>
      <c r="Q1643" t="s">
        <v>21</v>
      </c>
      <c r="R1643">
        <v>415107</v>
      </c>
      <c r="S1643" t="s">
        <v>2451</v>
      </c>
      <c r="T1643" s="2">
        <v>11</v>
      </c>
      <c r="U1643">
        <v>0</v>
      </c>
      <c r="V1643" t="s">
        <v>260</v>
      </c>
      <c r="W1643">
        <v>1</v>
      </c>
      <c r="X1643">
        <v>1</v>
      </c>
      <c r="Y1643">
        <v>0</v>
      </c>
      <c r="Z1643" t="s">
        <v>2503</v>
      </c>
      <c r="AA1643" t="s">
        <v>2504</v>
      </c>
      <c r="AB1643" t="s">
        <v>14</v>
      </c>
      <c r="AC1643">
        <v>21.56</v>
      </c>
      <c r="AD1643">
        <v>21.56</v>
      </c>
      <c r="AE1643">
        <v>9442818265</v>
      </c>
      <c r="AF1643">
        <v>2758.91</v>
      </c>
      <c r="AG1643">
        <v>0</v>
      </c>
      <c r="AH1643">
        <v>0</v>
      </c>
      <c r="AI1643">
        <v>2758.91</v>
      </c>
      <c r="AJ1643" t="s">
        <v>2</v>
      </c>
      <c r="AK1643" t="s">
        <v>11</v>
      </c>
    </row>
    <row r="1644" spans="1:37">
      <c r="A1644">
        <v>257853</v>
      </c>
      <c r="B1644" s="1">
        <v>45366</v>
      </c>
      <c r="C1644" t="s">
        <v>2487</v>
      </c>
      <c r="D1644" t="s">
        <v>2488</v>
      </c>
      <c r="E1644" t="s">
        <v>2</v>
      </c>
      <c r="F1644" t="s">
        <v>766</v>
      </c>
      <c r="G1644" t="s">
        <v>767</v>
      </c>
      <c r="H1644" t="s">
        <v>2489</v>
      </c>
      <c r="I1644" t="s">
        <v>2487</v>
      </c>
      <c r="J1644" t="s">
        <v>2488</v>
      </c>
      <c r="K1644" t="s">
        <v>2</v>
      </c>
      <c r="L1644" t="s">
        <v>766</v>
      </c>
      <c r="M1644" t="s">
        <v>767</v>
      </c>
      <c r="N1644" t="s">
        <v>2489</v>
      </c>
      <c r="O1644" t="s">
        <v>2490</v>
      </c>
      <c r="P1644" t="s">
        <v>2491</v>
      </c>
      <c r="Q1644" t="s">
        <v>21</v>
      </c>
      <c r="R1644">
        <v>415107</v>
      </c>
      <c r="S1644" t="s">
        <v>2451</v>
      </c>
      <c r="T1644" s="2">
        <v>11</v>
      </c>
      <c r="U1644">
        <v>0</v>
      </c>
      <c r="V1644" t="s">
        <v>260</v>
      </c>
      <c r="W1644">
        <v>0</v>
      </c>
      <c r="X1644">
        <v>0</v>
      </c>
      <c r="Y1644">
        <v>0</v>
      </c>
      <c r="Z1644" t="s">
        <v>88</v>
      </c>
      <c r="AA1644" t="s">
        <v>2505</v>
      </c>
      <c r="AB1644" t="s">
        <v>10</v>
      </c>
      <c r="AC1644">
        <v>0</v>
      </c>
      <c r="AD1644">
        <v>0</v>
      </c>
      <c r="AE1644">
        <v>9442818265</v>
      </c>
      <c r="AF1644">
        <v>2758.91</v>
      </c>
      <c r="AG1644">
        <v>0</v>
      </c>
      <c r="AH1644">
        <v>0</v>
      </c>
      <c r="AI1644">
        <v>2758.91</v>
      </c>
      <c r="AJ1644" t="s">
        <v>2</v>
      </c>
      <c r="AK1644" t="s">
        <v>11</v>
      </c>
    </row>
    <row r="1645" spans="1:37">
      <c r="A1645">
        <v>257853</v>
      </c>
      <c r="B1645" s="1">
        <v>45366</v>
      </c>
      <c r="C1645" t="s">
        <v>2487</v>
      </c>
      <c r="D1645" t="s">
        <v>2488</v>
      </c>
      <c r="E1645" t="s">
        <v>2</v>
      </c>
      <c r="F1645" t="s">
        <v>766</v>
      </c>
      <c r="G1645" t="s">
        <v>767</v>
      </c>
      <c r="H1645" t="s">
        <v>2489</v>
      </c>
      <c r="I1645" t="s">
        <v>2487</v>
      </c>
      <c r="J1645" t="s">
        <v>2488</v>
      </c>
      <c r="K1645" t="s">
        <v>2</v>
      </c>
      <c r="L1645" t="s">
        <v>766</v>
      </c>
      <c r="M1645" t="s">
        <v>767</v>
      </c>
      <c r="N1645" t="s">
        <v>2489</v>
      </c>
      <c r="O1645" t="s">
        <v>2490</v>
      </c>
      <c r="P1645" t="s">
        <v>2491</v>
      </c>
      <c r="Q1645" t="s">
        <v>21</v>
      </c>
      <c r="R1645">
        <v>415107</v>
      </c>
      <c r="S1645" t="s">
        <v>2451</v>
      </c>
      <c r="T1645" s="2">
        <v>11</v>
      </c>
      <c r="U1645">
        <v>0</v>
      </c>
      <c r="V1645" t="s">
        <v>260</v>
      </c>
      <c r="W1645">
        <v>1</v>
      </c>
      <c r="X1645">
        <v>1</v>
      </c>
      <c r="Y1645">
        <v>0</v>
      </c>
      <c r="Z1645" t="s">
        <v>2506</v>
      </c>
      <c r="AA1645" t="s">
        <v>2507</v>
      </c>
      <c r="AB1645" t="s">
        <v>14</v>
      </c>
      <c r="AC1645">
        <v>21.56</v>
      </c>
      <c r="AD1645">
        <v>21.56</v>
      </c>
      <c r="AE1645">
        <v>9442818265</v>
      </c>
      <c r="AF1645">
        <v>2758.91</v>
      </c>
      <c r="AG1645">
        <v>0</v>
      </c>
      <c r="AH1645">
        <v>0</v>
      </c>
      <c r="AI1645">
        <v>2758.91</v>
      </c>
      <c r="AJ1645" t="s">
        <v>2</v>
      </c>
      <c r="AK1645" t="s">
        <v>11</v>
      </c>
    </row>
    <row r="1646" spans="1:37">
      <c r="A1646">
        <v>257853</v>
      </c>
      <c r="B1646" s="1">
        <v>45366</v>
      </c>
      <c r="C1646" t="s">
        <v>2487</v>
      </c>
      <c r="D1646" t="s">
        <v>2488</v>
      </c>
      <c r="E1646" t="s">
        <v>2</v>
      </c>
      <c r="F1646" t="s">
        <v>766</v>
      </c>
      <c r="G1646" t="s">
        <v>767</v>
      </c>
      <c r="H1646" t="s">
        <v>2489</v>
      </c>
      <c r="I1646" t="s">
        <v>2487</v>
      </c>
      <c r="J1646" t="s">
        <v>2488</v>
      </c>
      <c r="K1646" t="s">
        <v>2</v>
      </c>
      <c r="L1646" t="s">
        <v>766</v>
      </c>
      <c r="M1646" t="s">
        <v>767</v>
      </c>
      <c r="N1646" t="s">
        <v>2489</v>
      </c>
      <c r="O1646" t="s">
        <v>2490</v>
      </c>
      <c r="P1646" t="s">
        <v>2491</v>
      </c>
      <c r="Q1646" t="s">
        <v>21</v>
      </c>
      <c r="R1646">
        <v>415107</v>
      </c>
      <c r="S1646" t="s">
        <v>2451</v>
      </c>
      <c r="T1646" s="2">
        <v>11</v>
      </c>
      <c r="U1646">
        <v>0</v>
      </c>
      <c r="V1646" t="s">
        <v>260</v>
      </c>
      <c r="W1646">
        <v>0</v>
      </c>
      <c r="X1646">
        <v>0</v>
      </c>
      <c r="Y1646">
        <v>0</v>
      </c>
      <c r="Z1646" t="s">
        <v>88</v>
      </c>
      <c r="AA1646" t="s">
        <v>2508</v>
      </c>
      <c r="AB1646" t="s">
        <v>10</v>
      </c>
      <c r="AC1646">
        <v>0</v>
      </c>
      <c r="AD1646">
        <v>0</v>
      </c>
      <c r="AE1646">
        <v>9442818265</v>
      </c>
      <c r="AF1646">
        <v>2758.91</v>
      </c>
      <c r="AG1646">
        <v>0</v>
      </c>
      <c r="AH1646">
        <v>0</v>
      </c>
      <c r="AI1646">
        <v>2758.91</v>
      </c>
      <c r="AJ1646" t="s">
        <v>2</v>
      </c>
      <c r="AK1646" t="s">
        <v>11</v>
      </c>
    </row>
    <row r="1647" spans="1:37">
      <c r="A1647">
        <v>257853</v>
      </c>
      <c r="B1647" s="1">
        <v>45366</v>
      </c>
      <c r="C1647" t="s">
        <v>2487</v>
      </c>
      <c r="D1647" t="s">
        <v>2488</v>
      </c>
      <c r="E1647" t="s">
        <v>2</v>
      </c>
      <c r="F1647" t="s">
        <v>766</v>
      </c>
      <c r="G1647" t="s">
        <v>767</v>
      </c>
      <c r="H1647" t="s">
        <v>2489</v>
      </c>
      <c r="I1647" t="s">
        <v>2487</v>
      </c>
      <c r="J1647" t="s">
        <v>2488</v>
      </c>
      <c r="K1647" t="s">
        <v>2</v>
      </c>
      <c r="L1647" t="s">
        <v>766</v>
      </c>
      <c r="M1647" t="s">
        <v>767</v>
      </c>
      <c r="N1647" t="s">
        <v>2489</v>
      </c>
      <c r="O1647" t="s">
        <v>2490</v>
      </c>
      <c r="P1647" t="s">
        <v>2491</v>
      </c>
      <c r="Q1647" t="s">
        <v>21</v>
      </c>
      <c r="R1647">
        <v>415107</v>
      </c>
      <c r="S1647" t="s">
        <v>2451</v>
      </c>
      <c r="T1647" s="2">
        <v>11</v>
      </c>
      <c r="U1647">
        <v>0</v>
      </c>
      <c r="V1647" t="s">
        <v>260</v>
      </c>
      <c r="W1647">
        <v>1</v>
      </c>
      <c r="X1647">
        <v>1</v>
      </c>
      <c r="Y1647">
        <v>0</v>
      </c>
      <c r="Z1647" t="s">
        <v>2509</v>
      </c>
      <c r="AA1647" t="s">
        <v>2510</v>
      </c>
      <c r="AB1647" t="s">
        <v>14</v>
      </c>
      <c r="AC1647">
        <v>21.56</v>
      </c>
      <c r="AD1647">
        <v>21.56</v>
      </c>
      <c r="AE1647">
        <v>9442818265</v>
      </c>
      <c r="AF1647">
        <v>2758.91</v>
      </c>
      <c r="AG1647">
        <v>0</v>
      </c>
      <c r="AH1647">
        <v>0</v>
      </c>
      <c r="AI1647">
        <v>2758.91</v>
      </c>
      <c r="AJ1647" t="s">
        <v>2</v>
      </c>
      <c r="AK1647" t="s">
        <v>11</v>
      </c>
    </row>
    <row r="1648" spans="1:37">
      <c r="A1648">
        <v>257853</v>
      </c>
      <c r="B1648" s="1">
        <v>45366</v>
      </c>
      <c r="C1648" t="s">
        <v>2487</v>
      </c>
      <c r="D1648" t="s">
        <v>2488</v>
      </c>
      <c r="E1648" t="s">
        <v>2</v>
      </c>
      <c r="F1648" t="s">
        <v>766</v>
      </c>
      <c r="G1648" t="s">
        <v>767</v>
      </c>
      <c r="H1648" t="s">
        <v>2489</v>
      </c>
      <c r="I1648" t="s">
        <v>2487</v>
      </c>
      <c r="J1648" t="s">
        <v>2488</v>
      </c>
      <c r="K1648" t="s">
        <v>2</v>
      </c>
      <c r="L1648" t="s">
        <v>766</v>
      </c>
      <c r="M1648" t="s">
        <v>767</v>
      </c>
      <c r="N1648" t="s">
        <v>2489</v>
      </c>
      <c r="O1648" t="s">
        <v>2490</v>
      </c>
      <c r="P1648" t="s">
        <v>2491</v>
      </c>
      <c r="Q1648" t="s">
        <v>21</v>
      </c>
      <c r="R1648">
        <v>415107</v>
      </c>
      <c r="S1648" t="s">
        <v>2451</v>
      </c>
      <c r="T1648" s="2">
        <v>11</v>
      </c>
      <c r="U1648">
        <v>0</v>
      </c>
      <c r="V1648" t="s">
        <v>260</v>
      </c>
      <c r="W1648">
        <v>0</v>
      </c>
      <c r="X1648">
        <v>0</v>
      </c>
      <c r="Y1648">
        <v>0</v>
      </c>
      <c r="Z1648" t="s">
        <v>88</v>
      </c>
      <c r="AA1648" t="s">
        <v>2508</v>
      </c>
      <c r="AB1648" t="s">
        <v>10</v>
      </c>
      <c r="AC1648">
        <v>0</v>
      </c>
      <c r="AD1648">
        <v>0</v>
      </c>
      <c r="AE1648">
        <v>9442818265</v>
      </c>
      <c r="AF1648">
        <v>2758.91</v>
      </c>
      <c r="AG1648">
        <v>0</v>
      </c>
      <c r="AH1648">
        <v>0</v>
      </c>
      <c r="AI1648">
        <v>2758.91</v>
      </c>
      <c r="AJ1648" t="s">
        <v>2</v>
      </c>
      <c r="AK1648" t="s">
        <v>11</v>
      </c>
    </row>
    <row r="1649" spans="1:37">
      <c r="A1649">
        <v>257853</v>
      </c>
      <c r="B1649" s="1">
        <v>45366</v>
      </c>
      <c r="C1649" t="s">
        <v>2487</v>
      </c>
      <c r="D1649" t="s">
        <v>2488</v>
      </c>
      <c r="E1649" t="s">
        <v>2</v>
      </c>
      <c r="F1649" t="s">
        <v>766</v>
      </c>
      <c r="G1649" t="s">
        <v>767</v>
      </c>
      <c r="H1649" t="s">
        <v>2489</v>
      </c>
      <c r="I1649" t="s">
        <v>2487</v>
      </c>
      <c r="J1649" t="s">
        <v>2488</v>
      </c>
      <c r="K1649" t="s">
        <v>2</v>
      </c>
      <c r="L1649" t="s">
        <v>766</v>
      </c>
      <c r="M1649" t="s">
        <v>767</v>
      </c>
      <c r="N1649" t="s">
        <v>2489</v>
      </c>
      <c r="O1649" t="s">
        <v>2490</v>
      </c>
      <c r="P1649" t="s">
        <v>2491</v>
      </c>
      <c r="Q1649" t="s">
        <v>21</v>
      </c>
      <c r="R1649">
        <v>415107</v>
      </c>
      <c r="S1649" t="s">
        <v>2451</v>
      </c>
      <c r="T1649" s="2">
        <v>11</v>
      </c>
      <c r="U1649">
        <v>0</v>
      </c>
      <c r="V1649" t="s">
        <v>260</v>
      </c>
      <c r="W1649">
        <v>1</v>
      </c>
      <c r="X1649">
        <v>1</v>
      </c>
      <c r="Y1649">
        <v>0</v>
      </c>
      <c r="Z1649" t="s">
        <v>2511</v>
      </c>
      <c r="AA1649" t="s">
        <v>2512</v>
      </c>
      <c r="AB1649" t="s">
        <v>14</v>
      </c>
      <c r="AC1649">
        <v>78.430000000000007</v>
      </c>
      <c r="AD1649">
        <v>78.430000000000007</v>
      </c>
      <c r="AE1649">
        <v>9442818265</v>
      </c>
      <c r="AF1649">
        <v>2758.91</v>
      </c>
      <c r="AG1649">
        <v>0</v>
      </c>
      <c r="AH1649">
        <v>0</v>
      </c>
      <c r="AI1649">
        <v>2758.91</v>
      </c>
      <c r="AJ1649" t="s">
        <v>2</v>
      </c>
      <c r="AK1649" t="s">
        <v>11</v>
      </c>
    </row>
    <row r="1650" spans="1:37">
      <c r="A1650">
        <v>257853</v>
      </c>
      <c r="B1650" s="1">
        <v>45366</v>
      </c>
      <c r="C1650" t="s">
        <v>2487</v>
      </c>
      <c r="D1650" t="s">
        <v>2488</v>
      </c>
      <c r="E1650" t="s">
        <v>2</v>
      </c>
      <c r="F1650" t="s">
        <v>766</v>
      </c>
      <c r="G1650" t="s">
        <v>767</v>
      </c>
      <c r="H1650" t="s">
        <v>2489</v>
      </c>
      <c r="I1650" t="s">
        <v>2487</v>
      </c>
      <c r="J1650" t="s">
        <v>2488</v>
      </c>
      <c r="K1650" t="s">
        <v>2</v>
      </c>
      <c r="L1650" t="s">
        <v>766</v>
      </c>
      <c r="M1650" t="s">
        <v>767</v>
      </c>
      <c r="N1650" t="s">
        <v>2489</v>
      </c>
      <c r="O1650" t="s">
        <v>2490</v>
      </c>
      <c r="P1650" t="s">
        <v>2491</v>
      </c>
      <c r="Q1650" t="s">
        <v>21</v>
      </c>
      <c r="R1650">
        <v>415107</v>
      </c>
      <c r="S1650" t="s">
        <v>2451</v>
      </c>
      <c r="T1650" s="2">
        <v>11</v>
      </c>
      <c r="U1650">
        <v>0</v>
      </c>
      <c r="V1650" t="s">
        <v>260</v>
      </c>
      <c r="W1650">
        <v>0</v>
      </c>
      <c r="X1650">
        <v>0</v>
      </c>
      <c r="Y1650">
        <v>0</v>
      </c>
      <c r="Z1650" t="s">
        <v>88</v>
      </c>
      <c r="AA1650" t="s">
        <v>2508</v>
      </c>
      <c r="AB1650" t="s">
        <v>10</v>
      </c>
      <c r="AC1650">
        <v>0</v>
      </c>
      <c r="AD1650">
        <v>0</v>
      </c>
      <c r="AE1650">
        <v>9442818265</v>
      </c>
      <c r="AF1650">
        <v>2758.91</v>
      </c>
      <c r="AG1650">
        <v>0</v>
      </c>
      <c r="AH1650">
        <v>0</v>
      </c>
      <c r="AI1650">
        <v>2758.91</v>
      </c>
      <c r="AJ1650" t="s">
        <v>2</v>
      </c>
      <c r="AK1650" t="s">
        <v>11</v>
      </c>
    </row>
    <row r="1651" spans="1:37">
      <c r="A1651">
        <v>257853</v>
      </c>
      <c r="B1651" s="1">
        <v>45366</v>
      </c>
      <c r="C1651" t="s">
        <v>2487</v>
      </c>
      <c r="D1651" t="s">
        <v>2488</v>
      </c>
      <c r="E1651" t="s">
        <v>2</v>
      </c>
      <c r="F1651" t="s">
        <v>766</v>
      </c>
      <c r="G1651" t="s">
        <v>767</v>
      </c>
      <c r="H1651" t="s">
        <v>2489</v>
      </c>
      <c r="I1651" t="s">
        <v>2487</v>
      </c>
      <c r="J1651" t="s">
        <v>2488</v>
      </c>
      <c r="K1651" t="s">
        <v>2</v>
      </c>
      <c r="L1651" t="s">
        <v>766</v>
      </c>
      <c r="M1651" t="s">
        <v>767</v>
      </c>
      <c r="N1651" t="s">
        <v>2489</v>
      </c>
      <c r="O1651" t="s">
        <v>2490</v>
      </c>
      <c r="P1651" t="s">
        <v>2491</v>
      </c>
      <c r="Q1651" t="s">
        <v>21</v>
      </c>
      <c r="R1651">
        <v>415107</v>
      </c>
      <c r="S1651" t="s">
        <v>2451</v>
      </c>
      <c r="T1651" s="2">
        <v>11</v>
      </c>
      <c r="U1651">
        <v>0</v>
      </c>
      <c r="V1651" t="s">
        <v>260</v>
      </c>
      <c r="W1651">
        <v>1</v>
      </c>
      <c r="X1651">
        <v>1</v>
      </c>
      <c r="Y1651">
        <v>0</v>
      </c>
      <c r="Z1651" t="s">
        <v>2513</v>
      </c>
      <c r="AA1651" t="s">
        <v>2514</v>
      </c>
      <c r="AB1651" t="s">
        <v>14</v>
      </c>
      <c r="AC1651">
        <v>69.739999999999995</v>
      </c>
      <c r="AD1651">
        <v>69.739999999999995</v>
      </c>
      <c r="AE1651">
        <v>9442818265</v>
      </c>
      <c r="AF1651">
        <v>2758.91</v>
      </c>
      <c r="AG1651">
        <v>0</v>
      </c>
      <c r="AH1651">
        <v>0</v>
      </c>
      <c r="AI1651">
        <v>2758.91</v>
      </c>
      <c r="AJ1651" t="s">
        <v>2</v>
      </c>
      <c r="AK1651" t="s">
        <v>11</v>
      </c>
    </row>
    <row r="1652" spans="1:37">
      <c r="A1652">
        <v>257853</v>
      </c>
      <c r="B1652" s="1">
        <v>45366</v>
      </c>
      <c r="C1652" t="s">
        <v>2487</v>
      </c>
      <c r="D1652" t="s">
        <v>2488</v>
      </c>
      <c r="E1652" t="s">
        <v>2</v>
      </c>
      <c r="F1652" t="s">
        <v>766</v>
      </c>
      <c r="G1652" t="s">
        <v>767</v>
      </c>
      <c r="H1652" t="s">
        <v>2489</v>
      </c>
      <c r="I1652" t="s">
        <v>2487</v>
      </c>
      <c r="J1652" t="s">
        <v>2488</v>
      </c>
      <c r="K1652" t="s">
        <v>2</v>
      </c>
      <c r="L1652" t="s">
        <v>766</v>
      </c>
      <c r="M1652" t="s">
        <v>767</v>
      </c>
      <c r="N1652" t="s">
        <v>2489</v>
      </c>
      <c r="O1652" t="s">
        <v>2490</v>
      </c>
      <c r="P1652" t="s">
        <v>2491</v>
      </c>
      <c r="Q1652" t="s">
        <v>21</v>
      </c>
      <c r="R1652">
        <v>415107</v>
      </c>
      <c r="S1652" t="s">
        <v>2451</v>
      </c>
      <c r="T1652" s="2">
        <v>11</v>
      </c>
      <c r="U1652">
        <v>0</v>
      </c>
      <c r="V1652" t="s">
        <v>260</v>
      </c>
      <c r="W1652">
        <v>0</v>
      </c>
      <c r="X1652">
        <v>0</v>
      </c>
      <c r="Y1652">
        <v>0</v>
      </c>
      <c r="Z1652" t="s">
        <v>88</v>
      </c>
      <c r="AA1652" t="s">
        <v>1041</v>
      </c>
      <c r="AB1652" t="s">
        <v>10</v>
      </c>
      <c r="AC1652">
        <v>0</v>
      </c>
      <c r="AD1652">
        <v>0</v>
      </c>
      <c r="AE1652">
        <v>9442818265</v>
      </c>
      <c r="AF1652">
        <v>2758.91</v>
      </c>
      <c r="AG1652">
        <v>0</v>
      </c>
      <c r="AH1652">
        <v>0</v>
      </c>
      <c r="AI1652">
        <v>2758.91</v>
      </c>
      <c r="AJ1652" t="s">
        <v>2</v>
      </c>
      <c r="AK1652" t="s">
        <v>11</v>
      </c>
    </row>
    <row r="1653" spans="1:37">
      <c r="A1653">
        <v>257853</v>
      </c>
      <c r="B1653" s="1">
        <v>45366</v>
      </c>
      <c r="C1653" t="s">
        <v>2487</v>
      </c>
      <c r="D1653" t="s">
        <v>2488</v>
      </c>
      <c r="E1653" t="s">
        <v>2</v>
      </c>
      <c r="F1653" t="s">
        <v>766</v>
      </c>
      <c r="G1653" t="s">
        <v>767</v>
      </c>
      <c r="H1653" t="s">
        <v>2489</v>
      </c>
      <c r="I1653" t="s">
        <v>2487</v>
      </c>
      <c r="J1653" t="s">
        <v>2488</v>
      </c>
      <c r="K1653" t="s">
        <v>2</v>
      </c>
      <c r="L1653" t="s">
        <v>766</v>
      </c>
      <c r="M1653" t="s">
        <v>767</v>
      </c>
      <c r="N1653" t="s">
        <v>2489</v>
      </c>
      <c r="O1653" t="s">
        <v>2490</v>
      </c>
      <c r="P1653" t="s">
        <v>2491</v>
      </c>
      <c r="Q1653" t="s">
        <v>21</v>
      </c>
      <c r="R1653">
        <v>415107</v>
      </c>
      <c r="S1653" t="s">
        <v>2451</v>
      </c>
      <c r="T1653" s="2">
        <v>11</v>
      </c>
      <c r="U1653">
        <v>0</v>
      </c>
      <c r="V1653" t="s">
        <v>260</v>
      </c>
      <c r="W1653">
        <v>1</v>
      </c>
      <c r="X1653">
        <v>1</v>
      </c>
      <c r="Y1653">
        <v>0</v>
      </c>
      <c r="Z1653" t="s">
        <v>183</v>
      </c>
      <c r="AA1653" t="s">
        <v>184</v>
      </c>
      <c r="AB1653" t="s">
        <v>14</v>
      </c>
      <c r="AC1653">
        <v>25</v>
      </c>
      <c r="AD1653">
        <v>25</v>
      </c>
      <c r="AE1653">
        <v>9442818265</v>
      </c>
      <c r="AF1653">
        <v>2758.91</v>
      </c>
      <c r="AG1653">
        <v>0</v>
      </c>
      <c r="AH1653">
        <v>0</v>
      </c>
      <c r="AI1653">
        <v>2758.91</v>
      </c>
      <c r="AJ1653" t="s">
        <v>2</v>
      </c>
      <c r="AK1653" t="s">
        <v>11</v>
      </c>
    </row>
    <row r="1654" spans="1:37">
      <c r="A1654">
        <v>257854</v>
      </c>
      <c r="B1654" s="1">
        <v>45366</v>
      </c>
      <c r="C1654" t="s">
        <v>2515</v>
      </c>
      <c r="D1654" t="s">
        <v>2516</v>
      </c>
      <c r="E1654" t="s">
        <v>2</v>
      </c>
      <c r="F1654" t="s">
        <v>2517</v>
      </c>
      <c r="G1654" t="s">
        <v>535</v>
      </c>
      <c r="H1654">
        <v>30093</v>
      </c>
      <c r="I1654" t="s">
        <v>2518</v>
      </c>
      <c r="J1654" t="s">
        <v>2519</v>
      </c>
      <c r="K1654" t="s">
        <v>2</v>
      </c>
      <c r="L1654" t="s">
        <v>2517</v>
      </c>
      <c r="M1654" t="s">
        <v>535</v>
      </c>
      <c r="N1654">
        <v>30093</v>
      </c>
      <c r="O1654" t="s">
        <v>2520</v>
      </c>
      <c r="P1654" t="s">
        <v>2521</v>
      </c>
      <c r="Q1654" t="s">
        <v>21</v>
      </c>
      <c r="R1654">
        <v>415108</v>
      </c>
      <c r="S1654" t="s">
        <v>2451</v>
      </c>
      <c r="T1654" s="2">
        <v>12</v>
      </c>
      <c r="U1654">
        <v>0</v>
      </c>
      <c r="V1654" t="s">
        <v>260</v>
      </c>
      <c r="W1654">
        <v>0</v>
      </c>
      <c r="X1654">
        <v>0</v>
      </c>
      <c r="Y1654">
        <v>0</v>
      </c>
      <c r="Z1654" t="s">
        <v>9</v>
      </c>
      <c r="AA1654" t="s">
        <v>2</v>
      </c>
      <c r="AB1654" t="s">
        <v>10</v>
      </c>
      <c r="AC1654">
        <v>0</v>
      </c>
      <c r="AD1654">
        <v>0</v>
      </c>
      <c r="AE1654">
        <v>9442812201</v>
      </c>
      <c r="AF1654">
        <v>3154.51</v>
      </c>
      <c r="AG1654">
        <v>0</v>
      </c>
      <c r="AH1654">
        <v>0</v>
      </c>
      <c r="AI1654">
        <v>3154.51</v>
      </c>
      <c r="AJ1654" t="s">
        <v>2</v>
      </c>
      <c r="AK1654" t="s">
        <v>11</v>
      </c>
    </row>
    <row r="1655" spans="1:37">
      <c r="A1655">
        <v>257854</v>
      </c>
      <c r="B1655" s="1">
        <v>45366</v>
      </c>
      <c r="C1655" t="s">
        <v>2515</v>
      </c>
      <c r="D1655" t="s">
        <v>2516</v>
      </c>
      <c r="E1655" t="s">
        <v>2</v>
      </c>
      <c r="F1655" t="s">
        <v>2517</v>
      </c>
      <c r="G1655" t="s">
        <v>535</v>
      </c>
      <c r="H1655">
        <v>30093</v>
      </c>
      <c r="I1655" t="s">
        <v>2518</v>
      </c>
      <c r="J1655" t="s">
        <v>2519</v>
      </c>
      <c r="K1655" t="s">
        <v>2</v>
      </c>
      <c r="L1655" t="s">
        <v>2517</v>
      </c>
      <c r="M1655" t="s">
        <v>535</v>
      </c>
      <c r="N1655">
        <v>30093</v>
      </c>
      <c r="O1655" t="s">
        <v>2520</v>
      </c>
      <c r="P1655" t="s">
        <v>2521</v>
      </c>
      <c r="Q1655" t="s">
        <v>21</v>
      </c>
      <c r="R1655">
        <v>415108</v>
      </c>
      <c r="S1655" t="s">
        <v>2451</v>
      </c>
      <c r="T1655" s="2">
        <v>12</v>
      </c>
      <c r="U1655">
        <v>0</v>
      </c>
      <c r="V1655" t="s">
        <v>260</v>
      </c>
      <c r="W1655">
        <v>6</v>
      </c>
      <c r="X1655">
        <v>6</v>
      </c>
      <c r="Y1655">
        <v>0</v>
      </c>
      <c r="Z1655" t="s">
        <v>312</v>
      </c>
      <c r="AA1655" t="s">
        <v>313</v>
      </c>
      <c r="AB1655" t="s">
        <v>14</v>
      </c>
      <c r="AC1655">
        <v>120.4532</v>
      </c>
      <c r="AD1655">
        <v>722.72</v>
      </c>
      <c r="AE1655">
        <v>9442812201</v>
      </c>
      <c r="AF1655">
        <v>3154.51</v>
      </c>
      <c r="AG1655">
        <v>0</v>
      </c>
      <c r="AH1655">
        <v>0</v>
      </c>
      <c r="AI1655">
        <v>3154.51</v>
      </c>
      <c r="AJ1655" t="s">
        <v>2</v>
      </c>
      <c r="AK1655" t="s">
        <v>11</v>
      </c>
    </row>
    <row r="1656" spans="1:37">
      <c r="A1656">
        <v>257854</v>
      </c>
      <c r="B1656" s="1">
        <v>45366</v>
      </c>
      <c r="C1656" t="s">
        <v>2515</v>
      </c>
      <c r="D1656" t="s">
        <v>2516</v>
      </c>
      <c r="E1656" t="s">
        <v>2</v>
      </c>
      <c r="F1656" t="s">
        <v>2517</v>
      </c>
      <c r="G1656" t="s">
        <v>535</v>
      </c>
      <c r="H1656">
        <v>30093</v>
      </c>
      <c r="I1656" t="s">
        <v>2518</v>
      </c>
      <c r="J1656" t="s">
        <v>2519</v>
      </c>
      <c r="K1656" t="s">
        <v>2</v>
      </c>
      <c r="L1656" t="s">
        <v>2517</v>
      </c>
      <c r="M1656" t="s">
        <v>535</v>
      </c>
      <c r="N1656">
        <v>30093</v>
      </c>
      <c r="O1656" t="s">
        <v>2520</v>
      </c>
      <c r="P1656" t="s">
        <v>2521</v>
      </c>
      <c r="Q1656" t="s">
        <v>21</v>
      </c>
      <c r="R1656">
        <v>415108</v>
      </c>
      <c r="S1656" t="s">
        <v>2451</v>
      </c>
      <c r="T1656" s="2">
        <v>12</v>
      </c>
      <c r="U1656">
        <v>0</v>
      </c>
      <c r="V1656" t="s">
        <v>260</v>
      </c>
      <c r="W1656">
        <v>0</v>
      </c>
      <c r="X1656">
        <v>0</v>
      </c>
      <c r="Y1656">
        <v>0</v>
      </c>
      <c r="Z1656" t="s">
        <v>88</v>
      </c>
      <c r="AA1656" t="s">
        <v>314</v>
      </c>
      <c r="AB1656" t="s">
        <v>10</v>
      </c>
      <c r="AC1656">
        <v>0</v>
      </c>
      <c r="AD1656">
        <v>0</v>
      </c>
      <c r="AE1656">
        <v>9442812201</v>
      </c>
      <c r="AF1656">
        <v>3154.51</v>
      </c>
      <c r="AG1656">
        <v>0</v>
      </c>
      <c r="AH1656">
        <v>0</v>
      </c>
      <c r="AI1656">
        <v>3154.51</v>
      </c>
      <c r="AJ1656" t="s">
        <v>2</v>
      </c>
      <c r="AK1656" t="s">
        <v>11</v>
      </c>
    </row>
    <row r="1657" spans="1:37">
      <c r="A1657">
        <v>257854</v>
      </c>
      <c r="B1657" s="1">
        <v>45366</v>
      </c>
      <c r="C1657" t="s">
        <v>2515</v>
      </c>
      <c r="D1657" t="s">
        <v>2516</v>
      </c>
      <c r="E1657" t="s">
        <v>2</v>
      </c>
      <c r="F1657" t="s">
        <v>2517</v>
      </c>
      <c r="G1657" t="s">
        <v>535</v>
      </c>
      <c r="H1657">
        <v>30093</v>
      </c>
      <c r="I1657" t="s">
        <v>2518</v>
      </c>
      <c r="J1657" t="s">
        <v>2519</v>
      </c>
      <c r="K1657" t="s">
        <v>2</v>
      </c>
      <c r="L1657" t="s">
        <v>2517</v>
      </c>
      <c r="M1657" t="s">
        <v>535</v>
      </c>
      <c r="N1657">
        <v>30093</v>
      </c>
      <c r="O1657" t="s">
        <v>2520</v>
      </c>
      <c r="P1657" t="s">
        <v>2521</v>
      </c>
      <c r="Q1657" t="s">
        <v>21</v>
      </c>
      <c r="R1657">
        <v>415108</v>
      </c>
      <c r="S1657" t="s">
        <v>2451</v>
      </c>
      <c r="T1657" s="2">
        <v>12</v>
      </c>
      <c r="U1657">
        <v>0</v>
      </c>
      <c r="V1657" t="s">
        <v>260</v>
      </c>
      <c r="W1657">
        <v>1</v>
      </c>
      <c r="X1657">
        <v>1</v>
      </c>
      <c r="Y1657">
        <v>0</v>
      </c>
      <c r="Z1657" t="s">
        <v>2478</v>
      </c>
      <c r="AA1657" t="s">
        <v>2479</v>
      </c>
      <c r="AB1657" t="s">
        <v>14</v>
      </c>
      <c r="AC1657">
        <v>132.9751</v>
      </c>
      <c r="AD1657">
        <v>132.97999999999999</v>
      </c>
      <c r="AE1657">
        <v>9442812201</v>
      </c>
      <c r="AF1657">
        <v>3154.51</v>
      </c>
      <c r="AG1657">
        <v>0</v>
      </c>
      <c r="AH1657">
        <v>0</v>
      </c>
      <c r="AI1657">
        <v>3154.51</v>
      </c>
      <c r="AJ1657" t="s">
        <v>2</v>
      </c>
      <c r="AK1657" t="s">
        <v>11</v>
      </c>
    </row>
    <row r="1658" spans="1:37">
      <c r="A1658">
        <v>257854</v>
      </c>
      <c r="B1658" s="1">
        <v>45366</v>
      </c>
      <c r="C1658" t="s">
        <v>2515</v>
      </c>
      <c r="D1658" t="s">
        <v>2516</v>
      </c>
      <c r="E1658" t="s">
        <v>2</v>
      </c>
      <c r="F1658" t="s">
        <v>2517</v>
      </c>
      <c r="G1658" t="s">
        <v>535</v>
      </c>
      <c r="H1658">
        <v>30093</v>
      </c>
      <c r="I1658" t="s">
        <v>2518</v>
      </c>
      <c r="J1658" t="s">
        <v>2519</v>
      </c>
      <c r="K1658" t="s">
        <v>2</v>
      </c>
      <c r="L1658" t="s">
        <v>2517</v>
      </c>
      <c r="M1658" t="s">
        <v>535</v>
      </c>
      <c r="N1658">
        <v>30093</v>
      </c>
      <c r="O1658" t="s">
        <v>2520</v>
      </c>
      <c r="P1658" t="s">
        <v>2521</v>
      </c>
      <c r="Q1658" t="s">
        <v>21</v>
      </c>
      <c r="R1658">
        <v>415108</v>
      </c>
      <c r="S1658" t="s">
        <v>2451</v>
      </c>
      <c r="T1658" s="2">
        <v>12</v>
      </c>
      <c r="U1658">
        <v>0</v>
      </c>
      <c r="V1658" t="s">
        <v>260</v>
      </c>
      <c r="W1658">
        <v>0</v>
      </c>
      <c r="X1658">
        <v>0</v>
      </c>
      <c r="Y1658">
        <v>0</v>
      </c>
      <c r="Z1658" t="s">
        <v>88</v>
      </c>
      <c r="AA1658" t="s">
        <v>317</v>
      </c>
      <c r="AB1658" t="s">
        <v>10</v>
      </c>
      <c r="AC1658">
        <v>0</v>
      </c>
      <c r="AD1658">
        <v>0</v>
      </c>
      <c r="AE1658">
        <v>9442812201</v>
      </c>
      <c r="AF1658">
        <v>3154.51</v>
      </c>
      <c r="AG1658">
        <v>0</v>
      </c>
      <c r="AH1658">
        <v>0</v>
      </c>
      <c r="AI1658">
        <v>3154.51</v>
      </c>
      <c r="AJ1658" t="s">
        <v>2</v>
      </c>
      <c r="AK1658" t="s">
        <v>11</v>
      </c>
    </row>
    <row r="1659" spans="1:37">
      <c r="A1659">
        <v>257854</v>
      </c>
      <c r="B1659" s="1">
        <v>45366</v>
      </c>
      <c r="C1659" t="s">
        <v>2515</v>
      </c>
      <c r="D1659" t="s">
        <v>2516</v>
      </c>
      <c r="E1659" t="s">
        <v>2</v>
      </c>
      <c r="F1659" t="s">
        <v>2517</v>
      </c>
      <c r="G1659" t="s">
        <v>535</v>
      </c>
      <c r="H1659">
        <v>30093</v>
      </c>
      <c r="I1659" t="s">
        <v>2518</v>
      </c>
      <c r="J1659" t="s">
        <v>2519</v>
      </c>
      <c r="K1659" t="s">
        <v>2</v>
      </c>
      <c r="L1659" t="s">
        <v>2517</v>
      </c>
      <c r="M1659" t="s">
        <v>535</v>
      </c>
      <c r="N1659">
        <v>30093</v>
      </c>
      <c r="O1659" t="s">
        <v>2520</v>
      </c>
      <c r="P1659" t="s">
        <v>2521</v>
      </c>
      <c r="Q1659" t="s">
        <v>21</v>
      </c>
      <c r="R1659">
        <v>415108</v>
      </c>
      <c r="S1659" t="s">
        <v>2451</v>
      </c>
      <c r="T1659" s="2">
        <v>12</v>
      </c>
      <c r="U1659">
        <v>0</v>
      </c>
      <c r="V1659" t="s">
        <v>260</v>
      </c>
      <c r="W1659">
        <v>2</v>
      </c>
      <c r="X1659">
        <v>2</v>
      </c>
      <c r="Y1659">
        <v>0</v>
      </c>
      <c r="Z1659" t="s">
        <v>2522</v>
      </c>
      <c r="AA1659" t="s">
        <v>2523</v>
      </c>
      <c r="AB1659" t="s">
        <v>14</v>
      </c>
      <c r="AC1659">
        <v>132.9751</v>
      </c>
      <c r="AD1659">
        <v>265.95</v>
      </c>
      <c r="AE1659">
        <v>9442812201</v>
      </c>
      <c r="AF1659">
        <v>3154.51</v>
      </c>
      <c r="AG1659">
        <v>0</v>
      </c>
      <c r="AH1659">
        <v>0</v>
      </c>
      <c r="AI1659">
        <v>3154.51</v>
      </c>
      <c r="AJ1659" t="s">
        <v>2</v>
      </c>
      <c r="AK1659" t="s">
        <v>11</v>
      </c>
    </row>
    <row r="1660" spans="1:37">
      <c r="A1660">
        <v>257854</v>
      </c>
      <c r="B1660" s="1">
        <v>45366</v>
      </c>
      <c r="C1660" t="s">
        <v>2515</v>
      </c>
      <c r="D1660" t="s">
        <v>2516</v>
      </c>
      <c r="E1660" t="s">
        <v>2</v>
      </c>
      <c r="F1660" t="s">
        <v>2517</v>
      </c>
      <c r="G1660" t="s">
        <v>535</v>
      </c>
      <c r="H1660">
        <v>30093</v>
      </c>
      <c r="I1660" t="s">
        <v>2518</v>
      </c>
      <c r="J1660" t="s">
        <v>2519</v>
      </c>
      <c r="K1660" t="s">
        <v>2</v>
      </c>
      <c r="L1660" t="s">
        <v>2517</v>
      </c>
      <c r="M1660" t="s">
        <v>535</v>
      </c>
      <c r="N1660">
        <v>30093</v>
      </c>
      <c r="O1660" t="s">
        <v>2520</v>
      </c>
      <c r="P1660" t="s">
        <v>2521</v>
      </c>
      <c r="Q1660" t="s">
        <v>21</v>
      </c>
      <c r="R1660">
        <v>415108</v>
      </c>
      <c r="S1660" t="s">
        <v>2451</v>
      </c>
      <c r="T1660" s="2">
        <v>12</v>
      </c>
      <c r="U1660">
        <v>0</v>
      </c>
      <c r="V1660" t="s">
        <v>260</v>
      </c>
      <c r="W1660">
        <v>0</v>
      </c>
      <c r="X1660">
        <v>0</v>
      </c>
      <c r="Y1660">
        <v>0</v>
      </c>
      <c r="Z1660" t="s">
        <v>88</v>
      </c>
      <c r="AA1660" t="s">
        <v>317</v>
      </c>
      <c r="AB1660" t="s">
        <v>10</v>
      </c>
      <c r="AC1660">
        <v>0</v>
      </c>
      <c r="AD1660">
        <v>0</v>
      </c>
      <c r="AE1660">
        <v>9442812201</v>
      </c>
      <c r="AF1660">
        <v>3154.51</v>
      </c>
      <c r="AG1660">
        <v>0</v>
      </c>
      <c r="AH1660">
        <v>0</v>
      </c>
      <c r="AI1660">
        <v>3154.51</v>
      </c>
      <c r="AJ1660" t="s">
        <v>2</v>
      </c>
      <c r="AK1660" t="s">
        <v>11</v>
      </c>
    </row>
    <row r="1661" spans="1:37">
      <c r="A1661">
        <v>257854</v>
      </c>
      <c r="B1661" s="1">
        <v>45366</v>
      </c>
      <c r="C1661" t="s">
        <v>2515</v>
      </c>
      <c r="D1661" t="s">
        <v>2516</v>
      </c>
      <c r="E1661" t="s">
        <v>2</v>
      </c>
      <c r="F1661" t="s">
        <v>2517</v>
      </c>
      <c r="G1661" t="s">
        <v>535</v>
      </c>
      <c r="H1661">
        <v>30093</v>
      </c>
      <c r="I1661" t="s">
        <v>2518</v>
      </c>
      <c r="J1661" t="s">
        <v>2519</v>
      </c>
      <c r="K1661" t="s">
        <v>2</v>
      </c>
      <c r="L1661" t="s">
        <v>2517</v>
      </c>
      <c r="M1661" t="s">
        <v>535</v>
      </c>
      <c r="N1661">
        <v>30093</v>
      </c>
      <c r="O1661" t="s">
        <v>2520</v>
      </c>
      <c r="P1661" t="s">
        <v>2521</v>
      </c>
      <c r="Q1661" t="s">
        <v>21</v>
      </c>
      <c r="R1661">
        <v>415108</v>
      </c>
      <c r="S1661" t="s">
        <v>2451</v>
      </c>
      <c r="T1661" s="2">
        <v>12</v>
      </c>
      <c r="U1661">
        <v>0</v>
      </c>
      <c r="V1661" t="s">
        <v>260</v>
      </c>
      <c r="W1661">
        <v>1</v>
      </c>
      <c r="X1661">
        <v>0</v>
      </c>
      <c r="Y1661">
        <v>1</v>
      </c>
      <c r="Z1661" t="s">
        <v>2524</v>
      </c>
      <c r="AA1661" t="s">
        <v>2525</v>
      </c>
      <c r="AB1661" t="s">
        <v>14</v>
      </c>
      <c r="AC1661">
        <v>1003.9309</v>
      </c>
      <c r="AD1661">
        <v>0</v>
      </c>
      <c r="AE1661">
        <v>9442812201</v>
      </c>
      <c r="AF1661">
        <v>3154.51</v>
      </c>
      <c r="AG1661">
        <v>0</v>
      </c>
      <c r="AH1661">
        <v>0</v>
      </c>
      <c r="AI1661">
        <v>3154.51</v>
      </c>
      <c r="AJ1661" t="s">
        <v>2</v>
      </c>
      <c r="AK1661" t="s">
        <v>11</v>
      </c>
    </row>
    <row r="1662" spans="1:37">
      <c r="A1662">
        <v>257854</v>
      </c>
      <c r="B1662" s="1">
        <v>45366</v>
      </c>
      <c r="C1662" t="s">
        <v>2515</v>
      </c>
      <c r="D1662" t="s">
        <v>2516</v>
      </c>
      <c r="E1662" t="s">
        <v>2</v>
      </c>
      <c r="F1662" t="s">
        <v>2517</v>
      </c>
      <c r="G1662" t="s">
        <v>535</v>
      </c>
      <c r="H1662">
        <v>30093</v>
      </c>
      <c r="I1662" t="s">
        <v>2518</v>
      </c>
      <c r="J1662" t="s">
        <v>2519</v>
      </c>
      <c r="K1662" t="s">
        <v>2</v>
      </c>
      <c r="L1662" t="s">
        <v>2517</v>
      </c>
      <c r="M1662" t="s">
        <v>535</v>
      </c>
      <c r="N1662">
        <v>30093</v>
      </c>
      <c r="O1662" t="s">
        <v>2520</v>
      </c>
      <c r="P1662" t="s">
        <v>2521</v>
      </c>
      <c r="Q1662" t="s">
        <v>21</v>
      </c>
      <c r="R1662">
        <v>415108</v>
      </c>
      <c r="S1662" t="s">
        <v>2451</v>
      </c>
      <c r="T1662" s="2">
        <v>12</v>
      </c>
      <c r="U1662">
        <v>0</v>
      </c>
      <c r="V1662" t="s">
        <v>260</v>
      </c>
      <c r="W1662">
        <v>0</v>
      </c>
      <c r="X1662">
        <v>0</v>
      </c>
      <c r="Y1662">
        <v>0</v>
      </c>
      <c r="Z1662" t="s">
        <v>88</v>
      </c>
      <c r="AA1662" t="s">
        <v>251</v>
      </c>
      <c r="AB1662" t="s">
        <v>10</v>
      </c>
      <c r="AC1662">
        <v>0</v>
      </c>
      <c r="AD1662">
        <v>0</v>
      </c>
      <c r="AE1662">
        <v>9442812201</v>
      </c>
      <c r="AF1662">
        <v>3154.51</v>
      </c>
      <c r="AG1662">
        <v>0</v>
      </c>
      <c r="AH1662">
        <v>0</v>
      </c>
      <c r="AI1662">
        <v>3154.51</v>
      </c>
      <c r="AJ1662" t="s">
        <v>2</v>
      </c>
      <c r="AK1662" t="s">
        <v>11</v>
      </c>
    </row>
    <row r="1663" spans="1:37">
      <c r="A1663">
        <v>257854</v>
      </c>
      <c r="B1663" s="1">
        <v>45366</v>
      </c>
      <c r="C1663" t="s">
        <v>2515</v>
      </c>
      <c r="D1663" t="s">
        <v>2516</v>
      </c>
      <c r="E1663" t="s">
        <v>2</v>
      </c>
      <c r="F1663" t="s">
        <v>2517</v>
      </c>
      <c r="G1663" t="s">
        <v>535</v>
      </c>
      <c r="H1663">
        <v>30093</v>
      </c>
      <c r="I1663" t="s">
        <v>2518</v>
      </c>
      <c r="J1663" t="s">
        <v>2519</v>
      </c>
      <c r="K1663" t="s">
        <v>2</v>
      </c>
      <c r="L1663" t="s">
        <v>2517</v>
      </c>
      <c r="M1663" t="s">
        <v>535</v>
      </c>
      <c r="N1663">
        <v>30093</v>
      </c>
      <c r="O1663" t="s">
        <v>2520</v>
      </c>
      <c r="P1663" t="s">
        <v>2521</v>
      </c>
      <c r="Q1663" t="s">
        <v>21</v>
      </c>
      <c r="R1663">
        <v>415108</v>
      </c>
      <c r="S1663" t="s">
        <v>2451</v>
      </c>
      <c r="T1663" s="2">
        <v>12</v>
      </c>
      <c r="U1663">
        <v>0</v>
      </c>
      <c r="V1663" t="s">
        <v>260</v>
      </c>
      <c r="W1663">
        <v>2</v>
      </c>
      <c r="X1663">
        <v>2</v>
      </c>
      <c r="Y1663">
        <v>0</v>
      </c>
      <c r="Z1663" t="s">
        <v>2526</v>
      </c>
      <c r="AA1663" t="s">
        <v>2527</v>
      </c>
      <c r="AB1663" t="s">
        <v>14</v>
      </c>
      <c r="AC1663">
        <v>1003.9309</v>
      </c>
      <c r="AD1663">
        <v>2007.86</v>
      </c>
      <c r="AE1663">
        <v>9442812201</v>
      </c>
      <c r="AF1663">
        <v>3154.51</v>
      </c>
      <c r="AG1663">
        <v>0</v>
      </c>
      <c r="AH1663">
        <v>0</v>
      </c>
      <c r="AI1663">
        <v>3154.51</v>
      </c>
      <c r="AJ1663" t="s">
        <v>2</v>
      </c>
      <c r="AK1663" t="s">
        <v>11</v>
      </c>
    </row>
    <row r="1664" spans="1:37">
      <c r="A1664">
        <v>257854</v>
      </c>
      <c r="B1664" s="1">
        <v>45366</v>
      </c>
      <c r="C1664" t="s">
        <v>2515</v>
      </c>
      <c r="D1664" t="s">
        <v>2516</v>
      </c>
      <c r="E1664" t="s">
        <v>2</v>
      </c>
      <c r="F1664" t="s">
        <v>2517</v>
      </c>
      <c r="G1664" t="s">
        <v>535</v>
      </c>
      <c r="H1664">
        <v>30093</v>
      </c>
      <c r="I1664" t="s">
        <v>2518</v>
      </c>
      <c r="J1664" t="s">
        <v>2519</v>
      </c>
      <c r="K1664" t="s">
        <v>2</v>
      </c>
      <c r="L1664" t="s">
        <v>2517</v>
      </c>
      <c r="M1664" t="s">
        <v>535</v>
      </c>
      <c r="N1664">
        <v>30093</v>
      </c>
      <c r="O1664" t="s">
        <v>2520</v>
      </c>
      <c r="P1664" t="s">
        <v>2521</v>
      </c>
      <c r="Q1664" t="s">
        <v>21</v>
      </c>
      <c r="R1664">
        <v>415108</v>
      </c>
      <c r="S1664" t="s">
        <v>2451</v>
      </c>
      <c r="T1664" s="2">
        <v>12</v>
      </c>
      <c r="U1664">
        <v>0</v>
      </c>
      <c r="V1664" t="s">
        <v>260</v>
      </c>
      <c r="W1664">
        <v>0</v>
      </c>
      <c r="X1664">
        <v>0</v>
      </c>
      <c r="Y1664">
        <v>0</v>
      </c>
      <c r="Z1664" t="s">
        <v>88</v>
      </c>
      <c r="AA1664" t="s">
        <v>251</v>
      </c>
      <c r="AB1664" t="s">
        <v>10</v>
      </c>
      <c r="AC1664">
        <v>0</v>
      </c>
      <c r="AD1664">
        <v>0</v>
      </c>
      <c r="AE1664">
        <v>9442812201</v>
      </c>
      <c r="AF1664">
        <v>3154.51</v>
      </c>
      <c r="AG1664">
        <v>0</v>
      </c>
      <c r="AH1664">
        <v>0</v>
      </c>
      <c r="AI1664">
        <v>3154.51</v>
      </c>
      <c r="AJ1664" t="s">
        <v>2</v>
      </c>
      <c r="AK1664" t="s">
        <v>11</v>
      </c>
    </row>
    <row r="1665" spans="1:37">
      <c r="A1665">
        <v>257854</v>
      </c>
      <c r="B1665" s="1">
        <v>45366</v>
      </c>
      <c r="C1665" t="s">
        <v>2515</v>
      </c>
      <c r="D1665" t="s">
        <v>2516</v>
      </c>
      <c r="E1665" t="s">
        <v>2</v>
      </c>
      <c r="F1665" t="s">
        <v>2517</v>
      </c>
      <c r="G1665" t="s">
        <v>535</v>
      </c>
      <c r="H1665">
        <v>30093</v>
      </c>
      <c r="I1665" t="s">
        <v>2518</v>
      </c>
      <c r="J1665" t="s">
        <v>2519</v>
      </c>
      <c r="K1665" t="s">
        <v>2</v>
      </c>
      <c r="L1665" t="s">
        <v>2517</v>
      </c>
      <c r="M1665" t="s">
        <v>535</v>
      </c>
      <c r="N1665">
        <v>30093</v>
      </c>
      <c r="O1665" t="s">
        <v>2520</v>
      </c>
      <c r="P1665" t="s">
        <v>2521</v>
      </c>
      <c r="Q1665" t="s">
        <v>21</v>
      </c>
      <c r="R1665">
        <v>415108</v>
      </c>
      <c r="S1665" t="s">
        <v>2451</v>
      </c>
      <c r="T1665" s="2">
        <v>12</v>
      </c>
      <c r="U1665">
        <v>0</v>
      </c>
      <c r="V1665" t="s">
        <v>260</v>
      </c>
      <c r="W1665">
        <v>1</v>
      </c>
      <c r="X1665">
        <v>1</v>
      </c>
      <c r="Y1665">
        <v>0</v>
      </c>
      <c r="Z1665" t="s">
        <v>183</v>
      </c>
      <c r="AA1665" t="s">
        <v>184</v>
      </c>
      <c r="AB1665" t="s">
        <v>14</v>
      </c>
      <c r="AC1665">
        <v>25</v>
      </c>
      <c r="AD1665">
        <v>25</v>
      </c>
      <c r="AE1665">
        <v>9442812201</v>
      </c>
      <c r="AF1665">
        <v>3154.51</v>
      </c>
      <c r="AG1665">
        <v>0</v>
      </c>
      <c r="AH1665">
        <v>0</v>
      </c>
      <c r="AI1665">
        <v>3154.51</v>
      </c>
      <c r="AJ1665" t="s">
        <v>2</v>
      </c>
      <c r="AK1665" t="s">
        <v>11</v>
      </c>
    </row>
    <row r="1666" spans="1:37">
      <c r="A1666">
        <v>257855</v>
      </c>
      <c r="B1666" s="1">
        <v>45366</v>
      </c>
      <c r="C1666" t="s">
        <v>531</v>
      </c>
      <c r="D1666" t="s">
        <v>532</v>
      </c>
      <c r="E1666" t="s">
        <v>533</v>
      </c>
      <c r="F1666" t="s">
        <v>534</v>
      </c>
      <c r="G1666" t="s">
        <v>535</v>
      </c>
      <c r="H1666">
        <v>30144</v>
      </c>
      <c r="I1666" t="s">
        <v>2528</v>
      </c>
      <c r="J1666" t="s">
        <v>2529</v>
      </c>
      <c r="K1666" t="s">
        <v>2</v>
      </c>
      <c r="L1666" t="s">
        <v>2530</v>
      </c>
      <c r="M1666" t="s">
        <v>535</v>
      </c>
      <c r="N1666">
        <v>30144</v>
      </c>
      <c r="O1666" t="s">
        <v>541</v>
      </c>
      <c r="P1666">
        <v>2277669</v>
      </c>
      <c r="Q1666" t="s">
        <v>38</v>
      </c>
      <c r="R1666">
        <v>415173</v>
      </c>
      <c r="S1666" t="s">
        <v>2451</v>
      </c>
      <c r="T1666" s="2">
        <v>21</v>
      </c>
      <c r="U1666">
        <v>0</v>
      </c>
      <c r="V1666" t="s">
        <v>153</v>
      </c>
      <c r="W1666">
        <v>0</v>
      </c>
      <c r="X1666">
        <v>0</v>
      </c>
      <c r="Y1666">
        <v>0</v>
      </c>
      <c r="Z1666" t="s">
        <v>9</v>
      </c>
      <c r="AA1666" t="s">
        <v>2</v>
      </c>
      <c r="AB1666" t="s">
        <v>10</v>
      </c>
      <c r="AC1666">
        <v>0</v>
      </c>
      <c r="AD1666">
        <v>0</v>
      </c>
      <c r="AE1666">
        <v>9442814312</v>
      </c>
      <c r="AF1666">
        <v>10831.03</v>
      </c>
      <c r="AG1666">
        <v>0</v>
      </c>
      <c r="AH1666">
        <v>0</v>
      </c>
      <c r="AI1666">
        <v>10831.03</v>
      </c>
      <c r="AJ1666" t="s">
        <v>2</v>
      </c>
      <c r="AK1666" t="s">
        <v>11</v>
      </c>
    </row>
    <row r="1667" spans="1:37">
      <c r="A1667">
        <v>257855</v>
      </c>
      <c r="B1667" s="1">
        <v>45366</v>
      </c>
      <c r="C1667" t="s">
        <v>531</v>
      </c>
      <c r="D1667" t="s">
        <v>532</v>
      </c>
      <c r="E1667" t="s">
        <v>533</v>
      </c>
      <c r="F1667" t="s">
        <v>534</v>
      </c>
      <c r="G1667" t="s">
        <v>535</v>
      </c>
      <c r="H1667">
        <v>30144</v>
      </c>
      <c r="I1667" t="s">
        <v>2528</v>
      </c>
      <c r="J1667" t="s">
        <v>2529</v>
      </c>
      <c r="K1667" t="s">
        <v>2</v>
      </c>
      <c r="L1667" t="s">
        <v>2530</v>
      </c>
      <c r="M1667" t="s">
        <v>535</v>
      </c>
      <c r="N1667">
        <v>30144</v>
      </c>
      <c r="O1667" t="s">
        <v>541</v>
      </c>
      <c r="P1667">
        <v>2277669</v>
      </c>
      <c r="Q1667" t="s">
        <v>38</v>
      </c>
      <c r="R1667">
        <v>415173</v>
      </c>
      <c r="S1667" t="s">
        <v>2451</v>
      </c>
      <c r="T1667" s="2">
        <v>21</v>
      </c>
      <c r="U1667">
        <v>0</v>
      </c>
      <c r="V1667" t="s">
        <v>153</v>
      </c>
      <c r="W1667">
        <v>1</v>
      </c>
      <c r="X1667">
        <v>1</v>
      </c>
      <c r="Y1667">
        <v>0</v>
      </c>
      <c r="Z1667" t="s">
        <v>2531</v>
      </c>
      <c r="AA1667" t="s">
        <v>2532</v>
      </c>
      <c r="AB1667" t="s">
        <v>14</v>
      </c>
      <c r="AC1667">
        <v>995.46</v>
      </c>
      <c r="AD1667">
        <v>995.46</v>
      </c>
      <c r="AE1667">
        <v>9442814312</v>
      </c>
      <c r="AF1667">
        <v>10831.03</v>
      </c>
      <c r="AG1667">
        <v>0</v>
      </c>
      <c r="AH1667">
        <v>0</v>
      </c>
      <c r="AI1667">
        <v>10831.03</v>
      </c>
      <c r="AJ1667" t="s">
        <v>2</v>
      </c>
      <c r="AK1667" t="s">
        <v>11</v>
      </c>
    </row>
    <row r="1668" spans="1:37">
      <c r="A1668">
        <v>257855</v>
      </c>
      <c r="B1668" s="1">
        <v>45366</v>
      </c>
      <c r="C1668" t="s">
        <v>531</v>
      </c>
      <c r="D1668" t="s">
        <v>532</v>
      </c>
      <c r="E1668" t="s">
        <v>533</v>
      </c>
      <c r="F1668" t="s">
        <v>534</v>
      </c>
      <c r="G1668" t="s">
        <v>535</v>
      </c>
      <c r="H1668">
        <v>30144</v>
      </c>
      <c r="I1668" t="s">
        <v>2528</v>
      </c>
      <c r="J1668" t="s">
        <v>2529</v>
      </c>
      <c r="K1668" t="s">
        <v>2</v>
      </c>
      <c r="L1668" t="s">
        <v>2530</v>
      </c>
      <c r="M1668" t="s">
        <v>535</v>
      </c>
      <c r="N1668">
        <v>30144</v>
      </c>
      <c r="O1668" t="s">
        <v>541</v>
      </c>
      <c r="P1668">
        <v>2277669</v>
      </c>
      <c r="Q1668" t="s">
        <v>38</v>
      </c>
      <c r="R1668">
        <v>415173</v>
      </c>
      <c r="S1668" t="s">
        <v>2451</v>
      </c>
      <c r="T1668" s="2">
        <v>21</v>
      </c>
      <c r="U1668">
        <v>0</v>
      </c>
      <c r="V1668" t="s">
        <v>153</v>
      </c>
      <c r="W1668">
        <v>0</v>
      </c>
      <c r="X1668">
        <v>0</v>
      </c>
      <c r="Y1668">
        <v>0</v>
      </c>
      <c r="Z1668" t="s">
        <v>88</v>
      </c>
      <c r="AA1668" t="s">
        <v>251</v>
      </c>
      <c r="AB1668" t="s">
        <v>10</v>
      </c>
      <c r="AC1668">
        <v>0</v>
      </c>
      <c r="AD1668">
        <v>0</v>
      </c>
      <c r="AE1668">
        <v>9442814312</v>
      </c>
      <c r="AF1668">
        <v>10831.03</v>
      </c>
      <c r="AG1668">
        <v>0</v>
      </c>
      <c r="AH1668">
        <v>0</v>
      </c>
      <c r="AI1668">
        <v>10831.03</v>
      </c>
      <c r="AJ1668" t="s">
        <v>2</v>
      </c>
      <c r="AK1668" t="s">
        <v>11</v>
      </c>
    </row>
    <row r="1669" spans="1:37">
      <c r="A1669">
        <v>257855</v>
      </c>
      <c r="B1669" s="1">
        <v>45366</v>
      </c>
      <c r="C1669" t="s">
        <v>531</v>
      </c>
      <c r="D1669" t="s">
        <v>532</v>
      </c>
      <c r="E1669" t="s">
        <v>533</v>
      </c>
      <c r="F1669" t="s">
        <v>534</v>
      </c>
      <c r="G1669" t="s">
        <v>535</v>
      </c>
      <c r="H1669">
        <v>30144</v>
      </c>
      <c r="I1669" t="s">
        <v>2528</v>
      </c>
      <c r="J1669" t="s">
        <v>2529</v>
      </c>
      <c r="K1669" t="s">
        <v>2</v>
      </c>
      <c r="L1669" t="s">
        <v>2530</v>
      </c>
      <c r="M1669" t="s">
        <v>535</v>
      </c>
      <c r="N1669">
        <v>30144</v>
      </c>
      <c r="O1669" t="s">
        <v>541</v>
      </c>
      <c r="P1669">
        <v>2277669</v>
      </c>
      <c r="Q1669" t="s">
        <v>38</v>
      </c>
      <c r="R1669">
        <v>415173</v>
      </c>
      <c r="S1669" t="s">
        <v>2451</v>
      </c>
      <c r="T1669" s="2">
        <v>21</v>
      </c>
      <c r="U1669">
        <v>0</v>
      </c>
      <c r="V1669" t="s">
        <v>153</v>
      </c>
      <c r="W1669">
        <v>2</v>
      </c>
      <c r="X1669">
        <v>2</v>
      </c>
      <c r="Y1669">
        <v>0</v>
      </c>
      <c r="Z1669" t="s">
        <v>2533</v>
      </c>
      <c r="AA1669" t="s">
        <v>2534</v>
      </c>
      <c r="AB1669" t="s">
        <v>14</v>
      </c>
      <c r="AC1669">
        <v>995.46</v>
      </c>
      <c r="AD1669">
        <v>1990.92</v>
      </c>
      <c r="AE1669">
        <v>9442814312</v>
      </c>
      <c r="AF1669">
        <v>10831.03</v>
      </c>
      <c r="AG1669">
        <v>0</v>
      </c>
      <c r="AH1669">
        <v>0</v>
      </c>
      <c r="AI1669">
        <v>10831.03</v>
      </c>
      <c r="AJ1669" t="s">
        <v>2</v>
      </c>
      <c r="AK1669" t="s">
        <v>11</v>
      </c>
    </row>
    <row r="1670" spans="1:37">
      <c r="A1670">
        <v>257855</v>
      </c>
      <c r="B1670" s="1">
        <v>45366</v>
      </c>
      <c r="C1670" t="s">
        <v>531</v>
      </c>
      <c r="D1670" t="s">
        <v>532</v>
      </c>
      <c r="E1670" t="s">
        <v>533</v>
      </c>
      <c r="F1670" t="s">
        <v>534</v>
      </c>
      <c r="G1670" t="s">
        <v>535</v>
      </c>
      <c r="H1670">
        <v>30144</v>
      </c>
      <c r="I1670" t="s">
        <v>2528</v>
      </c>
      <c r="J1670" t="s">
        <v>2529</v>
      </c>
      <c r="K1670" t="s">
        <v>2</v>
      </c>
      <c r="L1670" t="s">
        <v>2530</v>
      </c>
      <c r="M1670" t="s">
        <v>535</v>
      </c>
      <c r="N1670">
        <v>30144</v>
      </c>
      <c r="O1670" t="s">
        <v>541</v>
      </c>
      <c r="P1670">
        <v>2277669</v>
      </c>
      <c r="Q1670" t="s">
        <v>38</v>
      </c>
      <c r="R1670">
        <v>415173</v>
      </c>
      <c r="S1670" t="s">
        <v>2451</v>
      </c>
      <c r="T1670" s="2">
        <v>21</v>
      </c>
      <c r="U1670">
        <v>0</v>
      </c>
      <c r="V1670" t="s">
        <v>153</v>
      </c>
      <c r="W1670">
        <v>0</v>
      </c>
      <c r="X1670">
        <v>0</v>
      </c>
      <c r="Y1670">
        <v>0</v>
      </c>
      <c r="Z1670" t="s">
        <v>88</v>
      </c>
      <c r="AA1670" t="s">
        <v>251</v>
      </c>
      <c r="AB1670" t="s">
        <v>10</v>
      </c>
      <c r="AC1670">
        <v>0</v>
      </c>
      <c r="AD1670">
        <v>0</v>
      </c>
      <c r="AE1670">
        <v>9442814312</v>
      </c>
      <c r="AF1670">
        <v>10831.03</v>
      </c>
      <c r="AG1670">
        <v>0</v>
      </c>
      <c r="AH1670">
        <v>0</v>
      </c>
      <c r="AI1670">
        <v>10831.03</v>
      </c>
      <c r="AJ1670" t="s">
        <v>2</v>
      </c>
      <c r="AK1670" t="s">
        <v>11</v>
      </c>
    </row>
    <row r="1671" spans="1:37">
      <c r="A1671">
        <v>257855</v>
      </c>
      <c r="B1671" s="1">
        <v>45366</v>
      </c>
      <c r="C1671" t="s">
        <v>531</v>
      </c>
      <c r="D1671" t="s">
        <v>532</v>
      </c>
      <c r="E1671" t="s">
        <v>533</v>
      </c>
      <c r="F1671" t="s">
        <v>534</v>
      </c>
      <c r="G1671" t="s">
        <v>535</v>
      </c>
      <c r="H1671">
        <v>30144</v>
      </c>
      <c r="I1671" t="s">
        <v>2528</v>
      </c>
      <c r="J1671" t="s">
        <v>2529</v>
      </c>
      <c r="K1671" t="s">
        <v>2</v>
      </c>
      <c r="L1671" t="s">
        <v>2530</v>
      </c>
      <c r="M1671" t="s">
        <v>535</v>
      </c>
      <c r="N1671">
        <v>30144</v>
      </c>
      <c r="O1671" t="s">
        <v>541</v>
      </c>
      <c r="P1671">
        <v>2277669</v>
      </c>
      <c r="Q1671" t="s">
        <v>38</v>
      </c>
      <c r="R1671">
        <v>415173</v>
      </c>
      <c r="S1671" t="s">
        <v>2451</v>
      </c>
      <c r="T1671" s="2">
        <v>21</v>
      </c>
      <c r="U1671">
        <v>0</v>
      </c>
      <c r="V1671" t="s">
        <v>153</v>
      </c>
      <c r="W1671">
        <v>5</v>
      </c>
      <c r="X1671">
        <v>4</v>
      </c>
      <c r="Y1671">
        <v>1</v>
      </c>
      <c r="Z1671" t="s">
        <v>2498</v>
      </c>
      <c r="AA1671" t="s">
        <v>2499</v>
      </c>
      <c r="AB1671" t="s">
        <v>14</v>
      </c>
      <c r="AC1671">
        <v>779.6</v>
      </c>
      <c r="AD1671">
        <v>3118.4</v>
      </c>
      <c r="AE1671">
        <v>9442814312</v>
      </c>
      <c r="AF1671">
        <v>10831.03</v>
      </c>
      <c r="AG1671">
        <v>0</v>
      </c>
      <c r="AH1671">
        <v>0</v>
      </c>
      <c r="AI1671">
        <v>10831.03</v>
      </c>
      <c r="AJ1671" t="s">
        <v>2</v>
      </c>
      <c r="AK1671" t="s">
        <v>11</v>
      </c>
    </row>
    <row r="1672" spans="1:37">
      <c r="A1672">
        <v>257855</v>
      </c>
      <c r="B1672" s="1">
        <v>45366</v>
      </c>
      <c r="C1672" t="s">
        <v>531</v>
      </c>
      <c r="D1672" t="s">
        <v>532</v>
      </c>
      <c r="E1672" t="s">
        <v>533</v>
      </c>
      <c r="F1672" t="s">
        <v>534</v>
      </c>
      <c r="G1672" t="s">
        <v>535</v>
      </c>
      <c r="H1672">
        <v>30144</v>
      </c>
      <c r="I1672" t="s">
        <v>2528</v>
      </c>
      <c r="J1672" t="s">
        <v>2529</v>
      </c>
      <c r="K1672" t="s">
        <v>2</v>
      </c>
      <c r="L1672" t="s">
        <v>2530</v>
      </c>
      <c r="M1672" t="s">
        <v>535</v>
      </c>
      <c r="N1672">
        <v>30144</v>
      </c>
      <c r="O1672" t="s">
        <v>541</v>
      </c>
      <c r="P1672">
        <v>2277669</v>
      </c>
      <c r="Q1672" t="s">
        <v>38</v>
      </c>
      <c r="R1672">
        <v>415173</v>
      </c>
      <c r="S1672" t="s">
        <v>2451</v>
      </c>
      <c r="T1672" s="2">
        <v>21</v>
      </c>
      <c r="U1672">
        <v>0</v>
      </c>
      <c r="V1672" t="s">
        <v>153</v>
      </c>
      <c r="W1672">
        <v>0</v>
      </c>
      <c r="X1672">
        <v>0</v>
      </c>
      <c r="Y1672">
        <v>0</v>
      </c>
      <c r="Z1672" t="s">
        <v>88</v>
      </c>
      <c r="AA1672" t="s">
        <v>196</v>
      </c>
      <c r="AB1672" t="s">
        <v>10</v>
      </c>
      <c r="AC1672">
        <v>0</v>
      </c>
      <c r="AD1672">
        <v>0</v>
      </c>
      <c r="AE1672">
        <v>9442814312</v>
      </c>
      <c r="AF1672">
        <v>10831.03</v>
      </c>
      <c r="AG1672">
        <v>0</v>
      </c>
      <c r="AH1672">
        <v>0</v>
      </c>
      <c r="AI1672">
        <v>10831.03</v>
      </c>
      <c r="AJ1672" t="s">
        <v>2</v>
      </c>
      <c r="AK1672" t="s">
        <v>11</v>
      </c>
    </row>
    <row r="1673" spans="1:37">
      <c r="A1673">
        <v>257855</v>
      </c>
      <c r="B1673" s="1">
        <v>45366</v>
      </c>
      <c r="C1673" t="s">
        <v>531</v>
      </c>
      <c r="D1673" t="s">
        <v>532</v>
      </c>
      <c r="E1673" t="s">
        <v>533</v>
      </c>
      <c r="F1673" t="s">
        <v>534</v>
      </c>
      <c r="G1673" t="s">
        <v>535</v>
      </c>
      <c r="H1673">
        <v>30144</v>
      </c>
      <c r="I1673" t="s">
        <v>2528</v>
      </c>
      <c r="J1673" t="s">
        <v>2529</v>
      </c>
      <c r="K1673" t="s">
        <v>2</v>
      </c>
      <c r="L1673" t="s">
        <v>2530</v>
      </c>
      <c r="M1673" t="s">
        <v>535</v>
      </c>
      <c r="N1673">
        <v>30144</v>
      </c>
      <c r="O1673" t="s">
        <v>541</v>
      </c>
      <c r="P1673">
        <v>2277669</v>
      </c>
      <c r="Q1673" t="s">
        <v>38</v>
      </c>
      <c r="R1673">
        <v>415173</v>
      </c>
      <c r="S1673" t="s">
        <v>2451</v>
      </c>
      <c r="T1673" s="2">
        <v>21</v>
      </c>
      <c r="U1673">
        <v>0</v>
      </c>
      <c r="V1673" t="s">
        <v>153</v>
      </c>
      <c r="W1673">
        <v>2</v>
      </c>
      <c r="X1673">
        <v>2</v>
      </c>
      <c r="Y1673">
        <v>0</v>
      </c>
      <c r="Z1673" t="s">
        <v>2535</v>
      </c>
      <c r="AA1673" t="s">
        <v>2536</v>
      </c>
      <c r="AB1673" t="s">
        <v>14</v>
      </c>
      <c r="AC1673">
        <v>1396.36</v>
      </c>
      <c r="AD1673">
        <v>2792.72</v>
      </c>
      <c r="AE1673">
        <v>9442814312</v>
      </c>
      <c r="AF1673">
        <v>10831.03</v>
      </c>
      <c r="AG1673">
        <v>0</v>
      </c>
      <c r="AH1673">
        <v>0</v>
      </c>
      <c r="AI1673">
        <v>10831.03</v>
      </c>
      <c r="AJ1673" t="s">
        <v>2</v>
      </c>
      <c r="AK1673" t="s">
        <v>11</v>
      </c>
    </row>
    <row r="1674" spans="1:37">
      <c r="A1674">
        <v>257855</v>
      </c>
      <c r="B1674" s="1">
        <v>45366</v>
      </c>
      <c r="C1674" t="s">
        <v>531</v>
      </c>
      <c r="D1674" t="s">
        <v>532</v>
      </c>
      <c r="E1674" t="s">
        <v>533</v>
      </c>
      <c r="F1674" t="s">
        <v>534</v>
      </c>
      <c r="G1674" t="s">
        <v>535</v>
      </c>
      <c r="H1674">
        <v>30144</v>
      </c>
      <c r="I1674" t="s">
        <v>2528</v>
      </c>
      <c r="J1674" t="s">
        <v>2529</v>
      </c>
      <c r="K1674" t="s">
        <v>2</v>
      </c>
      <c r="L1674" t="s">
        <v>2530</v>
      </c>
      <c r="M1674" t="s">
        <v>535</v>
      </c>
      <c r="N1674">
        <v>30144</v>
      </c>
      <c r="O1674" t="s">
        <v>541</v>
      </c>
      <c r="P1674">
        <v>2277669</v>
      </c>
      <c r="Q1674" t="s">
        <v>38</v>
      </c>
      <c r="R1674">
        <v>415173</v>
      </c>
      <c r="S1674" t="s">
        <v>2451</v>
      </c>
      <c r="T1674" s="2">
        <v>21</v>
      </c>
      <c r="U1674">
        <v>0</v>
      </c>
      <c r="V1674" t="s">
        <v>153</v>
      </c>
      <c r="W1674">
        <v>0</v>
      </c>
      <c r="X1674">
        <v>0</v>
      </c>
      <c r="Y1674">
        <v>0</v>
      </c>
      <c r="Z1674" t="s">
        <v>88</v>
      </c>
      <c r="AA1674" t="s">
        <v>116</v>
      </c>
      <c r="AB1674" t="s">
        <v>10</v>
      </c>
      <c r="AC1674">
        <v>0</v>
      </c>
      <c r="AD1674">
        <v>0</v>
      </c>
      <c r="AE1674">
        <v>9442814312</v>
      </c>
      <c r="AF1674">
        <v>10831.03</v>
      </c>
      <c r="AG1674">
        <v>0</v>
      </c>
      <c r="AH1674">
        <v>0</v>
      </c>
      <c r="AI1674">
        <v>10831.03</v>
      </c>
      <c r="AJ1674" t="s">
        <v>2</v>
      </c>
      <c r="AK1674" t="s">
        <v>11</v>
      </c>
    </row>
    <row r="1675" spans="1:37">
      <c r="A1675">
        <v>257855</v>
      </c>
      <c r="B1675" s="1">
        <v>45366</v>
      </c>
      <c r="C1675" t="s">
        <v>531</v>
      </c>
      <c r="D1675" t="s">
        <v>532</v>
      </c>
      <c r="E1675" t="s">
        <v>533</v>
      </c>
      <c r="F1675" t="s">
        <v>534</v>
      </c>
      <c r="G1675" t="s">
        <v>535</v>
      </c>
      <c r="H1675">
        <v>30144</v>
      </c>
      <c r="I1675" t="s">
        <v>2528</v>
      </c>
      <c r="J1675" t="s">
        <v>2529</v>
      </c>
      <c r="K1675" t="s">
        <v>2</v>
      </c>
      <c r="L1675" t="s">
        <v>2530</v>
      </c>
      <c r="M1675" t="s">
        <v>535</v>
      </c>
      <c r="N1675">
        <v>30144</v>
      </c>
      <c r="O1675" t="s">
        <v>541</v>
      </c>
      <c r="P1675">
        <v>2277669</v>
      </c>
      <c r="Q1675" t="s">
        <v>38</v>
      </c>
      <c r="R1675">
        <v>415173</v>
      </c>
      <c r="S1675" t="s">
        <v>2451</v>
      </c>
      <c r="T1675" s="2">
        <v>21</v>
      </c>
      <c r="U1675">
        <v>0</v>
      </c>
      <c r="V1675" t="s">
        <v>153</v>
      </c>
      <c r="W1675">
        <v>3</v>
      </c>
      <c r="X1675">
        <v>2</v>
      </c>
      <c r="Y1675">
        <v>1</v>
      </c>
      <c r="Z1675" t="s">
        <v>2537</v>
      </c>
      <c r="AA1675" t="s">
        <v>391</v>
      </c>
      <c r="AB1675" t="s">
        <v>14</v>
      </c>
      <c r="AC1675">
        <v>320.52999999999997</v>
      </c>
      <c r="AD1675">
        <v>641.05999999999995</v>
      </c>
      <c r="AE1675">
        <v>9442814312</v>
      </c>
      <c r="AF1675">
        <v>10831.03</v>
      </c>
      <c r="AG1675">
        <v>0</v>
      </c>
      <c r="AH1675">
        <v>0</v>
      </c>
      <c r="AI1675">
        <v>10831.03</v>
      </c>
      <c r="AJ1675" t="s">
        <v>2</v>
      </c>
      <c r="AK1675" t="s">
        <v>11</v>
      </c>
    </row>
    <row r="1676" spans="1:37">
      <c r="A1676">
        <v>257855</v>
      </c>
      <c r="B1676" s="1">
        <v>45366</v>
      </c>
      <c r="C1676" t="s">
        <v>531</v>
      </c>
      <c r="D1676" t="s">
        <v>532</v>
      </c>
      <c r="E1676" t="s">
        <v>533</v>
      </c>
      <c r="F1676" t="s">
        <v>534</v>
      </c>
      <c r="G1676" t="s">
        <v>535</v>
      </c>
      <c r="H1676">
        <v>30144</v>
      </c>
      <c r="I1676" t="s">
        <v>2528</v>
      </c>
      <c r="J1676" t="s">
        <v>2529</v>
      </c>
      <c r="K1676" t="s">
        <v>2</v>
      </c>
      <c r="L1676" t="s">
        <v>2530</v>
      </c>
      <c r="M1676" t="s">
        <v>535</v>
      </c>
      <c r="N1676">
        <v>30144</v>
      </c>
      <c r="O1676" t="s">
        <v>541</v>
      </c>
      <c r="P1676">
        <v>2277669</v>
      </c>
      <c r="Q1676" t="s">
        <v>38</v>
      </c>
      <c r="R1676">
        <v>415173</v>
      </c>
      <c r="S1676" t="s">
        <v>2451</v>
      </c>
      <c r="T1676" s="2">
        <v>21</v>
      </c>
      <c r="U1676">
        <v>0</v>
      </c>
      <c r="V1676" t="s">
        <v>153</v>
      </c>
      <c r="W1676">
        <v>0</v>
      </c>
      <c r="X1676">
        <v>0</v>
      </c>
      <c r="Y1676">
        <v>0</v>
      </c>
      <c r="Z1676" t="s">
        <v>88</v>
      </c>
      <c r="AA1676" t="s">
        <v>144</v>
      </c>
      <c r="AB1676" t="s">
        <v>10</v>
      </c>
      <c r="AC1676">
        <v>0</v>
      </c>
      <c r="AD1676">
        <v>0</v>
      </c>
      <c r="AE1676">
        <v>9442814312</v>
      </c>
      <c r="AF1676">
        <v>10831.03</v>
      </c>
      <c r="AG1676">
        <v>0</v>
      </c>
      <c r="AH1676">
        <v>0</v>
      </c>
      <c r="AI1676">
        <v>10831.03</v>
      </c>
      <c r="AJ1676" t="s">
        <v>2</v>
      </c>
      <c r="AK1676" t="s">
        <v>11</v>
      </c>
    </row>
    <row r="1677" spans="1:37">
      <c r="A1677">
        <v>257855</v>
      </c>
      <c r="B1677" s="1">
        <v>45366</v>
      </c>
      <c r="C1677" t="s">
        <v>531</v>
      </c>
      <c r="D1677" t="s">
        <v>532</v>
      </c>
      <c r="E1677" t="s">
        <v>533</v>
      </c>
      <c r="F1677" t="s">
        <v>534</v>
      </c>
      <c r="G1677" t="s">
        <v>535</v>
      </c>
      <c r="H1677">
        <v>30144</v>
      </c>
      <c r="I1677" t="s">
        <v>2528</v>
      </c>
      <c r="J1677" t="s">
        <v>2529</v>
      </c>
      <c r="K1677" t="s">
        <v>2</v>
      </c>
      <c r="L1677" t="s">
        <v>2530</v>
      </c>
      <c r="M1677" t="s">
        <v>535</v>
      </c>
      <c r="N1677">
        <v>30144</v>
      </c>
      <c r="O1677" t="s">
        <v>541</v>
      </c>
      <c r="P1677">
        <v>2277669</v>
      </c>
      <c r="Q1677" t="s">
        <v>38</v>
      </c>
      <c r="R1677">
        <v>415173</v>
      </c>
      <c r="S1677" t="s">
        <v>2451</v>
      </c>
      <c r="T1677" s="2">
        <v>21</v>
      </c>
      <c r="U1677">
        <v>0</v>
      </c>
      <c r="V1677" t="s">
        <v>153</v>
      </c>
      <c r="W1677">
        <v>9</v>
      </c>
      <c r="X1677">
        <v>9</v>
      </c>
      <c r="Y1677">
        <v>0</v>
      </c>
      <c r="Z1677" t="s">
        <v>1099</v>
      </c>
      <c r="AA1677" t="s">
        <v>1100</v>
      </c>
      <c r="AB1677" t="s">
        <v>14</v>
      </c>
      <c r="AC1677">
        <v>140.83000000000001</v>
      </c>
      <c r="AD1677">
        <v>1267.47</v>
      </c>
      <c r="AE1677">
        <v>9442814312</v>
      </c>
      <c r="AF1677">
        <v>10831.03</v>
      </c>
      <c r="AG1677">
        <v>0</v>
      </c>
      <c r="AH1677">
        <v>0</v>
      </c>
      <c r="AI1677">
        <v>10831.03</v>
      </c>
      <c r="AJ1677" t="s">
        <v>2</v>
      </c>
      <c r="AK1677" t="s">
        <v>11</v>
      </c>
    </row>
    <row r="1678" spans="1:37">
      <c r="A1678">
        <v>257855</v>
      </c>
      <c r="B1678" s="1">
        <v>45366</v>
      </c>
      <c r="C1678" t="s">
        <v>531</v>
      </c>
      <c r="D1678" t="s">
        <v>532</v>
      </c>
      <c r="E1678" t="s">
        <v>533</v>
      </c>
      <c r="F1678" t="s">
        <v>534</v>
      </c>
      <c r="G1678" t="s">
        <v>535</v>
      </c>
      <c r="H1678">
        <v>30144</v>
      </c>
      <c r="I1678" t="s">
        <v>2528</v>
      </c>
      <c r="J1678" t="s">
        <v>2529</v>
      </c>
      <c r="K1678" t="s">
        <v>2</v>
      </c>
      <c r="L1678" t="s">
        <v>2530</v>
      </c>
      <c r="M1678" t="s">
        <v>535</v>
      </c>
      <c r="N1678">
        <v>30144</v>
      </c>
      <c r="O1678" t="s">
        <v>541</v>
      </c>
      <c r="P1678">
        <v>2277669</v>
      </c>
      <c r="Q1678" t="s">
        <v>38</v>
      </c>
      <c r="R1678">
        <v>415173</v>
      </c>
      <c r="S1678" t="s">
        <v>2451</v>
      </c>
      <c r="T1678" s="2">
        <v>21</v>
      </c>
      <c r="U1678">
        <v>0</v>
      </c>
      <c r="V1678" t="s">
        <v>153</v>
      </c>
      <c r="W1678">
        <v>0</v>
      </c>
      <c r="X1678">
        <v>0</v>
      </c>
      <c r="Y1678">
        <v>0</v>
      </c>
      <c r="Z1678" t="s">
        <v>88</v>
      </c>
      <c r="AA1678" t="s">
        <v>656</v>
      </c>
      <c r="AB1678" t="s">
        <v>10</v>
      </c>
      <c r="AC1678">
        <v>0</v>
      </c>
      <c r="AD1678">
        <v>0</v>
      </c>
      <c r="AE1678">
        <v>9442814312</v>
      </c>
      <c r="AF1678">
        <v>10831.03</v>
      </c>
      <c r="AG1678">
        <v>0</v>
      </c>
      <c r="AH1678">
        <v>0</v>
      </c>
      <c r="AI1678">
        <v>10831.03</v>
      </c>
      <c r="AJ1678" t="s">
        <v>2</v>
      </c>
      <c r="AK1678" t="s">
        <v>11</v>
      </c>
    </row>
    <row r="1679" spans="1:37">
      <c r="A1679">
        <v>257855</v>
      </c>
      <c r="B1679" s="1">
        <v>45366</v>
      </c>
      <c r="C1679" t="s">
        <v>531</v>
      </c>
      <c r="D1679" t="s">
        <v>532</v>
      </c>
      <c r="E1679" t="s">
        <v>533</v>
      </c>
      <c r="F1679" t="s">
        <v>534</v>
      </c>
      <c r="G1679" t="s">
        <v>535</v>
      </c>
      <c r="H1679">
        <v>30144</v>
      </c>
      <c r="I1679" t="s">
        <v>2528</v>
      </c>
      <c r="J1679" t="s">
        <v>2529</v>
      </c>
      <c r="K1679" t="s">
        <v>2</v>
      </c>
      <c r="L1679" t="s">
        <v>2530</v>
      </c>
      <c r="M1679" t="s">
        <v>535</v>
      </c>
      <c r="N1679">
        <v>30144</v>
      </c>
      <c r="O1679" t="s">
        <v>541</v>
      </c>
      <c r="P1679">
        <v>2277669</v>
      </c>
      <c r="Q1679" t="s">
        <v>38</v>
      </c>
      <c r="R1679">
        <v>415173</v>
      </c>
      <c r="S1679" t="s">
        <v>2451</v>
      </c>
      <c r="T1679" s="2">
        <v>21</v>
      </c>
      <c r="U1679">
        <v>0</v>
      </c>
      <c r="V1679" t="s">
        <v>153</v>
      </c>
      <c r="W1679">
        <v>1</v>
      </c>
      <c r="X1679">
        <v>1</v>
      </c>
      <c r="Y1679">
        <v>0</v>
      </c>
      <c r="Z1679" t="s">
        <v>183</v>
      </c>
      <c r="AA1679" t="s">
        <v>184</v>
      </c>
      <c r="AB1679" t="s">
        <v>14</v>
      </c>
      <c r="AC1679">
        <v>25</v>
      </c>
      <c r="AD1679">
        <v>25</v>
      </c>
      <c r="AE1679">
        <v>9442814312</v>
      </c>
      <c r="AF1679">
        <v>10831.03</v>
      </c>
      <c r="AG1679">
        <v>0</v>
      </c>
      <c r="AH1679">
        <v>0</v>
      </c>
      <c r="AI1679">
        <v>10831.03</v>
      </c>
      <c r="AJ1679" t="s">
        <v>2</v>
      </c>
      <c r="AK1679" t="s">
        <v>11</v>
      </c>
    </row>
    <row r="1680" spans="1:37">
      <c r="A1680">
        <v>257856</v>
      </c>
      <c r="B1680" s="1">
        <v>45366</v>
      </c>
      <c r="C1680" t="s">
        <v>792</v>
      </c>
      <c r="D1680" t="s">
        <v>793</v>
      </c>
      <c r="E1680" t="s">
        <v>794</v>
      </c>
      <c r="F1680" t="s">
        <v>795</v>
      </c>
      <c r="G1680" t="s">
        <v>67</v>
      </c>
      <c r="H1680">
        <v>75019</v>
      </c>
      <c r="I1680" t="s">
        <v>2538</v>
      </c>
      <c r="J1680" t="s">
        <v>2539</v>
      </c>
      <c r="K1680" t="s">
        <v>794</v>
      </c>
      <c r="L1680" t="s">
        <v>795</v>
      </c>
      <c r="M1680" t="s">
        <v>67</v>
      </c>
      <c r="N1680">
        <v>75019</v>
      </c>
      <c r="O1680" t="s">
        <v>799</v>
      </c>
      <c r="P1680">
        <v>2277093</v>
      </c>
      <c r="Q1680" t="s">
        <v>38</v>
      </c>
      <c r="R1680">
        <v>414984</v>
      </c>
      <c r="S1680" t="s">
        <v>2451</v>
      </c>
      <c r="T1680" s="2">
        <v>18</v>
      </c>
      <c r="U1680">
        <v>0</v>
      </c>
      <c r="V1680" t="s">
        <v>153</v>
      </c>
      <c r="W1680">
        <v>0</v>
      </c>
      <c r="X1680">
        <v>0</v>
      </c>
      <c r="Y1680">
        <v>0</v>
      </c>
      <c r="Z1680" t="s">
        <v>9</v>
      </c>
      <c r="AA1680" t="s">
        <v>2</v>
      </c>
      <c r="AB1680" t="s">
        <v>10</v>
      </c>
      <c r="AC1680">
        <v>0</v>
      </c>
      <c r="AD1680">
        <v>0</v>
      </c>
      <c r="AE1680">
        <v>9442813833</v>
      </c>
      <c r="AF1680">
        <v>4947.08</v>
      </c>
      <c r="AG1680">
        <v>0</v>
      </c>
      <c r="AH1680">
        <v>0</v>
      </c>
      <c r="AI1680">
        <v>4947.08</v>
      </c>
      <c r="AJ1680" t="s">
        <v>2</v>
      </c>
      <c r="AK1680" t="s">
        <v>11</v>
      </c>
    </row>
    <row r="1681" spans="1:37">
      <c r="A1681">
        <v>257856</v>
      </c>
      <c r="B1681" s="1">
        <v>45366</v>
      </c>
      <c r="C1681" t="s">
        <v>792</v>
      </c>
      <c r="D1681" t="s">
        <v>793</v>
      </c>
      <c r="E1681" t="s">
        <v>794</v>
      </c>
      <c r="F1681" t="s">
        <v>795</v>
      </c>
      <c r="G1681" t="s">
        <v>67</v>
      </c>
      <c r="H1681">
        <v>75019</v>
      </c>
      <c r="I1681" t="s">
        <v>2538</v>
      </c>
      <c r="J1681" t="s">
        <v>2539</v>
      </c>
      <c r="K1681" t="s">
        <v>794</v>
      </c>
      <c r="L1681" t="s">
        <v>795</v>
      </c>
      <c r="M1681" t="s">
        <v>67</v>
      </c>
      <c r="N1681">
        <v>75019</v>
      </c>
      <c r="O1681" t="s">
        <v>799</v>
      </c>
      <c r="P1681">
        <v>2277093</v>
      </c>
      <c r="Q1681" t="s">
        <v>38</v>
      </c>
      <c r="R1681">
        <v>414984</v>
      </c>
      <c r="S1681" t="s">
        <v>2451</v>
      </c>
      <c r="T1681" s="2">
        <v>18</v>
      </c>
      <c r="U1681">
        <v>0</v>
      </c>
      <c r="V1681" t="s">
        <v>153</v>
      </c>
      <c r="W1681">
        <v>3</v>
      </c>
      <c r="X1681">
        <v>3</v>
      </c>
      <c r="Y1681">
        <v>0</v>
      </c>
      <c r="Z1681" t="s">
        <v>2540</v>
      </c>
      <c r="AA1681" t="s">
        <v>2541</v>
      </c>
      <c r="AB1681" t="s">
        <v>14</v>
      </c>
      <c r="AC1681">
        <v>995.46</v>
      </c>
      <c r="AD1681">
        <v>2986.38</v>
      </c>
      <c r="AE1681">
        <v>9442813833</v>
      </c>
      <c r="AF1681">
        <v>4947.08</v>
      </c>
      <c r="AG1681">
        <v>0</v>
      </c>
      <c r="AH1681">
        <v>0</v>
      </c>
      <c r="AI1681">
        <v>4947.08</v>
      </c>
      <c r="AJ1681" t="s">
        <v>2</v>
      </c>
      <c r="AK1681" t="s">
        <v>11</v>
      </c>
    </row>
    <row r="1682" spans="1:37">
      <c r="A1682">
        <v>257856</v>
      </c>
      <c r="B1682" s="1">
        <v>45366</v>
      </c>
      <c r="C1682" t="s">
        <v>792</v>
      </c>
      <c r="D1682" t="s">
        <v>793</v>
      </c>
      <c r="E1682" t="s">
        <v>794</v>
      </c>
      <c r="F1682" t="s">
        <v>795</v>
      </c>
      <c r="G1682" t="s">
        <v>67</v>
      </c>
      <c r="H1682">
        <v>75019</v>
      </c>
      <c r="I1682" t="s">
        <v>2538</v>
      </c>
      <c r="J1682" t="s">
        <v>2539</v>
      </c>
      <c r="K1682" t="s">
        <v>794</v>
      </c>
      <c r="L1682" t="s">
        <v>795</v>
      </c>
      <c r="M1682" t="s">
        <v>67</v>
      </c>
      <c r="N1682">
        <v>75019</v>
      </c>
      <c r="O1682" t="s">
        <v>799</v>
      </c>
      <c r="P1682">
        <v>2277093</v>
      </c>
      <c r="Q1682" t="s">
        <v>38</v>
      </c>
      <c r="R1682">
        <v>414984</v>
      </c>
      <c r="S1682" t="s">
        <v>2451</v>
      </c>
      <c r="T1682" s="2">
        <v>18</v>
      </c>
      <c r="U1682">
        <v>0</v>
      </c>
      <c r="V1682" t="s">
        <v>153</v>
      </c>
      <c r="W1682">
        <v>0</v>
      </c>
      <c r="X1682">
        <v>0</v>
      </c>
      <c r="Y1682">
        <v>0</v>
      </c>
      <c r="Z1682" t="s">
        <v>88</v>
      </c>
      <c r="AA1682" t="s">
        <v>251</v>
      </c>
      <c r="AB1682" t="s">
        <v>10</v>
      </c>
      <c r="AC1682">
        <v>0</v>
      </c>
      <c r="AD1682">
        <v>0</v>
      </c>
      <c r="AE1682">
        <v>9442813833</v>
      </c>
      <c r="AF1682">
        <v>4947.08</v>
      </c>
      <c r="AG1682">
        <v>0</v>
      </c>
      <c r="AH1682">
        <v>0</v>
      </c>
      <c r="AI1682">
        <v>4947.08</v>
      </c>
      <c r="AJ1682" t="s">
        <v>2</v>
      </c>
      <c r="AK1682" t="s">
        <v>11</v>
      </c>
    </row>
    <row r="1683" spans="1:37">
      <c r="A1683">
        <v>257856</v>
      </c>
      <c r="B1683" s="1">
        <v>45366</v>
      </c>
      <c r="C1683" t="s">
        <v>792</v>
      </c>
      <c r="D1683" t="s">
        <v>793</v>
      </c>
      <c r="E1683" t="s">
        <v>794</v>
      </c>
      <c r="F1683" t="s">
        <v>795</v>
      </c>
      <c r="G1683" t="s">
        <v>67</v>
      </c>
      <c r="H1683">
        <v>75019</v>
      </c>
      <c r="I1683" t="s">
        <v>2538</v>
      </c>
      <c r="J1683" t="s">
        <v>2539</v>
      </c>
      <c r="K1683" t="s">
        <v>794</v>
      </c>
      <c r="L1683" t="s">
        <v>795</v>
      </c>
      <c r="M1683" t="s">
        <v>67</v>
      </c>
      <c r="N1683">
        <v>75019</v>
      </c>
      <c r="O1683" t="s">
        <v>799</v>
      </c>
      <c r="P1683">
        <v>2277093</v>
      </c>
      <c r="Q1683" t="s">
        <v>38</v>
      </c>
      <c r="R1683">
        <v>414984</v>
      </c>
      <c r="S1683" t="s">
        <v>2451</v>
      </c>
      <c r="T1683" s="2">
        <v>18</v>
      </c>
      <c r="U1683">
        <v>0</v>
      </c>
      <c r="V1683" t="s">
        <v>153</v>
      </c>
      <c r="W1683">
        <v>4</v>
      </c>
      <c r="X1683">
        <v>4</v>
      </c>
      <c r="Y1683">
        <v>0</v>
      </c>
      <c r="Z1683" t="s">
        <v>318</v>
      </c>
      <c r="AA1683" t="s">
        <v>319</v>
      </c>
      <c r="AB1683" t="s">
        <v>14</v>
      </c>
      <c r="AC1683">
        <v>131.85</v>
      </c>
      <c r="AD1683">
        <v>527.4</v>
      </c>
      <c r="AE1683">
        <v>9442813833</v>
      </c>
      <c r="AF1683">
        <v>4947.08</v>
      </c>
      <c r="AG1683">
        <v>0</v>
      </c>
      <c r="AH1683">
        <v>0</v>
      </c>
      <c r="AI1683">
        <v>4947.08</v>
      </c>
      <c r="AJ1683" t="s">
        <v>2</v>
      </c>
      <c r="AK1683" t="s">
        <v>11</v>
      </c>
    </row>
    <row r="1684" spans="1:37">
      <c r="A1684">
        <v>257856</v>
      </c>
      <c r="B1684" s="1">
        <v>45366</v>
      </c>
      <c r="C1684" t="s">
        <v>792</v>
      </c>
      <c r="D1684" t="s">
        <v>793</v>
      </c>
      <c r="E1684" t="s">
        <v>794</v>
      </c>
      <c r="F1684" t="s">
        <v>795</v>
      </c>
      <c r="G1684" t="s">
        <v>67</v>
      </c>
      <c r="H1684">
        <v>75019</v>
      </c>
      <c r="I1684" t="s">
        <v>2538</v>
      </c>
      <c r="J1684" t="s">
        <v>2539</v>
      </c>
      <c r="K1684" t="s">
        <v>794</v>
      </c>
      <c r="L1684" t="s">
        <v>795</v>
      </c>
      <c r="M1684" t="s">
        <v>67</v>
      </c>
      <c r="N1684">
        <v>75019</v>
      </c>
      <c r="O1684" t="s">
        <v>799</v>
      </c>
      <c r="P1684">
        <v>2277093</v>
      </c>
      <c r="Q1684" t="s">
        <v>38</v>
      </c>
      <c r="R1684">
        <v>414984</v>
      </c>
      <c r="S1684" t="s">
        <v>2451</v>
      </c>
      <c r="T1684" s="2">
        <v>18</v>
      </c>
      <c r="U1684">
        <v>0</v>
      </c>
      <c r="V1684" t="s">
        <v>153</v>
      </c>
      <c r="W1684">
        <v>0</v>
      </c>
      <c r="X1684">
        <v>0</v>
      </c>
      <c r="Y1684">
        <v>0</v>
      </c>
      <c r="Z1684" t="s">
        <v>88</v>
      </c>
      <c r="AA1684" t="s">
        <v>317</v>
      </c>
      <c r="AB1684" t="s">
        <v>10</v>
      </c>
      <c r="AC1684">
        <v>0</v>
      </c>
      <c r="AD1684">
        <v>0</v>
      </c>
      <c r="AE1684">
        <v>9442813833</v>
      </c>
      <c r="AF1684">
        <v>4947.08</v>
      </c>
      <c r="AG1684">
        <v>0</v>
      </c>
      <c r="AH1684">
        <v>0</v>
      </c>
      <c r="AI1684">
        <v>4947.08</v>
      </c>
      <c r="AJ1684" t="s">
        <v>2</v>
      </c>
      <c r="AK1684" t="s">
        <v>11</v>
      </c>
    </row>
    <row r="1685" spans="1:37">
      <c r="A1685">
        <v>257856</v>
      </c>
      <c r="B1685" s="1">
        <v>45366</v>
      </c>
      <c r="C1685" t="s">
        <v>792</v>
      </c>
      <c r="D1685" t="s">
        <v>793</v>
      </c>
      <c r="E1685" t="s">
        <v>794</v>
      </c>
      <c r="F1685" t="s">
        <v>795</v>
      </c>
      <c r="G1685" t="s">
        <v>67</v>
      </c>
      <c r="H1685">
        <v>75019</v>
      </c>
      <c r="I1685" t="s">
        <v>2538</v>
      </c>
      <c r="J1685" t="s">
        <v>2539</v>
      </c>
      <c r="K1685" t="s">
        <v>794</v>
      </c>
      <c r="L1685" t="s">
        <v>795</v>
      </c>
      <c r="M1685" t="s">
        <v>67</v>
      </c>
      <c r="N1685">
        <v>75019</v>
      </c>
      <c r="O1685" t="s">
        <v>799</v>
      </c>
      <c r="P1685">
        <v>2277093</v>
      </c>
      <c r="Q1685" t="s">
        <v>38</v>
      </c>
      <c r="R1685">
        <v>414984</v>
      </c>
      <c r="S1685" t="s">
        <v>2451</v>
      </c>
      <c r="T1685" s="2">
        <v>18</v>
      </c>
      <c r="U1685">
        <v>0</v>
      </c>
      <c r="V1685" t="s">
        <v>153</v>
      </c>
      <c r="W1685">
        <v>3</v>
      </c>
      <c r="X1685">
        <v>0</v>
      </c>
      <c r="Y1685">
        <v>3</v>
      </c>
      <c r="Z1685" t="s">
        <v>2542</v>
      </c>
      <c r="AA1685" t="s">
        <v>2543</v>
      </c>
      <c r="AB1685" t="s">
        <v>14</v>
      </c>
      <c r="AC1685">
        <v>494.88</v>
      </c>
      <c r="AD1685">
        <v>0</v>
      </c>
      <c r="AE1685">
        <v>9442813833</v>
      </c>
      <c r="AF1685">
        <v>4947.08</v>
      </c>
      <c r="AG1685">
        <v>0</v>
      </c>
      <c r="AH1685">
        <v>0</v>
      </c>
      <c r="AI1685">
        <v>4947.08</v>
      </c>
      <c r="AJ1685" t="s">
        <v>2</v>
      </c>
      <c r="AK1685" t="s">
        <v>11</v>
      </c>
    </row>
    <row r="1686" spans="1:37">
      <c r="A1686">
        <v>257856</v>
      </c>
      <c r="B1686" s="1">
        <v>45366</v>
      </c>
      <c r="C1686" t="s">
        <v>792</v>
      </c>
      <c r="D1686" t="s">
        <v>793</v>
      </c>
      <c r="E1686" t="s">
        <v>794</v>
      </c>
      <c r="F1686" t="s">
        <v>795</v>
      </c>
      <c r="G1686" t="s">
        <v>67</v>
      </c>
      <c r="H1686">
        <v>75019</v>
      </c>
      <c r="I1686" t="s">
        <v>2538</v>
      </c>
      <c r="J1686" t="s">
        <v>2539</v>
      </c>
      <c r="K1686" t="s">
        <v>794</v>
      </c>
      <c r="L1686" t="s">
        <v>795</v>
      </c>
      <c r="M1686" t="s">
        <v>67</v>
      </c>
      <c r="N1686">
        <v>75019</v>
      </c>
      <c r="O1686" t="s">
        <v>799</v>
      </c>
      <c r="P1686">
        <v>2277093</v>
      </c>
      <c r="Q1686" t="s">
        <v>38</v>
      </c>
      <c r="R1686">
        <v>414984</v>
      </c>
      <c r="S1686" t="s">
        <v>2451</v>
      </c>
      <c r="T1686" s="2">
        <v>18</v>
      </c>
      <c r="U1686">
        <v>0</v>
      </c>
      <c r="V1686" t="s">
        <v>153</v>
      </c>
      <c r="W1686">
        <v>0</v>
      </c>
      <c r="X1686">
        <v>0</v>
      </c>
      <c r="Y1686">
        <v>0</v>
      </c>
      <c r="Z1686" t="s">
        <v>88</v>
      </c>
      <c r="AA1686" t="s">
        <v>116</v>
      </c>
      <c r="AB1686" t="s">
        <v>10</v>
      </c>
      <c r="AC1686">
        <v>0</v>
      </c>
      <c r="AD1686">
        <v>0</v>
      </c>
      <c r="AE1686">
        <v>9442813833</v>
      </c>
      <c r="AF1686">
        <v>4947.08</v>
      </c>
      <c r="AG1686">
        <v>0</v>
      </c>
      <c r="AH1686">
        <v>0</v>
      </c>
      <c r="AI1686">
        <v>4947.08</v>
      </c>
      <c r="AJ1686" t="s">
        <v>2</v>
      </c>
      <c r="AK1686" t="s">
        <v>11</v>
      </c>
    </row>
    <row r="1687" spans="1:37">
      <c r="A1687">
        <v>257856</v>
      </c>
      <c r="B1687" s="1">
        <v>45366</v>
      </c>
      <c r="C1687" t="s">
        <v>792</v>
      </c>
      <c r="D1687" t="s">
        <v>793</v>
      </c>
      <c r="E1687" t="s">
        <v>794</v>
      </c>
      <c r="F1687" t="s">
        <v>795</v>
      </c>
      <c r="G1687" t="s">
        <v>67</v>
      </c>
      <c r="H1687">
        <v>75019</v>
      </c>
      <c r="I1687" t="s">
        <v>2538</v>
      </c>
      <c r="J1687" t="s">
        <v>2539</v>
      </c>
      <c r="K1687" t="s">
        <v>794</v>
      </c>
      <c r="L1687" t="s">
        <v>795</v>
      </c>
      <c r="M1687" t="s">
        <v>67</v>
      </c>
      <c r="N1687">
        <v>75019</v>
      </c>
      <c r="O1687" t="s">
        <v>799</v>
      </c>
      <c r="P1687">
        <v>2277093</v>
      </c>
      <c r="Q1687" t="s">
        <v>38</v>
      </c>
      <c r="R1687">
        <v>414984</v>
      </c>
      <c r="S1687" t="s">
        <v>2451</v>
      </c>
      <c r="T1687" s="2">
        <v>18</v>
      </c>
      <c r="U1687">
        <v>0</v>
      </c>
      <c r="V1687" t="s">
        <v>153</v>
      </c>
      <c r="W1687">
        <v>10</v>
      </c>
      <c r="X1687">
        <v>10</v>
      </c>
      <c r="Y1687">
        <v>0</v>
      </c>
      <c r="Z1687" t="s">
        <v>2544</v>
      </c>
      <c r="AA1687" t="s">
        <v>2545</v>
      </c>
      <c r="AB1687" t="s">
        <v>14</v>
      </c>
      <c r="AC1687">
        <v>140.83000000000001</v>
      </c>
      <c r="AD1687">
        <v>1408.3</v>
      </c>
      <c r="AE1687">
        <v>9442813833</v>
      </c>
      <c r="AF1687">
        <v>4947.08</v>
      </c>
      <c r="AG1687">
        <v>0</v>
      </c>
      <c r="AH1687">
        <v>0</v>
      </c>
      <c r="AI1687">
        <v>4947.08</v>
      </c>
      <c r="AJ1687" t="s">
        <v>2</v>
      </c>
      <c r="AK1687" t="s">
        <v>11</v>
      </c>
    </row>
    <row r="1688" spans="1:37">
      <c r="A1688">
        <v>257856</v>
      </c>
      <c r="B1688" s="1">
        <v>45366</v>
      </c>
      <c r="C1688" t="s">
        <v>792</v>
      </c>
      <c r="D1688" t="s">
        <v>793</v>
      </c>
      <c r="E1688" t="s">
        <v>794</v>
      </c>
      <c r="F1688" t="s">
        <v>795</v>
      </c>
      <c r="G1688" t="s">
        <v>67</v>
      </c>
      <c r="H1688">
        <v>75019</v>
      </c>
      <c r="I1688" t="s">
        <v>2538</v>
      </c>
      <c r="J1688" t="s">
        <v>2539</v>
      </c>
      <c r="K1688" t="s">
        <v>794</v>
      </c>
      <c r="L1688" t="s">
        <v>795</v>
      </c>
      <c r="M1688" t="s">
        <v>67</v>
      </c>
      <c r="N1688">
        <v>75019</v>
      </c>
      <c r="O1688" t="s">
        <v>799</v>
      </c>
      <c r="P1688">
        <v>2277093</v>
      </c>
      <c r="Q1688" t="s">
        <v>38</v>
      </c>
      <c r="R1688">
        <v>414984</v>
      </c>
      <c r="S1688" t="s">
        <v>2451</v>
      </c>
      <c r="T1688" s="2">
        <v>18</v>
      </c>
      <c r="U1688">
        <v>0</v>
      </c>
      <c r="V1688" t="s">
        <v>153</v>
      </c>
      <c r="W1688">
        <v>0</v>
      </c>
      <c r="X1688">
        <v>0</v>
      </c>
      <c r="Y1688">
        <v>0</v>
      </c>
      <c r="Z1688" t="s">
        <v>88</v>
      </c>
      <c r="AA1688" t="s">
        <v>656</v>
      </c>
      <c r="AB1688" t="s">
        <v>10</v>
      </c>
      <c r="AC1688">
        <v>0</v>
      </c>
      <c r="AD1688">
        <v>0</v>
      </c>
      <c r="AE1688">
        <v>9442813833</v>
      </c>
      <c r="AF1688">
        <v>4947.08</v>
      </c>
      <c r="AG1688">
        <v>0</v>
      </c>
      <c r="AH1688">
        <v>0</v>
      </c>
      <c r="AI1688">
        <v>4947.08</v>
      </c>
      <c r="AJ1688" t="s">
        <v>2</v>
      </c>
      <c r="AK1688" t="s">
        <v>11</v>
      </c>
    </row>
    <row r="1689" spans="1:37">
      <c r="A1689">
        <v>257856</v>
      </c>
      <c r="B1689" s="1">
        <v>45366</v>
      </c>
      <c r="C1689" t="s">
        <v>792</v>
      </c>
      <c r="D1689" t="s">
        <v>793</v>
      </c>
      <c r="E1689" t="s">
        <v>794</v>
      </c>
      <c r="F1689" t="s">
        <v>795</v>
      </c>
      <c r="G1689" t="s">
        <v>67</v>
      </c>
      <c r="H1689">
        <v>75019</v>
      </c>
      <c r="I1689" t="s">
        <v>2538</v>
      </c>
      <c r="J1689" t="s">
        <v>2539</v>
      </c>
      <c r="K1689" t="s">
        <v>794</v>
      </c>
      <c r="L1689" t="s">
        <v>795</v>
      </c>
      <c r="M1689" t="s">
        <v>67</v>
      </c>
      <c r="N1689">
        <v>75019</v>
      </c>
      <c r="O1689" t="s">
        <v>799</v>
      </c>
      <c r="P1689">
        <v>2277093</v>
      </c>
      <c r="Q1689" t="s">
        <v>38</v>
      </c>
      <c r="R1689">
        <v>414984</v>
      </c>
      <c r="S1689" t="s">
        <v>2451</v>
      </c>
      <c r="T1689" s="2">
        <v>18</v>
      </c>
      <c r="U1689">
        <v>0</v>
      </c>
      <c r="V1689" t="s">
        <v>153</v>
      </c>
      <c r="W1689">
        <v>1</v>
      </c>
      <c r="X1689">
        <v>1</v>
      </c>
      <c r="Y1689">
        <v>0</v>
      </c>
      <c r="Z1689" t="s">
        <v>183</v>
      </c>
      <c r="AA1689" t="s">
        <v>184</v>
      </c>
      <c r="AB1689" t="s">
        <v>14</v>
      </c>
      <c r="AC1689">
        <v>25</v>
      </c>
      <c r="AD1689">
        <v>25</v>
      </c>
      <c r="AE1689">
        <v>9442813833</v>
      </c>
      <c r="AF1689">
        <v>4947.08</v>
      </c>
      <c r="AG1689">
        <v>0</v>
      </c>
      <c r="AH1689">
        <v>0</v>
      </c>
      <c r="AI1689">
        <v>4947.08</v>
      </c>
      <c r="AJ1689" t="s">
        <v>2</v>
      </c>
      <c r="AK1689" t="s">
        <v>11</v>
      </c>
    </row>
    <row r="1690" spans="1:37">
      <c r="A1690">
        <v>257857</v>
      </c>
      <c r="B1690" s="1">
        <v>45366</v>
      </c>
      <c r="C1690" t="s">
        <v>792</v>
      </c>
      <c r="D1690" t="s">
        <v>793</v>
      </c>
      <c r="E1690" t="s">
        <v>794</v>
      </c>
      <c r="F1690" t="s">
        <v>795</v>
      </c>
      <c r="G1690" t="s">
        <v>67</v>
      </c>
      <c r="H1690">
        <v>75019</v>
      </c>
      <c r="I1690" t="s">
        <v>2538</v>
      </c>
      <c r="J1690" t="s">
        <v>2539</v>
      </c>
      <c r="K1690" t="s">
        <v>794</v>
      </c>
      <c r="L1690" t="s">
        <v>795</v>
      </c>
      <c r="M1690" t="s">
        <v>67</v>
      </c>
      <c r="N1690">
        <v>75019</v>
      </c>
      <c r="O1690" t="s">
        <v>799</v>
      </c>
      <c r="P1690">
        <v>2276860</v>
      </c>
      <c r="Q1690" t="s">
        <v>38</v>
      </c>
      <c r="R1690">
        <v>414884</v>
      </c>
      <c r="S1690" t="s">
        <v>2451</v>
      </c>
      <c r="T1690" s="2">
        <v>32</v>
      </c>
      <c r="U1690">
        <v>0</v>
      </c>
      <c r="V1690" t="s">
        <v>153</v>
      </c>
      <c r="W1690">
        <v>0</v>
      </c>
      <c r="X1690">
        <v>0</v>
      </c>
      <c r="Y1690">
        <v>0</v>
      </c>
      <c r="Z1690" t="s">
        <v>9</v>
      </c>
      <c r="AA1690" t="s">
        <v>2</v>
      </c>
      <c r="AB1690" t="s">
        <v>10</v>
      </c>
      <c r="AC1690">
        <v>0</v>
      </c>
      <c r="AD1690">
        <v>0</v>
      </c>
      <c r="AE1690">
        <v>9442814054</v>
      </c>
      <c r="AF1690">
        <v>19762.490000000002</v>
      </c>
      <c r="AG1690">
        <v>0</v>
      </c>
      <c r="AH1690">
        <v>0</v>
      </c>
      <c r="AI1690">
        <v>19762.490000000002</v>
      </c>
      <c r="AJ1690" t="s">
        <v>2</v>
      </c>
      <c r="AK1690" t="s">
        <v>11</v>
      </c>
    </row>
    <row r="1691" spans="1:37">
      <c r="A1691">
        <v>257857</v>
      </c>
      <c r="B1691" s="1">
        <v>45366</v>
      </c>
      <c r="C1691" t="s">
        <v>792</v>
      </c>
      <c r="D1691" t="s">
        <v>793</v>
      </c>
      <c r="E1691" t="s">
        <v>794</v>
      </c>
      <c r="F1691" t="s">
        <v>795</v>
      </c>
      <c r="G1691" t="s">
        <v>67</v>
      </c>
      <c r="H1691">
        <v>75019</v>
      </c>
      <c r="I1691" t="s">
        <v>2538</v>
      </c>
      <c r="J1691" t="s">
        <v>2539</v>
      </c>
      <c r="K1691" t="s">
        <v>794</v>
      </c>
      <c r="L1691" t="s">
        <v>795</v>
      </c>
      <c r="M1691" t="s">
        <v>67</v>
      </c>
      <c r="N1691">
        <v>75019</v>
      </c>
      <c r="O1691" t="s">
        <v>799</v>
      </c>
      <c r="P1691">
        <v>2276860</v>
      </c>
      <c r="Q1691" t="s">
        <v>38</v>
      </c>
      <c r="R1691">
        <v>414884</v>
      </c>
      <c r="S1691" t="s">
        <v>2451</v>
      </c>
      <c r="T1691" s="2">
        <v>32</v>
      </c>
      <c r="U1691">
        <v>0</v>
      </c>
      <c r="V1691" t="s">
        <v>153</v>
      </c>
      <c r="W1691">
        <v>25</v>
      </c>
      <c r="X1691">
        <v>25</v>
      </c>
      <c r="Y1691">
        <v>0</v>
      </c>
      <c r="Z1691" t="s">
        <v>2546</v>
      </c>
      <c r="AA1691" t="s">
        <v>2547</v>
      </c>
      <c r="AB1691" t="s">
        <v>14</v>
      </c>
      <c r="AC1691">
        <v>251.77</v>
      </c>
      <c r="AD1691">
        <v>6294.25</v>
      </c>
      <c r="AE1691">
        <v>9442814054</v>
      </c>
      <c r="AF1691">
        <v>19762.490000000002</v>
      </c>
      <c r="AG1691">
        <v>0</v>
      </c>
      <c r="AH1691">
        <v>0</v>
      </c>
      <c r="AI1691">
        <v>19762.490000000002</v>
      </c>
      <c r="AJ1691" t="s">
        <v>2</v>
      </c>
      <c r="AK1691" t="s">
        <v>11</v>
      </c>
    </row>
    <row r="1692" spans="1:37">
      <c r="A1692">
        <v>257857</v>
      </c>
      <c r="B1692" s="1">
        <v>45366</v>
      </c>
      <c r="C1692" t="s">
        <v>792</v>
      </c>
      <c r="D1692" t="s">
        <v>793</v>
      </c>
      <c r="E1692" t="s">
        <v>794</v>
      </c>
      <c r="F1692" t="s">
        <v>795</v>
      </c>
      <c r="G1692" t="s">
        <v>67</v>
      </c>
      <c r="H1692">
        <v>75019</v>
      </c>
      <c r="I1692" t="s">
        <v>2538</v>
      </c>
      <c r="J1692" t="s">
        <v>2539</v>
      </c>
      <c r="K1692" t="s">
        <v>794</v>
      </c>
      <c r="L1692" t="s">
        <v>795</v>
      </c>
      <c r="M1692" t="s">
        <v>67</v>
      </c>
      <c r="N1692">
        <v>75019</v>
      </c>
      <c r="O1692" t="s">
        <v>799</v>
      </c>
      <c r="P1692">
        <v>2276860</v>
      </c>
      <c r="Q1692" t="s">
        <v>38</v>
      </c>
      <c r="R1692">
        <v>414884</v>
      </c>
      <c r="S1692" t="s">
        <v>2451</v>
      </c>
      <c r="T1692" s="2">
        <v>32</v>
      </c>
      <c r="U1692">
        <v>0</v>
      </c>
      <c r="V1692" t="s">
        <v>153</v>
      </c>
      <c r="W1692">
        <v>0</v>
      </c>
      <c r="X1692">
        <v>0</v>
      </c>
      <c r="Y1692">
        <v>0</v>
      </c>
      <c r="Z1692" t="s">
        <v>88</v>
      </c>
      <c r="AA1692" t="s">
        <v>144</v>
      </c>
      <c r="AB1692" t="s">
        <v>10</v>
      </c>
      <c r="AC1692">
        <v>0</v>
      </c>
      <c r="AD1692">
        <v>0</v>
      </c>
      <c r="AE1692">
        <v>9442814054</v>
      </c>
      <c r="AF1692">
        <v>19762.490000000002</v>
      </c>
      <c r="AG1692">
        <v>0</v>
      </c>
      <c r="AH1692">
        <v>0</v>
      </c>
      <c r="AI1692">
        <v>19762.490000000002</v>
      </c>
      <c r="AJ1692" t="s">
        <v>2</v>
      </c>
      <c r="AK1692" t="s">
        <v>11</v>
      </c>
    </row>
    <row r="1693" spans="1:37">
      <c r="A1693">
        <v>257857</v>
      </c>
      <c r="B1693" s="1">
        <v>45366</v>
      </c>
      <c r="C1693" t="s">
        <v>792</v>
      </c>
      <c r="D1693" t="s">
        <v>793</v>
      </c>
      <c r="E1693" t="s">
        <v>794</v>
      </c>
      <c r="F1693" t="s">
        <v>795</v>
      </c>
      <c r="G1693" t="s">
        <v>67</v>
      </c>
      <c r="H1693">
        <v>75019</v>
      </c>
      <c r="I1693" t="s">
        <v>2538</v>
      </c>
      <c r="J1693" t="s">
        <v>2539</v>
      </c>
      <c r="K1693" t="s">
        <v>794</v>
      </c>
      <c r="L1693" t="s">
        <v>795</v>
      </c>
      <c r="M1693" t="s">
        <v>67</v>
      </c>
      <c r="N1693">
        <v>75019</v>
      </c>
      <c r="O1693" t="s">
        <v>799</v>
      </c>
      <c r="P1693">
        <v>2276860</v>
      </c>
      <c r="Q1693" t="s">
        <v>38</v>
      </c>
      <c r="R1693">
        <v>414884</v>
      </c>
      <c r="S1693" t="s">
        <v>2451</v>
      </c>
      <c r="T1693" s="2">
        <v>32</v>
      </c>
      <c r="U1693">
        <v>0</v>
      </c>
      <c r="V1693" t="s">
        <v>153</v>
      </c>
      <c r="W1693">
        <v>5</v>
      </c>
      <c r="X1693">
        <v>4</v>
      </c>
      <c r="Y1693">
        <v>1</v>
      </c>
      <c r="Z1693" t="s">
        <v>2548</v>
      </c>
      <c r="AA1693" t="s">
        <v>2549</v>
      </c>
      <c r="AB1693" t="s">
        <v>14</v>
      </c>
      <c r="AC1693">
        <v>2240.54</v>
      </c>
      <c r="AD1693">
        <v>8962.16</v>
      </c>
      <c r="AE1693">
        <v>9442814054</v>
      </c>
      <c r="AF1693">
        <v>19762.490000000002</v>
      </c>
      <c r="AG1693">
        <v>0</v>
      </c>
      <c r="AH1693">
        <v>0</v>
      </c>
      <c r="AI1693">
        <v>19762.490000000002</v>
      </c>
      <c r="AJ1693" t="s">
        <v>2</v>
      </c>
      <c r="AK1693" t="s">
        <v>11</v>
      </c>
    </row>
    <row r="1694" spans="1:37">
      <c r="A1694">
        <v>257857</v>
      </c>
      <c r="B1694" s="1">
        <v>45366</v>
      </c>
      <c r="C1694" t="s">
        <v>792</v>
      </c>
      <c r="D1694" t="s">
        <v>793</v>
      </c>
      <c r="E1694" t="s">
        <v>794</v>
      </c>
      <c r="F1694" t="s">
        <v>795</v>
      </c>
      <c r="G1694" t="s">
        <v>67</v>
      </c>
      <c r="H1694">
        <v>75019</v>
      </c>
      <c r="I1694" t="s">
        <v>2538</v>
      </c>
      <c r="J1694" t="s">
        <v>2539</v>
      </c>
      <c r="K1694" t="s">
        <v>794</v>
      </c>
      <c r="L1694" t="s">
        <v>795</v>
      </c>
      <c r="M1694" t="s">
        <v>67</v>
      </c>
      <c r="N1694">
        <v>75019</v>
      </c>
      <c r="O1694" t="s">
        <v>799</v>
      </c>
      <c r="P1694">
        <v>2276860</v>
      </c>
      <c r="Q1694" t="s">
        <v>38</v>
      </c>
      <c r="R1694">
        <v>414884</v>
      </c>
      <c r="S1694" t="s">
        <v>2451</v>
      </c>
      <c r="T1694" s="2">
        <v>32</v>
      </c>
      <c r="U1694">
        <v>0</v>
      </c>
      <c r="V1694" t="s">
        <v>153</v>
      </c>
      <c r="W1694">
        <v>0</v>
      </c>
      <c r="X1694">
        <v>0</v>
      </c>
      <c r="Y1694">
        <v>0</v>
      </c>
      <c r="Z1694" t="s">
        <v>88</v>
      </c>
      <c r="AA1694" t="s">
        <v>213</v>
      </c>
      <c r="AB1694" t="s">
        <v>10</v>
      </c>
      <c r="AC1694">
        <v>0</v>
      </c>
      <c r="AD1694">
        <v>0</v>
      </c>
      <c r="AE1694">
        <v>9442814054</v>
      </c>
      <c r="AF1694">
        <v>19762.490000000002</v>
      </c>
      <c r="AG1694">
        <v>0</v>
      </c>
      <c r="AH1694">
        <v>0</v>
      </c>
      <c r="AI1694">
        <v>19762.490000000002</v>
      </c>
      <c r="AJ1694" t="s">
        <v>2</v>
      </c>
      <c r="AK1694" t="s">
        <v>11</v>
      </c>
    </row>
    <row r="1695" spans="1:37">
      <c r="A1695">
        <v>257857</v>
      </c>
      <c r="B1695" s="1">
        <v>45366</v>
      </c>
      <c r="C1695" t="s">
        <v>792</v>
      </c>
      <c r="D1695" t="s">
        <v>793</v>
      </c>
      <c r="E1695" t="s">
        <v>794</v>
      </c>
      <c r="F1695" t="s">
        <v>795</v>
      </c>
      <c r="G1695" t="s">
        <v>67</v>
      </c>
      <c r="H1695">
        <v>75019</v>
      </c>
      <c r="I1695" t="s">
        <v>2538</v>
      </c>
      <c r="J1695" t="s">
        <v>2539</v>
      </c>
      <c r="K1695" t="s">
        <v>794</v>
      </c>
      <c r="L1695" t="s">
        <v>795</v>
      </c>
      <c r="M1695" t="s">
        <v>67</v>
      </c>
      <c r="N1695">
        <v>75019</v>
      </c>
      <c r="O1695" t="s">
        <v>799</v>
      </c>
      <c r="P1695">
        <v>2276860</v>
      </c>
      <c r="Q1695" t="s">
        <v>38</v>
      </c>
      <c r="R1695">
        <v>414884</v>
      </c>
      <c r="S1695" t="s">
        <v>2451</v>
      </c>
      <c r="T1695" s="2">
        <v>32</v>
      </c>
      <c r="U1695">
        <v>0</v>
      </c>
      <c r="V1695" t="s">
        <v>153</v>
      </c>
      <c r="W1695">
        <v>2</v>
      </c>
      <c r="X1695">
        <v>2</v>
      </c>
      <c r="Y1695">
        <v>0</v>
      </c>
      <c r="Z1695" t="s">
        <v>2550</v>
      </c>
      <c r="AA1695" t="s">
        <v>2551</v>
      </c>
      <c r="AB1695" t="s">
        <v>14</v>
      </c>
      <c r="AC1695">
        <v>2240.54</v>
      </c>
      <c r="AD1695">
        <v>4481.08</v>
      </c>
      <c r="AE1695">
        <v>9442814054</v>
      </c>
      <c r="AF1695">
        <v>19762.490000000002</v>
      </c>
      <c r="AG1695">
        <v>0</v>
      </c>
      <c r="AH1695">
        <v>0</v>
      </c>
      <c r="AI1695">
        <v>19762.490000000002</v>
      </c>
      <c r="AJ1695" t="s">
        <v>2</v>
      </c>
      <c r="AK1695" t="s">
        <v>11</v>
      </c>
    </row>
    <row r="1696" spans="1:37">
      <c r="A1696">
        <v>257857</v>
      </c>
      <c r="B1696" s="1">
        <v>45366</v>
      </c>
      <c r="C1696" t="s">
        <v>792</v>
      </c>
      <c r="D1696" t="s">
        <v>793</v>
      </c>
      <c r="E1696" t="s">
        <v>794</v>
      </c>
      <c r="F1696" t="s">
        <v>795</v>
      </c>
      <c r="G1696" t="s">
        <v>67</v>
      </c>
      <c r="H1696">
        <v>75019</v>
      </c>
      <c r="I1696" t="s">
        <v>2538</v>
      </c>
      <c r="J1696" t="s">
        <v>2539</v>
      </c>
      <c r="K1696" t="s">
        <v>794</v>
      </c>
      <c r="L1696" t="s">
        <v>795</v>
      </c>
      <c r="M1696" t="s">
        <v>67</v>
      </c>
      <c r="N1696">
        <v>75019</v>
      </c>
      <c r="O1696" t="s">
        <v>799</v>
      </c>
      <c r="P1696">
        <v>2276860</v>
      </c>
      <c r="Q1696" t="s">
        <v>38</v>
      </c>
      <c r="R1696">
        <v>414884</v>
      </c>
      <c r="S1696" t="s">
        <v>2451</v>
      </c>
      <c r="T1696" s="2">
        <v>32</v>
      </c>
      <c r="U1696">
        <v>0</v>
      </c>
      <c r="V1696" t="s">
        <v>153</v>
      </c>
      <c r="W1696">
        <v>0</v>
      </c>
      <c r="X1696">
        <v>0</v>
      </c>
      <c r="Y1696">
        <v>0</v>
      </c>
      <c r="Z1696" t="s">
        <v>88</v>
      </c>
      <c r="AA1696" t="s">
        <v>213</v>
      </c>
      <c r="AB1696" t="s">
        <v>10</v>
      </c>
      <c r="AC1696">
        <v>0</v>
      </c>
      <c r="AD1696">
        <v>0</v>
      </c>
      <c r="AE1696">
        <v>9442814054</v>
      </c>
      <c r="AF1696">
        <v>19762.490000000002</v>
      </c>
      <c r="AG1696">
        <v>0</v>
      </c>
      <c r="AH1696">
        <v>0</v>
      </c>
      <c r="AI1696">
        <v>19762.490000000002</v>
      </c>
      <c r="AJ1696" t="s">
        <v>2</v>
      </c>
      <c r="AK1696" t="s">
        <v>11</v>
      </c>
    </row>
    <row r="1697" spans="1:37">
      <c r="A1697">
        <v>257857</v>
      </c>
      <c r="B1697" s="1">
        <v>45366</v>
      </c>
      <c r="C1697" t="s">
        <v>792</v>
      </c>
      <c r="D1697" t="s">
        <v>793</v>
      </c>
      <c r="E1697" t="s">
        <v>794</v>
      </c>
      <c r="F1697" t="s">
        <v>795</v>
      </c>
      <c r="G1697" t="s">
        <v>67</v>
      </c>
      <c r="H1697">
        <v>75019</v>
      </c>
      <c r="I1697" t="s">
        <v>2538</v>
      </c>
      <c r="J1697" t="s">
        <v>2539</v>
      </c>
      <c r="K1697" t="s">
        <v>794</v>
      </c>
      <c r="L1697" t="s">
        <v>795</v>
      </c>
      <c r="M1697" t="s">
        <v>67</v>
      </c>
      <c r="N1697">
        <v>75019</v>
      </c>
      <c r="O1697" t="s">
        <v>799</v>
      </c>
      <c r="P1697">
        <v>2276860</v>
      </c>
      <c r="Q1697" t="s">
        <v>38</v>
      </c>
      <c r="R1697">
        <v>414884</v>
      </c>
      <c r="S1697" t="s">
        <v>2451</v>
      </c>
      <c r="T1697" s="2">
        <v>32</v>
      </c>
      <c r="U1697">
        <v>0</v>
      </c>
      <c r="V1697" t="s">
        <v>153</v>
      </c>
      <c r="W1697">
        <v>6</v>
      </c>
      <c r="X1697">
        <v>0</v>
      </c>
      <c r="Y1697">
        <v>6</v>
      </c>
      <c r="Z1697" t="s">
        <v>2552</v>
      </c>
      <c r="AA1697" t="s">
        <v>2553</v>
      </c>
      <c r="AB1697" t="s">
        <v>14</v>
      </c>
      <c r="AC1697">
        <v>522.76</v>
      </c>
      <c r="AD1697">
        <v>0</v>
      </c>
      <c r="AE1697">
        <v>9442814054</v>
      </c>
      <c r="AF1697">
        <v>19762.490000000002</v>
      </c>
      <c r="AG1697">
        <v>0</v>
      </c>
      <c r="AH1697">
        <v>0</v>
      </c>
      <c r="AI1697">
        <v>19762.490000000002</v>
      </c>
      <c r="AJ1697" t="s">
        <v>2</v>
      </c>
      <c r="AK1697" t="s">
        <v>11</v>
      </c>
    </row>
    <row r="1698" spans="1:37">
      <c r="A1698">
        <v>257857</v>
      </c>
      <c r="B1698" s="1">
        <v>45366</v>
      </c>
      <c r="C1698" t="s">
        <v>792</v>
      </c>
      <c r="D1698" t="s">
        <v>793</v>
      </c>
      <c r="E1698" t="s">
        <v>794</v>
      </c>
      <c r="F1698" t="s">
        <v>795</v>
      </c>
      <c r="G1698" t="s">
        <v>67</v>
      </c>
      <c r="H1698">
        <v>75019</v>
      </c>
      <c r="I1698" t="s">
        <v>2538</v>
      </c>
      <c r="J1698" t="s">
        <v>2539</v>
      </c>
      <c r="K1698" t="s">
        <v>794</v>
      </c>
      <c r="L1698" t="s">
        <v>795</v>
      </c>
      <c r="M1698" t="s">
        <v>67</v>
      </c>
      <c r="N1698">
        <v>75019</v>
      </c>
      <c r="O1698" t="s">
        <v>799</v>
      </c>
      <c r="P1698">
        <v>2276860</v>
      </c>
      <c r="Q1698" t="s">
        <v>38</v>
      </c>
      <c r="R1698">
        <v>414884</v>
      </c>
      <c r="S1698" t="s">
        <v>2451</v>
      </c>
      <c r="T1698" s="2">
        <v>32</v>
      </c>
      <c r="U1698">
        <v>0</v>
      </c>
      <c r="V1698" t="s">
        <v>153</v>
      </c>
      <c r="W1698">
        <v>0</v>
      </c>
      <c r="X1698">
        <v>0</v>
      </c>
      <c r="Y1698">
        <v>0</v>
      </c>
      <c r="Z1698" t="s">
        <v>88</v>
      </c>
      <c r="AA1698" t="s">
        <v>2554</v>
      </c>
      <c r="AB1698" t="s">
        <v>10</v>
      </c>
      <c r="AC1698">
        <v>0</v>
      </c>
      <c r="AD1698">
        <v>0</v>
      </c>
      <c r="AE1698">
        <v>9442814054</v>
      </c>
      <c r="AF1698">
        <v>19762.490000000002</v>
      </c>
      <c r="AG1698">
        <v>0</v>
      </c>
      <c r="AH1698">
        <v>0</v>
      </c>
      <c r="AI1698">
        <v>19762.490000000002</v>
      </c>
      <c r="AJ1698" t="s">
        <v>2</v>
      </c>
      <c r="AK1698" t="s">
        <v>11</v>
      </c>
    </row>
    <row r="1699" spans="1:37">
      <c r="A1699">
        <v>257857</v>
      </c>
      <c r="B1699" s="1">
        <v>45366</v>
      </c>
      <c r="C1699" t="s">
        <v>792</v>
      </c>
      <c r="D1699" t="s">
        <v>793</v>
      </c>
      <c r="E1699" t="s">
        <v>794</v>
      </c>
      <c r="F1699" t="s">
        <v>795</v>
      </c>
      <c r="G1699" t="s">
        <v>67</v>
      </c>
      <c r="H1699">
        <v>75019</v>
      </c>
      <c r="I1699" t="s">
        <v>2538</v>
      </c>
      <c r="J1699" t="s">
        <v>2539</v>
      </c>
      <c r="K1699" t="s">
        <v>794</v>
      </c>
      <c r="L1699" t="s">
        <v>795</v>
      </c>
      <c r="M1699" t="s">
        <v>67</v>
      </c>
      <c r="N1699">
        <v>75019</v>
      </c>
      <c r="O1699" t="s">
        <v>799</v>
      </c>
      <c r="P1699">
        <v>2276860</v>
      </c>
      <c r="Q1699" t="s">
        <v>38</v>
      </c>
      <c r="R1699">
        <v>414884</v>
      </c>
      <c r="S1699" t="s">
        <v>2451</v>
      </c>
      <c r="T1699" s="2">
        <v>32</v>
      </c>
      <c r="U1699">
        <v>0</v>
      </c>
      <c r="V1699" t="s">
        <v>153</v>
      </c>
      <c r="W1699">
        <v>1</v>
      </c>
      <c r="X1699">
        <v>1</v>
      </c>
      <c r="Y1699">
        <v>0</v>
      </c>
      <c r="Z1699" t="s">
        <v>183</v>
      </c>
      <c r="AA1699" t="s">
        <v>184</v>
      </c>
      <c r="AB1699" t="s">
        <v>14</v>
      </c>
      <c r="AC1699">
        <v>25</v>
      </c>
      <c r="AD1699">
        <v>25</v>
      </c>
      <c r="AE1699">
        <v>9442814054</v>
      </c>
      <c r="AF1699">
        <v>19762.490000000002</v>
      </c>
      <c r="AG1699">
        <v>0</v>
      </c>
      <c r="AH1699">
        <v>0</v>
      </c>
      <c r="AI1699">
        <v>19762.490000000002</v>
      </c>
      <c r="AJ1699" t="s">
        <v>2</v>
      </c>
      <c r="AK1699" t="s">
        <v>11</v>
      </c>
    </row>
    <row r="1700" spans="1:37">
      <c r="A1700">
        <v>257858</v>
      </c>
      <c r="B1700" s="1">
        <v>45366</v>
      </c>
      <c r="C1700" t="s">
        <v>2444</v>
      </c>
      <c r="D1700" t="s">
        <v>2445</v>
      </c>
      <c r="E1700" t="s">
        <v>2</v>
      </c>
      <c r="F1700" t="s">
        <v>2446</v>
      </c>
      <c r="G1700" t="s">
        <v>575</v>
      </c>
      <c r="H1700">
        <v>49306</v>
      </c>
      <c r="I1700" t="s">
        <v>2444</v>
      </c>
      <c r="J1700" t="s">
        <v>2445</v>
      </c>
      <c r="K1700" t="s">
        <v>2</v>
      </c>
      <c r="L1700" t="s">
        <v>2446</v>
      </c>
      <c r="M1700" t="s">
        <v>575</v>
      </c>
      <c r="N1700">
        <v>49306</v>
      </c>
      <c r="O1700" t="s">
        <v>2450</v>
      </c>
      <c r="P1700">
        <v>469017</v>
      </c>
      <c r="Q1700" t="s">
        <v>6</v>
      </c>
      <c r="R1700">
        <v>414931</v>
      </c>
      <c r="S1700" t="s">
        <v>2451</v>
      </c>
      <c r="T1700" s="2">
        <v>18</v>
      </c>
      <c r="U1700">
        <v>0</v>
      </c>
      <c r="V1700" t="s">
        <v>236</v>
      </c>
      <c r="W1700">
        <v>0</v>
      </c>
      <c r="X1700">
        <v>0</v>
      </c>
      <c r="Y1700">
        <v>0</v>
      </c>
      <c r="Z1700" t="s">
        <v>9</v>
      </c>
      <c r="AA1700" t="s">
        <v>2</v>
      </c>
      <c r="AB1700" t="s">
        <v>10</v>
      </c>
      <c r="AC1700">
        <v>0</v>
      </c>
      <c r="AD1700">
        <v>0</v>
      </c>
      <c r="AE1700">
        <v>9442816972</v>
      </c>
      <c r="AF1700">
        <v>1880.58</v>
      </c>
      <c r="AG1700">
        <v>0</v>
      </c>
      <c r="AH1700">
        <v>0</v>
      </c>
      <c r="AI1700">
        <v>1880.58</v>
      </c>
      <c r="AJ1700" t="s">
        <v>2</v>
      </c>
      <c r="AK1700" t="s">
        <v>11</v>
      </c>
    </row>
    <row r="1701" spans="1:37">
      <c r="A1701">
        <v>257858</v>
      </c>
      <c r="B1701" s="1">
        <v>45366</v>
      </c>
      <c r="C1701" t="s">
        <v>2444</v>
      </c>
      <c r="D1701" t="s">
        <v>2445</v>
      </c>
      <c r="E1701" t="s">
        <v>2</v>
      </c>
      <c r="F1701" t="s">
        <v>2446</v>
      </c>
      <c r="G1701" t="s">
        <v>575</v>
      </c>
      <c r="H1701">
        <v>49306</v>
      </c>
      <c r="I1701" t="s">
        <v>2444</v>
      </c>
      <c r="J1701" t="s">
        <v>2445</v>
      </c>
      <c r="K1701" t="s">
        <v>2</v>
      </c>
      <c r="L1701" t="s">
        <v>2446</v>
      </c>
      <c r="M1701" t="s">
        <v>575</v>
      </c>
      <c r="N1701">
        <v>49306</v>
      </c>
      <c r="O1701" t="s">
        <v>2450</v>
      </c>
      <c r="P1701">
        <v>469017</v>
      </c>
      <c r="Q1701" t="s">
        <v>6</v>
      </c>
      <c r="R1701">
        <v>414931</v>
      </c>
      <c r="S1701" t="s">
        <v>2451</v>
      </c>
      <c r="T1701" s="2">
        <v>18</v>
      </c>
      <c r="U1701">
        <v>0</v>
      </c>
      <c r="V1701" t="s">
        <v>236</v>
      </c>
      <c r="W1701">
        <v>2</v>
      </c>
      <c r="X1701">
        <v>2</v>
      </c>
      <c r="Y1701">
        <v>0</v>
      </c>
      <c r="Z1701" t="s">
        <v>2555</v>
      </c>
      <c r="AA1701" t="s">
        <v>2556</v>
      </c>
      <c r="AB1701" t="s">
        <v>14</v>
      </c>
      <c r="AC1701">
        <v>53.075000000000003</v>
      </c>
      <c r="AD1701">
        <v>106.15</v>
      </c>
      <c r="AE1701">
        <v>9442816972</v>
      </c>
      <c r="AF1701">
        <v>1880.58</v>
      </c>
      <c r="AG1701">
        <v>0</v>
      </c>
      <c r="AH1701">
        <v>0</v>
      </c>
      <c r="AI1701">
        <v>1880.58</v>
      </c>
      <c r="AJ1701" t="s">
        <v>2</v>
      </c>
      <c r="AK1701" t="s">
        <v>11</v>
      </c>
    </row>
    <row r="1702" spans="1:37">
      <c r="A1702">
        <v>257858</v>
      </c>
      <c r="B1702" s="1">
        <v>45366</v>
      </c>
      <c r="C1702" t="s">
        <v>2444</v>
      </c>
      <c r="D1702" t="s">
        <v>2445</v>
      </c>
      <c r="E1702" t="s">
        <v>2</v>
      </c>
      <c r="F1702" t="s">
        <v>2446</v>
      </c>
      <c r="G1702" t="s">
        <v>575</v>
      </c>
      <c r="H1702">
        <v>49306</v>
      </c>
      <c r="I1702" t="s">
        <v>2444</v>
      </c>
      <c r="J1702" t="s">
        <v>2445</v>
      </c>
      <c r="K1702" t="s">
        <v>2</v>
      </c>
      <c r="L1702" t="s">
        <v>2446</v>
      </c>
      <c r="M1702" t="s">
        <v>575</v>
      </c>
      <c r="N1702">
        <v>49306</v>
      </c>
      <c r="O1702" t="s">
        <v>2450</v>
      </c>
      <c r="P1702">
        <v>469017</v>
      </c>
      <c r="Q1702" t="s">
        <v>6</v>
      </c>
      <c r="R1702">
        <v>414931</v>
      </c>
      <c r="S1702" t="s">
        <v>2451</v>
      </c>
      <c r="T1702" s="2">
        <v>18</v>
      </c>
      <c r="U1702">
        <v>0</v>
      </c>
      <c r="V1702" t="s">
        <v>236</v>
      </c>
      <c r="W1702">
        <v>0</v>
      </c>
      <c r="X1702">
        <v>0</v>
      </c>
      <c r="Y1702">
        <v>0</v>
      </c>
      <c r="Z1702" t="s">
        <v>88</v>
      </c>
      <c r="AA1702" t="s">
        <v>89</v>
      </c>
      <c r="AB1702" t="s">
        <v>10</v>
      </c>
      <c r="AC1702">
        <v>0</v>
      </c>
      <c r="AD1702">
        <v>0</v>
      </c>
      <c r="AE1702">
        <v>9442816972</v>
      </c>
      <c r="AF1702">
        <v>1880.58</v>
      </c>
      <c r="AG1702">
        <v>0</v>
      </c>
      <c r="AH1702">
        <v>0</v>
      </c>
      <c r="AI1702">
        <v>1880.58</v>
      </c>
      <c r="AJ1702" t="s">
        <v>2</v>
      </c>
      <c r="AK1702" t="s">
        <v>11</v>
      </c>
    </row>
    <row r="1703" spans="1:37">
      <c r="A1703">
        <v>257858</v>
      </c>
      <c r="B1703" s="1">
        <v>45366</v>
      </c>
      <c r="C1703" t="s">
        <v>2444</v>
      </c>
      <c r="D1703" t="s">
        <v>2445</v>
      </c>
      <c r="E1703" t="s">
        <v>2</v>
      </c>
      <c r="F1703" t="s">
        <v>2446</v>
      </c>
      <c r="G1703" t="s">
        <v>575</v>
      </c>
      <c r="H1703">
        <v>49306</v>
      </c>
      <c r="I1703" t="s">
        <v>2444</v>
      </c>
      <c r="J1703" t="s">
        <v>2445</v>
      </c>
      <c r="K1703" t="s">
        <v>2</v>
      </c>
      <c r="L1703" t="s">
        <v>2446</v>
      </c>
      <c r="M1703" t="s">
        <v>575</v>
      </c>
      <c r="N1703">
        <v>49306</v>
      </c>
      <c r="O1703" t="s">
        <v>2450</v>
      </c>
      <c r="P1703">
        <v>469017</v>
      </c>
      <c r="Q1703" t="s">
        <v>6</v>
      </c>
      <c r="R1703">
        <v>414931</v>
      </c>
      <c r="S1703" t="s">
        <v>2451</v>
      </c>
      <c r="T1703" s="2">
        <v>18</v>
      </c>
      <c r="U1703">
        <v>0</v>
      </c>
      <c r="V1703" t="s">
        <v>236</v>
      </c>
      <c r="W1703">
        <v>1</v>
      </c>
      <c r="X1703">
        <v>1</v>
      </c>
      <c r="Y1703">
        <v>0</v>
      </c>
      <c r="Z1703" t="s">
        <v>2557</v>
      </c>
      <c r="AA1703" t="s">
        <v>2558</v>
      </c>
      <c r="AB1703" t="s">
        <v>14</v>
      </c>
      <c r="AC1703">
        <v>220.47</v>
      </c>
      <c r="AD1703">
        <v>220.47</v>
      </c>
      <c r="AE1703">
        <v>9442816972</v>
      </c>
      <c r="AF1703">
        <v>1880.58</v>
      </c>
      <c r="AG1703">
        <v>0</v>
      </c>
      <c r="AH1703">
        <v>0</v>
      </c>
      <c r="AI1703">
        <v>1880.58</v>
      </c>
      <c r="AJ1703" t="s">
        <v>2</v>
      </c>
      <c r="AK1703" t="s">
        <v>11</v>
      </c>
    </row>
    <row r="1704" spans="1:37">
      <c r="A1704">
        <v>257858</v>
      </c>
      <c r="B1704" s="1">
        <v>45366</v>
      </c>
      <c r="C1704" t="s">
        <v>2444</v>
      </c>
      <c r="D1704" t="s">
        <v>2445</v>
      </c>
      <c r="E1704" t="s">
        <v>2</v>
      </c>
      <c r="F1704" t="s">
        <v>2446</v>
      </c>
      <c r="G1704" t="s">
        <v>575</v>
      </c>
      <c r="H1704">
        <v>49306</v>
      </c>
      <c r="I1704" t="s">
        <v>2444</v>
      </c>
      <c r="J1704" t="s">
        <v>2445</v>
      </c>
      <c r="K1704" t="s">
        <v>2</v>
      </c>
      <c r="L1704" t="s">
        <v>2446</v>
      </c>
      <c r="M1704" t="s">
        <v>575</v>
      </c>
      <c r="N1704">
        <v>49306</v>
      </c>
      <c r="O1704" t="s">
        <v>2450</v>
      </c>
      <c r="P1704">
        <v>469017</v>
      </c>
      <c r="Q1704" t="s">
        <v>6</v>
      </c>
      <c r="R1704">
        <v>414931</v>
      </c>
      <c r="S1704" t="s">
        <v>2451</v>
      </c>
      <c r="T1704" s="2">
        <v>18</v>
      </c>
      <c r="U1704">
        <v>0</v>
      </c>
      <c r="V1704" t="s">
        <v>236</v>
      </c>
      <c r="W1704">
        <v>0</v>
      </c>
      <c r="X1704">
        <v>0</v>
      </c>
      <c r="Y1704">
        <v>0</v>
      </c>
      <c r="Z1704" t="s">
        <v>88</v>
      </c>
      <c r="AA1704" t="s">
        <v>89</v>
      </c>
      <c r="AB1704" t="s">
        <v>10</v>
      </c>
      <c r="AC1704">
        <v>0</v>
      </c>
      <c r="AD1704">
        <v>0</v>
      </c>
      <c r="AE1704">
        <v>9442816972</v>
      </c>
      <c r="AF1704">
        <v>1880.58</v>
      </c>
      <c r="AG1704">
        <v>0</v>
      </c>
      <c r="AH1704">
        <v>0</v>
      </c>
      <c r="AI1704">
        <v>1880.58</v>
      </c>
      <c r="AJ1704" t="s">
        <v>2</v>
      </c>
      <c r="AK1704" t="s">
        <v>11</v>
      </c>
    </row>
    <row r="1705" spans="1:37">
      <c r="A1705">
        <v>257858</v>
      </c>
      <c r="B1705" s="1">
        <v>45366</v>
      </c>
      <c r="C1705" t="s">
        <v>2444</v>
      </c>
      <c r="D1705" t="s">
        <v>2445</v>
      </c>
      <c r="E1705" t="s">
        <v>2</v>
      </c>
      <c r="F1705" t="s">
        <v>2446</v>
      </c>
      <c r="G1705" t="s">
        <v>575</v>
      </c>
      <c r="H1705">
        <v>49306</v>
      </c>
      <c r="I1705" t="s">
        <v>2444</v>
      </c>
      <c r="J1705" t="s">
        <v>2445</v>
      </c>
      <c r="K1705" t="s">
        <v>2</v>
      </c>
      <c r="L1705" t="s">
        <v>2446</v>
      </c>
      <c r="M1705" t="s">
        <v>575</v>
      </c>
      <c r="N1705">
        <v>49306</v>
      </c>
      <c r="O1705" t="s">
        <v>2450</v>
      </c>
      <c r="P1705">
        <v>469017</v>
      </c>
      <c r="Q1705" t="s">
        <v>6</v>
      </c>
      <c r="R1705">
        <v>414931</v>
      </c>
      <c r="S1705" t="s">
        <v>2451</v>
      </c>
      <c r="T1705" s="2">
        <v>18</v>
      </c>
      <c r="U1705">
        <v>0</v>
      </c>
      <c r="V1705" t="s">
        <v>236</v>
      </c>
      <c r="W1705">
        <v>1</v>
      </c>
      <c r="X1705">
        <v>1</v>
      </c>
      <c r="Y1705">
        <v>0</v>
      </c>
      <c r="Z1705" t="s">
        <v>2559</v>
      </c>
      <c r="AA1705" t="s">
        <v>2560</v>
      </c>
      <c r="AB1705" t="s">
        <v>14</v>
      </c>
      <c r="AC1705">
        <v>220.47</v>
      </c>
      <c r="AD1705">
        <v>220.47</v>
      </c>
      <c r="AE1705">
        <v>9442816972</v>
      </c>
      <c r="AF1705">
        <v>1880.58</v>
      </c>
      <c r="AG1705">
        <v>0</v>
      </c>
      <c r="AH1705">
        <v>0</v>
      </c>
      <c r="AI1705">
        <v>1880.58</v>
      </c>
      <c r="AJ1705" t="s">
        <v>2</v>
      </c>
      <c r="AK1705" t="s">
        <v>11</v>
      </c>
    </row>
    <row r="1706" spans="1:37">
      <c r="A1706">
        <v>257858</v>
      </c>
      <c r="B1706" s="1">
        <v>45366</v>
      </c>
      <c r="C1706" t="s">
        <v>2444</v>
      </c>
      <c r="D1706" t="s">
        <v>2445</v>
      </c>
      <c r="E1706" t="s">
        <v>2</v>
      </c>
      <c r="F1706" t="s">
        <v>2446</v>
      </c>
      <c r="G1706" t="s">
        <v>575</v>
      </c>
      <c r="H1706">
        <v>49306</v>
      </c>
      <c r="I1706" t="s">
        <v>2444</v>
      </c>
      <c r="J1706" t="s">
        <v>2445</v>
      </c>
      <c r="K1706" t="s">
        <v>2</v>
      </c>
      <c r="L1706" t="s">
        <v>2446</v>
      </c>
      <c r="M1706" t="s">
        <v>575</v>
      </c>
      <c r="N1706">
        <v>49306</v>
      </c>
      <c r="O1706" t="s">
        <v>2450</v>
      </c>
      <c r="P1706">
        <v>469017</v>
      </c>
      <c r="Q1706" t="s">
        <v>6</v>
      </c>
      <c r="R1706">
        <v>414931</v>
      </c>
      <c r="S1706" t="s">
        <v>2451</v>
      </c>
      <c r="T1706" s="2">
        <v>18</v>
      </c>
      <c r="U1706">
        <v>0</v>
      </c>
      <c r="V1706" t="s">
        <v>236</v>
      </c>
      <c r="W1706">
        <v>0</v>
      </c>
      <c r="X1706">
        <v>0</v>
      </c>
      <c r="Y1706">
        <v>0</v>
      </c>
      <c r="Z1706" t="s">
        <v>88</v>
      </c>
      <c r="AA1706" t="s">
        <v>89</v>
      </c>
      <c r="AB1706" t="s">
        <v>10</v>
      </c>
      <c r="AC1706">
        <v>0</v>
      </c>
      <c r="AD1706">
        <v>0</v>
      </c>
      <c r="AE1706">
        <v>9442816972</v>
      </c>
      <c r="AF1706">
        <v>1880.58</v>
      </c>
      <c r="AG1706">
        <v>0</v>
      </c>
      <c r="AH1706">
        <v>0</v>
      </c>
      <c r="AI1706">
        <v>1880.58</v>
      </c>
      <c r="AJ1706" t="s">
        <v>2</v>
      </c>
      <c r="AK1706" t="s">
        <v>11</v>
      </c>
    </row>
    <row r="1707" spans="1:37">
      <c r="A1707">
        <v>257858</v>
      </c>
      <c r="B1707" s="1">
        <v>45366</v>
      </c>
      <c r="C1707" t="s">
        <v>2444</v>
      </c>
      <c r="D1707" t="s">
        <v>2445</v>
      </c>
      <c r="E1707" t="s">
        <v>2</v>
      </c>
      <c r="F1707" t="s">
        <v>2446</v>
      </c>
      <c r="G1707" t="s">
        <v>575</v>
      </c>
      <c r="H1707">
        <v>49306</v>
      </c>
      <c r="I1707" t="s">
        <v>2444</v>
      </c>
      <c r="J1707" t="s">
        <v>2445</v>
      </c>
      <c r="K1707" t="s">
        <v>2</v>
      </c>
      <c r="L1707" t="s">
        <v>2446</v>
      </c>
      <c r="M1707" t="s">
        <v>575</v>
      </c>
      <c r="N1707">
        <v>49306</v>
      </c>
      <c r="O1707" t="s">
        <v>2450</v>
      </c>
      <c r="P1707">
        <v>469017</v>
      </c>
      <c r="Q1707" t="s">
        <v>6</v>
      </c>
      <c r="R1707">
        <v>414931</v>
      </c>
      <c r="S1707" t="s">
        <v>2451</v>
      </c>
      <c r="T1707" s="2">
        <v>18</v>
      </c>
      <c r="U1707">
        <v>0</v>
      </c>
      <c r="V1707" t="s">
        <v>236</v>
      </c>
      <c r="W1707">
        <v>5</v>
      </c>
      <c r="X1707">
        <v>5</v>
      </c>
      <c r="Y1707">
        <v>0</v>
      </c>
      <c r="Z1707" t="s">
        <v>2561</v>
      </c>
      <c r="AA1707" t="s">
        <v>2562</v>
      </c>
      <c r="AB1707" t="s">
        <v>14</v>
      </c>
      <c r="AC1707">
        <v>141.953</v>
      </c>
      <c r="AD1707">
        <v>709.77</v>
      </c>
      <c r="AE1707">
        <v>9442816972</v>
      </c>
      <c r="AF1707">
        <v>1880.58</v>
      </c>
      <c r="AG1707">
        <v>0</v>
      </c>
      <c r="AH1707">
        <v>0</v>
      </c>
      <c r="AI1707">
        <v>1880.58</v>
      </c>
      <c r="AJ1707" t="s">
        <v>2</v>
      </c>
      <c r="AK1707" t="s">
        <v>11</v>
      </c>
    </row>
    <row r="1708" spans="1:37">
      <c r="A1708">
        <v>257858</v>
      </c>
      <c r="B1708" s="1">
        <v>45366</v>
      </c>
      <c r="C1708" t="s">
        <v>2444</v>
      </c>
      <c r="D1708" t="s">
        <v>2445</v>
      </c>
      <c r="E1708" t="s">
        <v>2</v>
      </c>
      <c r="F1708" t="s">
        <v>2446</v>
      </c>
      <c r="G1708" t="s">
        <v>575</v>
      </c>
      <c r="H1708">
        <v>49306</v>
      </c>
      <c r="I1708" t="s">
        <v>2444</v>
      </c>
      <c r="J1708" t="s">
        <v>2445</v>
      </c>
      <c r="K1708" t="s">
        <v>2</v>
      </c>
      <c r="L1708" t="s">
        <v>2446</v>
      </c>
      <c r="M1708" t="s">
        <v>575</v>
      </c>
      <c r="N1708">
        <v>49306</v>
      </c>
      <c r="O1708" t="s">
        <v>2450</v>
      </c>
      <c r="P1708">
        <v>469017</v>
      </c>
      <c r="Q1708" t="s">
        <v>6</v>
      </c>
      <c r="R1708">
        <v>414931</v>
      </c>
      <c r="S1708" t="s">
        <v>2451</v>
      </c>
      <c r="T1708" s="2">
        <v>18</v>
      </c>
      <c r="U1708">
        <v>0</v>
      </c>
      <c r="V1708" t="s">
        <v>236</v>
      </c>
      <c r="W1708">
        <v>0</v>
      </c>
      <c r="X1708">
        <v>0</v>
      </c>
      <c r="Y1708">
        <v>0</v>
      </c>
      <c r="Z1708" t="s">
        <v>88</v>
      </c>
      <c r="AA1708" t="s">
        <v>1187</v>
      </c>
      <c r="AB1708" t="s">
        <v>10</v>
      </c>
      <c r="AC1708">
        <v>0</v>
      </c>
      <c r="AD1708">
        <v>0</v>
      </c>
      <c r="AE1708">
        <v>9442816972</v>
      </c>
      <c r="AF1708">
        <v>1880.58</v>
      </c>
      <c r="AG1708">
        <v>0</v>
      </c>
      <c r="AH1708">
        <v>0</v>
      </c>
      <c r="AI1708">
        <v>1880.58</v>
      </c>
      <c r="AJ1708" t="s">
        <v>2</v>
      </c>
      <c r="AK1708" t="s">
        <v>11</v>
      </c>
    </row>
    <row r="1709" spans="1:37">
      <c r="A1709">
        <v>257858</v>
      </c>
      <c r="B1709" s="1">
        <v>45366</v>
      </c>
      <c r="C1709" t="s">
        <v>2444</v>
      </c>
      <c r="D1709" t="s">
        <v>2445</v>
      </c>
      <c r="E1709" t="s">
        <v>2</v>
      </c>
      <c r="F1709" t="s">
        <v>2446</v>
      </c>
      <c r="G1709" t="s">
        <v>575</v>
      </c>
      <c r="H1709">
        <v>49306</v>
      </c>
      <c r="I1709" t="s">
        <v>2444</v>
      </c>
      <c r="J1709" t="s">
        <v>2445</v>
      </c>
      <c r="K1709" t="s">
        <v>2</v>
      </c>
      <c r="L1709" t="s">
        <v>2446</v>
      </c>
      <c r="M1709" t="s">
        <v>575</v>
      </c>
      <c r="N1709">
        <v>49306</v>
      </c>
      <c r="O1709" t="s">
        <v>2450</v>
      </c>
      <c r="P1709">
        <v>469017</v>
      </c>
      <c r="Q1709" t="s">
        <v>6</v>
      </c>
      <c r="R1709">
        <v>414931</v>
      </c>
      <c r="S1709" t="s">
        <v>2451</v>
      </c>
      <c r="T1709" s="2">
        <v>18</v>
      </c>
      <c r="U1709">
        <v>0</v>
      </c>
      <c r="V1709" t="s">
        <v>236</v>
      </c>
      <c r="W1709">
        <v>1</v>
      </c>
      <c r="X1709">
        <v>0</v>
      </c>
      <c r="Y1709">
        <v>1</v>
      </c>
      <c r="Z1709" t="s">
        <v>2563</v>
      </c>
      <c r="AA1709" t="s">
        <v>2564</v>
      </c>
      <c r="AB1709" t="s">
        <v>14</v>
      </c>
      <c r="AC1709">
        <v>107.68</v>
      </c>
      <c r="AD1709">
        <v>0</v>
      </c>
      <c r="AE1709">
        <v>9442816972</v>
      </c>
      <c r="AF1709">
        <v>1880.58</v>
      </c>
      <c r="AG1709">
        <v>0</v>
      </c>
      <c r="AH1709">
        <v>0</v>
      </c>
      <c r="AI1709">
        <v>1880.58</v>
      </c>
      <c r="AJ1709" t="s">
        <v>2</v>
      </c>
      <c r="AK1709" t="s">
        <v>11</v>
      </c>
    </row>
    <row r="1710" spans="1:37">
      <c r="A1710">
        <v>257858</v>
      </c>
      <c r="B1710" s="1">
        <v>45366</v>
      </c>
      <c r="C1710" t="s">
        <v>2444</v>
      </c>
      <c r="D1710" t="s">
        <v>2445</v>
      </c>
      <c r="E1710" t="s">
        <v>2</v>
      </c>
      <c r="F1710" t="s">
        <v>2446</v>
      </c>
      <c r="G1710" t="s">
        <v>575</v>
      </c>
      <c r="H1710">
        <v>49306</v>
      </c>
      <c r="I1710" t="s">
        <v>2444</v>
      </c>
      <c r="J1710" t="s">
        <v>2445</v>
      </c>
      <c r="K1710" t="s">
        <v>2</v>
      </c>
      <c r="L1710" t="s">
        <v>2446</v>
      </c>
      <c r="M1710" t="s">
        <v>575</v>
      </c>
      <c r="N1710">
        <v>49306</v>
      </c>
      <c r="O1710" t="s">
        <v>2450</v>
      </c>
      <c r="P1710">
        <v>469017</v>
      </c>
      <c r="Q1710" t="s">
        <v>6</v>
      </c>
      <c r="R1710">
        <v>414931</v>
      </c>
      <c r="S1710" t="s">
        <v>2451</v>
      </c>
      <c r="T1710" s="2">
        <v>18</v>
      </c>
      <c r="U1710">
        <v>0</v>
      </c>
      <c r="V1710" t="s">
        <v>236</v>
      </c>
      <c r="W1710">
        <v>0</v>
      </c>
      <c r="X1710">
        <v>0</v>
      </c>
      <c r="Y1710">
        <v>0</v>
      </c>
      <c r="Z1710" t="s">
        <v>88</v>
      </c>
      <c r="AA1710" t="s">
        <v>1041</v>
      </c>
      <c r="AB1710" t="s">
        <v>10</v>
      </c>
      <c r="AC1710">
        <v>0</v>
      </c>
      <c r="AD1710">
        <v>0</v>
      </c>
      <c r="AE1710">
        <v>9442816972</v>
      </c>
      <c r="AF1710">
        <v>1880.58</v>
      </c>
      <c r="AG1710">
        <v>0</v>
      </c>
      <c r="AH1710">
        <v>0</v>
      </c>
      <c r="AI1710">
        <v>1880.58</v>
      </c>
      <c r="AJ1710" t="s">
        <v>2</v>
      </c>
      <c r="AK1710" t="s">
        <v>11</v>
      </c>
    </row>
    <row r="1711" spans="1:37">
      <c r="A1711">
        <v>257858</v>
      </c>
      <c r="B1711" s="1">
        <v>45366</v>
      </c>
      <c r="C1711" t="s">
        <v>2444</v>
      </c>
      <c r="D1711" t="s">
        <v>2445</v>
      </c>
      <c r="E1711" t="s">
        <v>2</v>
      </c>
      <c r="F1711" t="s">
        <v>2446</v>
      </c>
      <c r="G1711" t="s">
        <v>575</v>
      </c>
      <c r="H1711">
        <v>49306</v>
      </c>
      <c r="I1711" t="s">
        <v>2444</v>
      </c>
      <c r="J1711" t="s">
        <v>2445</v>
      </c>
      <c r="K1711" t="s">
        <v>2</v>
      </c>
      <c r="L1711" t="s">
        <v>2446</v>
      </c>
      <c r="M1711" t="s">
        <v>575</v>
      </c>
      <c r="N1711">
        <v>49306</v>
      </c>
      <c r="O1711" t="s">
        <v>2450</v>
      </c>
      <c r="P1711">
        <v>469017</v>
      </c>
      <c r="Q1711" t="s">
        <v>6</v>
      </c>
      <c r="R1711">
        <v>414931</v>
      </c>
      <c r="S1711" t="s">
        <v>2451</v>
      </c>
      <c r="T1711" s="2">
        <v>18</v>
      </c>
      <c r="U1711">
        <v>0</v>
      </c>
      <c r="V1711" t="s">
        <v>236</v>
      </c>
      <c r="W1711">
        <v>2</v>
      </c>
      <c r="X1711">
        <v>2</v>
      </c>
      <c r="Y1711">
        <v>0</v>
      </c>
      <c r="Z1711" t="s">
        <v>2565</v>
      </c>
      <c r="AA1711" t="s">
        <v>2566</v>
      </c>
      <c r="AB1711" t="s">
        <v>14</v>
      </c>
      <c r="AC1711">
        <v>69.98</v>
      </c>
      <c r="AD1711">
        <v>139.96</v>
      </c>
      <c r="AE1711">
        <v>9442816972</v>
      </c>
      <c r="AF1711">
        <v>1880.58</v>
      </c>
      <c r="AG1711">
        <v>0</v>
      </c>
      <c r="AH1711">
        <v>0</v>
      </c>
      <c r="AI1711">
        <v>1880.58</v>
      </c>
      <c r="AJ1711" t="s">
        <v>2</v>
      </c>
      <c r="AK1711" t="s">
        <v>11</v>
      </c>
    </row>
    <row r="1712" spans="1:37">
      <c r="A1712">
        <v>257858</v>
      </c>
      <c r="B1712" s="1">
        <v>45366</v>
      </c>
      <c r="C1712" t="s">
        <v>2444</v>
      </c>
      <c r="D1712" t="s">
        <v>2445</v>
      </c>
      <c r="E1712" t="s">
        <v>2</v>
      </c>
      <c r="F1712" t="s">
        <v>2446</v>
      </c>
      <c r="G1712" t="s">
        <v>575</v>
      </c>
      <c r="H1712">
        <v>49306</v>
      </c>
      <c r="I1712" t="s">
        <v>2444</v>
      </c>
      <c r="J1712" t="s">
        <v>2445</v>
      </c>
      <c r="K1712" t="s">
        <v>2</v>
      </c>
      <c r="L1712" t="s">
        <v>2446</v>
      </c>
      <c r="M1712" t="s">
        <v>575</v>
      </c>
      <c r="N1712">
        <v>49306</v>
      </c>
      <c r="O1712" t="s">
        <v>2450</v>
      </c>
      <c r="P1712">
        <v>469017</v>
      </c>
      <c r="Q1712" t="s">
        <v>6</v>
      </c>
      <c r="R1712">
        <v>414931</v>
      </c>
      <c r="S1712" t="s">
        <v>2451</v>
      </c>
      <c r="T1712" s="2">
        <v>18</v>
      </c>
      <c r="U1712">
        <v>0</v>
      </c>
      <c r="V1712" t="s">
        <v>236</v>
      </c>
      <c r="W1712">
        <v>0</v>
      </c>
      <c r="X1712">
        <v>0</v>
      </c>
      <c r="Y1712">
        <v>0</v>
      </c>
      <c r="Z1712" t="s">
        <v>88</v>
      </c>
      <c r="AA1712" t="s">
        <v>1041</v>
      </c>
      <c r="AB1712" t="s">
        <v>10</v>
      </c>
      <c r="AC1712">
        <v>0</v>
      </c>
      <c r="AD1712">
        <v>0</v>
      </c>
      <c r="AE1712">
        <v>9442816972</v>
      </c>
      <c r="AF1712">
        <v>1880.58</v>
      </c>
      <c r="AG1712">
        <v>0</v>
      </c>
      <c r="AH1712">
        <v>0</v>
      </c>
      <c r="AI1712">
        <v>1880.58</v>
      </c>
      <c r="AJ1712" t="s">
        <v>2</v>
      </c>
      <c r="AK1712" t="s">
        <v>11</v>
      </c>
    </row>
    <row r="1713" spans="1:37">
      <c r="A1713">
        <v>257858</v>
      </c>
      <c r="B1713" s="1">
        <v>45366</v>
      </c>
      <c r="C1713" t="s">
        <v>2444</v>
      </c>
      <c r="D1713" t="s">
        <v>2445</v>
      </c>
      <c r="E1713" t="s">
        <v>2</v>
      </c>
      <c r="F1713" t="s">
        <v>2446</v>
      </c>
      <c r="G1713" t="s">
        <v>575</v>
      </c>
      <c r="H1713">
        <v>49306</v>
      </c>
      <c r="I1713" t="s">
        <v>2444</v>
      </c>
      <c r="J1713" t="s">
        <v>2445</v>
      </c>
      <c r="K1713" t="s">
        <v>2</v>
      </c>
      <c r="L1713" t="s">
        <v>2446</v>
      </c>
      <c r="M1713" t="s">
        <v>575</v>
      </c>
      <c r="N1713">
        <v>49306</v>
      </c>
      <c r="O1713" t="s">
        <v>2450</v>
      </c>
      <c r="P1713">
        <v>469017</v>
      </c>
      <c r="Q1713" t="s">
        <v>6</v>
      </c>
      <c r="R1713">
        <v>414931</v>
      </c>
      <c r="S1713" t="s">
        <v>2451</v>
      </c>
      <c r="T1713" s="2">
        <v>18</v>
      </c>
      <c r="U1713">
        <v>0</v>
      </c>
      <c r="V1713" t="s">
        <v>236</v>
      </c>
      <c r="W1713">
        <v>1</v>
      </c>
      <c r="X1713">
        <v>1</v>
      </c>
      <c r="Y1713">
        <v>0</v>
      </c>
      <c r="Z1713" t="s">
        <v>2567</v>
      </c>
      <c r="AA1713" t="s">
        <v>2568</v>
      </c>
      <c r="AB1713" t="s">
        <v>14</v>
      </c>
      <c r="AC1713">
        <v>34.020000000000003</v>
      </c>
      <c r="AD1713">
        <v>34.020000000000003</v>
      </c>
      <c r="AE1713">
        <v>9442816972</v>
      </c>
      <c r="AF1713">
        <v>1880.58</v>
      </c>
      <c r="AG1713">
        <v>0</v>
      </c>
      <c r="AH1713">
        <v>0</v>
      </c>
      <c r="AI1713">
        <v>1880.58</v>
      </c>
      <c r="AJ1713" t="s">
        <v>2</v>
      </c>
      <c r="AK1713" t="s">
        <v>11</v>
      </c>
    </row>
    <row r="1714" spans="1:37">
      <c r="A1714">
        <v>257858</v>
      </c>
      <c r="B1714" s="1">
        <v>45366</v>
      </c>
      <c r="C1714" t="s">
        <v>2444</v>
      </c>
      <c r="D1714" t="s">
        <v>2445</v>
      </c>
      <c r="E1714" t="s">
        <v>2</v>
      </c>
      <c r="F1714" t="s">
        <v>2446</v>
      </c>
      <c r="G1714" t="s">
        <v>575</v>
      </c>
      <c r="H1714">
        <v>49306</v>
      </c>
      <c r="I1714" t="s">
        <v>2444</v>
      </c>
      <c r="J1714" t="s">
        <v>2445</v>
      </c>
      <c r="K1714" t="s">
        <v>2</v>
      </c>
      <c r="L1714" t="s">
        <v>2446</v>
      </c>
      <c r="M1714" t="s">
        <v>575</v>
      </c>
      <c r="N1714">
        <v>49306</v>
      </c>
      <c r="O1714" t="s">
        <v>2450</v>
      </c>
      <c r="P1714">
        <v>469017</v>
      </c>
      <c r="Q1714" t="s">
        <v>6</v>
      </c>
      <c r="R1714">
        <v>414931</v>
      </c>
      <c r="S1714" t="s">
        <v>2451</v>
      </c>
      <c r="T1714" s="2">
        <v>18</v>
      </c>
      <c r="U1714">
        <v>0</v>
      </c>
      <c r="V1714" t="s">
        <v>236</v>
      </c>
      <c r="W1714">
        <v>0</v>
      </c>
      <c r="X1714">
        <v>0</v>
      </c>
      <c r="Y1714">
        <v>0</v>
      </c>
      <c r="Z1714" t="s">
        <v>88</v>
      </c>
      <c r="AA1714" t="s">
        <v>1041</v>
      </c>
      <c r="AB1714" t="s">
        <v>10</v>
      </c>
      <c r="AC1714">
        <v>0</v>
      </c>
      <c r="AD1714">
        <v>0</v>
      </c>
      <c r="AE1714">
        <v>9442816972</v>
      </c>
      <c r="AF1714">
        <v>1880.58</v>
      </c>
      <c r="AG1714">
        <v>0</v>
      </c>
      <c r="AH1714">
        <v>0</v>
      </c>
      <c r="AI1714">
        <v>1880.58</v>
      </c>
      <c r="AJ1714" t="s">
        <v>2</v>
      </c>
      <c r="AK1714" t="s">
        <v>11</v>
      </c>
    </row>
    <row r="1715" spans="1:37">
      <c r="A1715">
        <v>257858</v>
      </c>
      <c r="B1715" s="1">
        <v>45366</v>
      </c>
      <c r="C1715" t="s">
        <v>2444</v>
      </c>
      <c r="D1715" t="s">
        <v>2445</v>
      </c>
      <c r="E1715" t="s">
        <v>2</v>
      </c>
      <c r="F1715" t="s">
        <v>2446</v>
      </c>
      <c r="G1715" t="s">
        <v>575</v>
      </c>
      <c r="H1715">
        <v>49306</v>
      </c>
      <c r="I1715" t="s">
        <v>2444</v>
      </c>
      <c r="J1715" t="s">
        <v>2445</v>
      </c>
      <c r="K1715" t="s">
        <v>2</v>
      </c>
      <c r="L1715" t="s">
        <v>2446</v>
      </c>
      <c r="M1715" t="s">
        <v>575</v>
      </c>
      <c r="N1715">
        <v>49306</v>
      </c>
      <c r="O1715" t="s">
        <v>2450</v>
      </c>
      <c r="P1715">
        <v>469017</v>
      </c>
      <c r="Q1715" t="s">
        <v>6</v>
      </c>
      <c r="R1715">
        <v>414931</v>
      </c>
      <c r="S1715" t="s">
        <v>2451</v>
      </c>
      <c r="T1715" s="2">
        <v>18</v>
      </c>
      <c r="U1715">
        <v>0</v>
      </c>
      <c r="V1715" t="s">
        <v>236</v>
      </c>
      <c r="W1715">
        <v>1</v>
      </c>
      <c r="X1715">
        <v>1</v>
      </c>
      <c r="Y1715">
        <v>0</v>
      </c>
      <c r="Z1715" t="s">
        <v>2569</v>
      </c>
      <c r="AA1715" t="s">
        <v>2570</v>
      </c>
      <c r="AB1715" t="s">
        <v>14</v>
      </c>
      <c r="AC1715">
        <v>140.15899999999999</v>
      </c>
      <c r="AD1715">
        <v>140.16</v>
      </c>
      <c r="AE1715">
        <v>9442816972</v>
      </c>
      <c r="AF1715">
        <v>1880.58</v>
      </c>
      <c r="AG1715">
        <v>0</v>
      </c>
      <c r="AH1715">
        <v>0</v>
      </c>
      <c r="AI1715">
        <v>1880.58</v>
      </c>
      <c r="AJ1715" t="s">
        <v>2</v>
      </c>
      <c r="AK1715" t="s">
        <v>11</v>
      </c>
    </row>
    <row r="1716" spans="1:37">
      <c r="A1716">
        <v>257858</v>
      </c>
      <c r="B1716" s="1">
        <v>45366</v>
      </c>
      <c r="C1716" t="s">
        <v>2444</v>
      </c>
      <c r="D1716" t="s">
        <v>2445</v>
      </c>
      <c r="E1716" t="s">
        <v>2</v>
      </c>
      <c r="F1716" t="s">
        <v>2446</v>
      </c>
      <c r="G1716" t="s">
        <v>575</v>
      </c>
      <c r="H1716">
        <v>49306</v>
      </c>
      <c r="I1716" t="s">
        <v>2444</v>
      </c>
      <c r="J1716" t="s">
        <v>2445</v>
      </c>
      <c r="K1716" t="s">
        <v>2</v>
      </c>
      <c r="L1716" t="s">
        <v>2446</v>
      </c>
      <c r="M1716" t="s">
        <v>575</v>
      </c>
      <c r="N1716">
        <v>49306</v>
      </c>
      <c r="O1716" t="s">
        <v>2450</v>
      </c>
      <c r="P1716">
        <v>469017</v>
      </c>
      <c r="Q1716" t="s">
        <v>6</v>
      </c>
      <c r="R1716">
        <v>414931</v>
      </c>
      <c r="S1716" t="s">
        <v>2451</v>
      </c>
      <c r="T1716" s="2">
        <v>18</v>
      </c>
      <c r="U1716">
        <v>0</v>
      </c>
      <c r="V1716" t="s">
        <v>236</v>
      </c>
      <c r="W1716">
        <v>0</v>
      </c>
      <c r="X1716">
        <v>0</v>
      </c>
      <c r="Y1716">
        <v>0</v>
      </c>
      <c r="Z1716" t="s">
        <v>88</v>
      </c>
      <c r="AA1716" t="s">
        <v>298</v>
      </c>
      <c r="AB1716" t="s">
        <v>10</v>
      </c>
      <c r="AC1716">
        <v>0</v>
      </c>
      <c r="AD1716">
        <v>0</v>
      </c>
      <c r="AE1716">
        <v>9442816972</v>
      </c>
      <c r="AF1716">
        <v>1880.58</v>
      </c>
      <c r="AG1716">
        <v>0</v>
      </c>
      <c r="AH1716">
        <v>0</v>
      </c>
      <c r="AI1716">
        <v>1880.58</v>
      </c>
      <c r="AJ1716" t="s">
        <v>2</v>
      </c>
      <c r="AK1716" t="s">
        <v>11</v>
      </c>
    </row>
    <row r="1717" spans="1:37">
      <c r="A1717">
        <v>257858</v>
      </c>
      <c r="B1717" s="1">
        <v>45366</v>
      </c>
      <c r="C1717" t="s">
        <v>2444</v>
      </c>
      <c r="D1717" t="s">
        <v>2445</v>
      </c>
      <c r="E1717" t="s">
        <v>2</v>
      </c>
      <c r="F1717" t="s">
        <v>2446</v>
      </c>
      <c r="G1717" t="s">
        <v>575</v>
      </c>
      <c r="H1717">
        <v>49306</v>
      </c>
      <c r="I1717" t="s">
        <v>2444</v>
      </c>
      <c r="J1717" t="s">
        <v>2445</v>
      </c>
      <c r="K1717" t="s">
        <v>2</v>
      </c>
      <c r="L1717" t="s">
        <v>2446</v>
      </c>
      <c r="M1717" t="s">
        <v>575</v>
      </c>
      <c r="N1717">
        <v>49306</v>
      </c>
      <c r="O1717" t="s">
        <v>2450</v>
      </c>
      <c r="P1717">
        <v>469017</v>
      </c>
      <c r="Q1717" t="s">
        <v>6</v>
      </c>
      <c r="R1717">
        <v>414931</v>
      </c>
      <c r="S1717" t="s">
        <v>2451</v>
      </c>
      <c r="T1717" s="2">
        <v>18</v>
      </c>
      <c r="U1717">
        <v>0</v>
      </c>
      <c r="V1717" t="s">
        <v>236</v>
      </c>
      <c r="W1717">
        <v>1</v>
      </c>
      <c r="X1717">
        <v>0</v>
      </c>
      <c r="Y1717">
        <v>1</v>
      </c>
      <c r="Z1717" t="s">
        <v>2571</v>
      </c>
      <c r="AA1717" t="s">
        <v>2572</v>
      </c>
      <c r="AB1717" t="s">
        <v>14</v>
      </c>
      <c r="AC1717">
        <v>109.3411</v>
      </c>
      <c r="AD1717">
        <v>0</v>
      </c>
      <c r="AE1717">
        <v>9442816972</v>
      </c>
      <c r="AF1717">
        <v>1880.58</v>
      </c>
      <c r="AG1717">
        <v>0</v>
      </c>
      <c r="AH1717">
        <v>0</v>
      </c>
      <c r="AI1717">
        <v>1880.58</v>
      </c>
      <c r="AJ1717" t="s">
        <v>2</v>
      </c>
      <c r="AK1717" t="s">
        <v>11</v>
      </c>
    </row>
    <row r="1718" spans="1:37">
      <c r="A1718">
        <v>257858</v>
      </c>
      <c r="B1718" s="1">
        <v>45366</v>
      </c>
      <c r="C1718" t="s">
        <v>2444</v>
      </c>
      <c r="D1718" t="s">
        <v>2445</v>
      </c>
      <c r="E1718" t="s">
        <v>2</v>
      </c>
      <c r="F1718" t="s">
        <v>2446</v>
      </c>
      <c r="G1718" t="s">
        <v>575</v>
      </c>
      <c r="H1718">
        <v>49306</v>
      </c>
      <c r="I1718" t="s">
        <v>2444</v>
      </c>
      <c r="J1718" t="s">
        <v>2445</v>
      </c>
      <c r="K1718" t="s">
        <v>2</v>
      </c>
      <c r="L1718" t="s">
        <v>2446</v>
      </c>
      <c r="M1718" t="s">
        <v>575</v>
      </c>
      <c r="N1718">
        <v>49306</v>
      </c>
      <c r="O1718" t="s">
        <v>2450</v>
      </c>
      <c r="P1718">
        <v>469017</v>
      </c>
      <c r="Q1718" t="s">
        <v>6</v>
      </c>
      <c r="R1718">
        <v>414931</v>
      </c>
      <c r="S1718" t="s">
        <v>2451</v>
      </c>
      <c r="T1718" s="2">
        <v>18</v>
      </c>
      <c r="U1718">
        <v>0</v>
      </c>
      <c r="V1718" t="s">
        <v>236</v>
      </c>
      <c r="W1718">
        <v>0</v>
      </c>
      <c r="X1718">
        <v>0</v>
      </c>
      <c r="Y1718">
        <v>0</v>
      </c>
      <c r="Z1718" t="s">
        <v>88</v>
      </c>
      <c r="AA1718" t="s">
        <v>144</v>
      </c>
      <c r="AB1718" t="s">
        <v>10</v>
      </c>
      <c r="AC1718">
        <v>0</v>
      </c>
      <c r="AD1718">
        <v>0</v>
      </c>
      <c r="AE1718">
        <v>9442816972</v>
      </c>
      <c r="AF1718">
        <v>1880.58</v>
      </c>
      <c r="AG1718">
        <v>0</v>
      </c>
      <c r="AH1718">
        <v>0</v>
      </c>
      <c r="AI1718">
        <v>1880.58</v>
      </c>
      <c r="AJ1718" t="s">
        <v>2</v>
      </c>
      <c r="AK1718" t="s">
        <v>11</v>
      </c>
    </row>
    <row r="1719" spans="1:37">
      <c r="A1719">
        <v>257858</v>
      </c>
      <c r="B1719" s="1">
        <v>45366</v>
      </c>
      <c r="C1719" t="s">
        <v>2444</v>
      </c>
      <c r="D1719" t="s">
        <v>2445</v>
      </c>
      <c r="E1719" t="s">
        <v>2</v>
      </c>
      <c r="F1719" t="s">
        <v>2446</v>
      </c>
      <c r="G1719" t="s">
        <v>575</v>
      </c>
      <c r="H1719">
        <v>49306</v>
      </c>
      <c r="I1719" t="s">
        <v>2444</v>
      </c>
      <c r="J1719" t="s">
        <v>2445</v>
      </c>
      <c r="K1719" t="s">
        <v>2</v>
      </c>
      <c r="L1719" t="s">
        <v>2446</v>
      </c>
      <c r="M1719" t="s">
        <v>575</v>
      </c>
      <c r="N1719">
        <v>49306</v>
      </c>
      <c r="O1719" t="s">
        <v>2450</v>
      </c>
      <c r="P1719">
        <v>469017</v>
      </c>
      <c r="Q1719" t="s">
        <v>6</v>
      </c>
      <c r="R1719">
        <v>414931</v>
      </c>
      <c r="S1719" t="s">
        <v>2451</v>
      </c>
      <c r="T1719" s="2">
        <v>18</v>
      </c>
      <c r="U1719">
        <v>0</v>
      </c>
      <c r="V1719" t="s">
        <v>236</v>
      </c>
      <c r="W1719">
        <v>4</v>
      </c>
      <c r="X1719">
        <v>4</v>
      </c>
      <c r="Y1719">
        <v>0</v>
      </c>
      <c r="Z1719" t="s">
        <v>2573</v>
      </c>
      <c r="AA1719" t="s">
        <v>2574</v>
      </c>
      <c r="AB1719" t="s">
        <v>14</v>
      </c>
      <c r="AC1719">
        <v>71.144999999999996</v>
      </c>
      <c r="AD1719">
        <v>284.58</v>
      </c>
      <c r="AE1719">
        <v>9442816972</v>
      </c>
      <c r="AF1719">
        <v>1880.58</v>
      </c>
      <c r="AG1719">
        <v>0</v>
      </c>
      <c r="AH1719">
        <v>0</v>
      </c>
      <c r="AI1719">
        <v>1880.58</v>
      </c>
      <c r="AJ1719" t="s">
        <v>2</v>
      </c>
      <c r="AK1719" t="s">
        <v>11</v>
      </c>
    </row>
    <row r="1720" spans="1:37">
      <c r="A1720">
        <v>257858</v>
      </c>
      <c r="B1720" s="1">
        <v>45366</v>
      </c>
      <c r="C1720" t="s">
        <v>2444</v>
      </c>
      <c r="D1720" t="s">
        <v>2445</v>
      </c>
      <c r="E1720" t="s">
        <v>2</v>
      </c>
      <c r="F1720" t="s">
        <v>2446</v>
      </c>
      <c r="G1720" t="s">
        <v>575</v>
      </c>
      <c r="H1720">
        <v>49306</v>
      </c>
      <c r="I1720" t="s">
        <v>2444</v>
      </c>
      <c r="J1720" t="s">
        <v>2445</v>
      </c>
      <c r="K1720" t="s">
        <v>2</v>
      </c>
      <c r="L1720" t="s">
        <v>2446</v>
      </c>
      <c r="M1720" t="s">
        <v>575</v>
      </c>
      <c r="N1720">
        <v>49306</v>
      </c>
      <c r="O1720" t="s">
        <v>2450</v>
      </c>
      <c r="P1720">
        <v>469017</v>
      </c>
      <c r="Q1720" t="s">
        <v>6</v>
      </c>
      <c r="R1720">
        <v>414931</v>
      </c>
      <c r="S1720" t="s">
        <v>2451</v>
      </c>
      <c r="T1720" s="2">
        <v>18</v>
      </c>
      <c r="U1720">
        <v>0</v>
      </c>
      <c r="V1720" t="s">
        <v>236</v>
      </c>
      <c r="W1720">
        <v>0</v>
      </c>
      <c r="X1720">
        <v>0</v>
      </c>
      <c r="Y1720">
        <v>0</v>
      </c>
      <c r="Z1720" t="s">
        <v>88</v>
      </c>
      <c r="AA1720" t="s">
        <v>2575</v>
      </c>
      <c r="AB1720" t="s">
        <v>10</v>
      </c>
      <c r="AC1720">
        <v>0</v>
      </c>
      <c r="AD1720">
        <v>0</v>
      </c>
      <c r="AE1720">
        <v>9442816972</v>
      </c>
      <c r="AF1720">
        <v>1880.58</v>
      </c>
      <c r="AG1720">
        <v>0</v>
      </c>
      <c r="AH1720">
        <v>0</v>
      </c>
      <c r="AI1720">
        <v>1880.58</v>
      </c>
      <c r="AJ1720" t="s">
        <v>2</v>
      </c>
      <c r="AK1720" t="s">
        <v>11</v>
      </c>
    </row>
    <row r="1721" spans="1:37">
      <c r="A1721">
        <v>257858</v>
      </c>
      <c r="B1721" s="1">
        <v>45366</v>
      </c>
      <c r="C1721" t="s">
        <v>2444</v>
      </c>
      <c r="D1721" t="s">
        <v>2445</v>
      </c>
      <c r="E1721" t="s">
        <v>2</v>
      </c>
      <c r="F1721" t="s">
        <v>2446</v>
      </c>
      <c r="G1721" t="s">
        <v>575</v>
      </c>
      <c r="H1721">
        <v>49306</v>
      </c>
      <c r="I1721" t="s">
        <v>2444</v>
      </c>
      <c r="J1721" t="s">
        <v>2445</v>
      </c>
      <c r="K1721" t="s">
        <v>2</v>
      </c>
      <c r="L1721" t="s">
        <v>2446</v>
      </c>
      <c r="M1721" t="s">
        <v>575</v>
      </c>
      <c r="N1721">
        <v>49306</v>
      </c>
      <c r="O1721" t="s">
        <v>2450</v>
      </c>
      <c r="P1721">
        <v>469017</v>
      </c>
      <c r="Q1721" t="s">
        <v>6</v>
      </c>
      <c r="R1721">
        <v>414931</v>
      </c>
      <c r="S1721" t="s">
        <v>2451</v>
      </c>
      <c r="T1721" s="2">
        <v>18</v>
      </c>
      <c r="U1721">
        <v>0</v>
      </c>
      <c r="V1721" t="s">
        <v>236</v>
      </c>
      <c r="W1721">
        <v>0</v>
      </c>
      <c r="X1721">
        <v>0</v>
      </c>
      <c r="Y1721">
        <v>0</v>
      </c>
      <c r="Z1721" t="s">
        <v>88</v>
      </c>
      <c r="AA1721" t="s">
        <v>2576</v>
      </c>
      <c r="AB1721" t="s">
        <v>10</v>
      </c>
      <c r="AC1721">
        <v>0</v>
      </c>
      <c r="AD1721">
        <v>0</v>
      </c>
      <c r="AE1721">
        <v>9442816972</v>
      </c>
      <c r="AF1721">
        <v>1880.58</v>
      </c>
      <c r="AG1721">
        <v>0</v>
      </c>
      <c r="AH1721">
        <v>0</v>
      </c>
      <c r="AI1721">
        <v>1880.58</v>
      </c>
      <c r="AJ1721" t="s">
        <v>2</v>
      </c>
      <c r="AK1721" t="s">
        <v>11</v>
      </c>
    </row>
    <row r="1722" spans="1:37">
      <c r="A1722">
        <v>257858</v>
      </c>
      <c r="B1722" s="1">
        <v>45366</v>
      </c>
      <c r="C1722" t="s">
        <v>2444</v>
      </c>
      <c r="D1722" t="s">
        <v>2445</v>
      </c>
      <c r="E1722" t="s">
        <v>2</v>
      </c>
      <c r="F1722" t="s">
        <v>2446</v>
      </c>
      <c r="G1722" t="s">
        <v>575</v>
      </c>
      <c r="H1722">
        <v>49306</v>
      </c>
      <c r="I1722" t="s">
        <v>2444</v>
      </c>
      <c r="J1722" t="s">
        <v>2445</v>
      </c>
      <c r="K1722" t="s">
        <v>2</v>
      </c>
      <c r="L1722" t="s">
        <v>2446</v>
      </c>
      <c r="M1722" t="s">
        <v>575</v>
      </c>
      <c r="N1722">
        <v>49306</v>
      </c>
      <c r="O1722" t="s">
        <v>2450</v>
      </c>
      <c r="P1722">
        <v>469017</v>
      </c>
      <c r="Q1722" t="s">
        <v>6</v>
      </c>
      <c r="R1722">
        <v>414931</v>
      </c>
      <c r="S1722" t="s">
        <v>2451</v>
      </c>
      <c r="T1722" s="2">
        <v>18</v>
      </c>
      <c r="U1722">
        <v>0</v>
      </c>
      <c r="V1722" t="s">
        <v>236</v>
      </c>
      <c r="W1722">
        <v>1</v>
      </c>
      <c r="X1722">
        <v>0</v>
      </c>
      <c r="Y1722">
        <v>1</v>
      </c>
      <c r="Z1722" t="s">
        <v>2577</v>
      </c>
      <c r="AA1722" t="s">
        <v>2578</v>
      </c>
      <c r="AB1722" t="s">
        <v>14</v>
      </c>
      <c r="AC1722">
        <v>132.44550000000001</v>
      </c>
      <c r="AD1722">
        <v>0</v>
      </c>
      <c r="AE1722">
        <v>9442816972</v>
      </c>
      <c r="AF1722">
        <v>1880.58</v>
      </c>
      <c r="AG1722">
        <v>0</v>
      </c>
      <c r="AH1722">
        <v>0</v>
      </c>
      <c r="AI1722">
        <v>1880.58</v>
      </c>
      <c r="AJ1722" t="s">
        <v>2</v>
      </c>
      <c r="AK1722" t="s">
        <v>11</v>
      </c>
    </row>
    <row r="1723" spans="1:37">
      <c r="A1723">
        <v>257858</v>
      </c>
      <c r="B1723" s="1">
        <v>45366</v>
      </c>
      <c r="C1723" t="s">
        <v>2444</v>
      </c>
      <c r="D1723" t="s">
        <v>2445</v>
      </c>
      <c r="E1723" t="s">
        <v>2</v>
      </c>
      <c r="F1723" t="s">
        <v>2446</v>
      </c>
      <c r="G1723" t="s">
        <v>575</v>
      </c>
      <c r="H1723">
        <v>49306</v>
      </c>
      <c r="I1723" t="s">
        <v>2444</v>
      </c>
      <c r="J1723" t="s">
        <v>2445</v>
      </c>
      <c r="K1723" t="s">
        <v>2</v>
      </c>
      <c r="L1723" t="s">
        <v>2446</v>
      </c>
      <c r="M1723" t="s">
        <v>575</v>
      </c>
      <c r="N1723">
        <v>49306</v>
      </c>
      <c r="O1723" t="s">
        <v>2450</v>
      </c>
      <c r="P1723">
        <v>469017</v>
      </c>
      <c r="Q1723" t="s">
        <v>6</v>
      </c>
      <c r="R1723">
        <v>414931</v>
      </c>
      <c r="S1723" t="s">
        <v>2451</v>
      </c>
      <c r="T1723" s="2">
        <v>18</v>
      </c>
      <c r="U1723">
        <v>0</v>
      </c>
      <c r="V1723" t="s">
        <v>236</v>
      </c>
      <c r="W1723">
        <v>0</v>
      </c>
      <c r="X1723">
        <v>0</v>
      </c>
      <c r="Y1723">
        <v>0</v>
      </c>
      <c r="Z1723" t="s">
        <v>88</v>
      </c>
      <c r="AA1723" t="s">
        <v>2579</v>
      </c>
      <c r="AB1723" t="s">
        <v>10</v>
      </c>
      <c r="AC1723">
        <v>0</v>
      </c>
      <c r="AD1723">
        <v>0</v>
      </c>
      <c r="AE1723">
        <v>9442816972</v>
      </c>
      <c r="AF1723">
        <v>1880.58</v>
      </c>
      <c r="AG1723">
        <v>0</v>
      </c>
      <c r="AH1723">
        <v>0</v>
      </c>
      <c r="AI1723">
        <v>1880.58</v>
      </c>
      <c r="AJ1723" t="s">
        <v>2</v>
      </c>
      <c r="AK1723" t="s">
        <v>11</v>
      </c>
    </row>
    <row r="1724" spans="1:37">
      <c r="A1724">
        <v>257858</v>
      </c>
      <c r="B1724" s="1">
        <v>45366</v>
      </c>
      <c r="C1724" t="s">
        <v>2444</v>
      </c>
      <c r="D1724" t="s">
        <v>2445</v>
      </c>
      <c r="E1724" t="s">
        <v>2</v>
      </c>
      <c r="F1724" t="s">
        <v>2446</v>
      </c>
      <c r="G1724" t="s">
        <v>575</v>
      </c>
      <c r="H1724">
        <v>49306</v>
      </c>
      <c r="I1724" t="s">
        <v>2444</v>
      </c>
      <c r="J1724" t="s">
        <v>2445</v>
      </c>
      <c r="K1724" t="s">
        <v>2</v>
      </c>
      <c r="L1724" t="s">
        <v>2446</v>
      </c>
      <c r="M1724" t="s">
        <v>575</v>
      </c>
      <c r="N1724">
        <v>49306</v>
      </c>
      <c r="O1724" t="s">
        <v>2450</v>
      </c>
      <c r="P1724">
        <v>469017</v>
      </c>
      <c r="Q1724" t="s">
        <v>6</v>
      </c>
      <c r="R1724">
        <v>414931</v>
      </c>
      <c r="S1724" t="s">
        <v>2451</v>
      </c>
      <c r="T1724" s="2">
        <v>18</v>
      </c>
      <c r="U1724">
        <v>0</v>
      </c>
      <c r="V1724" t="s">
        <v>236</v>
      </c>
      <c r="W1724">
        <v>1</v>
      </c>
      <c r="X1724">
        <v>1</v>
      </c>
      <c r="Y1724">
        <v>0</v>
      </c>
      <c r="Z1724" t="s">
        <v>183</v>
      </c>
      <c r="AA1724" t="s">
        <v>184</v>
      </c>
      <c r="AB1724" t="s">
        <v>14</v>
      </c>
      <c r="AC1724">
        <v>25</v>
      </c>
      <c r="AD1724">
        <v>25</v>
      </c>
      <c r="AE1724">
        <v>9442816972</v>
      </c>
      <c r="AF1724">
        <v>1880.58</v>
      </c>
      <c r="AG1724">
        <v>0</v>
      </c>
      <c r="AH1724">
        <v>0</v>
      </c>
      <c r="AI1724">
        <v>1880.58</v>
      </c>
      <c r="AJ1724" t="s">
        <v>2</v>
      </c>
      <c r="AK1724" t="s">
        <v>11</v>
      </c>
    </row>
    <row r="1725" spans="1:37">
      <c r="A1725">
        <v>257859</v>
      </c>
      <c r="B1725" s="1">
        <v>45366</v>
      </c>
      <c r="C1725" t="s">
        <v>972</v>
      </c>
      <c r="D1725" t="s">
        <v>973</v>
      </c>
      <c r="E1725" t="s">
        <v>2</v>
      </c>
      <c r="F1725" t="s">
        <v>66</v>
      </c>
      <c r="G1725" t="s">
        <v>67</v>
      </c>
      <c r="H1725">
        <v>75356</v>
      </c>
      <c r="I1725" t="s">
        <v>2580</v>
      </c>
      <c r="J1725" t="s">
        <v>2581</v>
      </c>
      <c r="K1725" t="s">
        <v>2</v>
      </c>
      <c r="L1725" t="s">
        <v>2582</v>
      </c>
      <c r="M1725" t="s">
        <v>67</v>
      </c>
      <c r="N1725">
        <v>75062</v>
      </c>
      <c r="O1725" t="s">
        <v>977</v>
      </c>
      <c r="P1725" t="s">
        <v>2583</v>
      </c>
      <c r="Q1725" t="s">
        <v>6</v>
      </c>
      <c r="R1725">
        <v>415058</v>
      </c>
      <c r="S1725" t="s">
        <v>2451</v>
      </c>
      <c r="T1725" s="2">
        <v>16</v>
      </c>
      <c r="U1725">
        <v>0</v>
      </c>
      <c r="V1725" t="s">
        <v>260</v>
      </c>
      <c r="W1725">
        <v>0</v>
      </c>
      <c r="X1725">
        <v>0</v>
      </c>
      <c r="Y1725">
        <v>0</v>
      </c>
      <c r="Z1725" t="s">
        <v>9</v>
      </c>
      <c r="AA1725" t="s">
        <v>2</v>
      </c>
      <c r="AB1725" t="s">
        <v>10</v>
      </c>
      <c r="AC1725">
        <v>0</v>
      </c>
      <c r="AD1725">
        <v>0</v>
      </c>
      <c r="AE1725">
        <v>9442813940</v>
      </c>
      <c r="AF1725">
        <v>5879.3</v>
      </c>
      <c r="AG1725">
        <v>0</v>
      </c>
      <c r="AH1725">
        <v>0</v>
      </c>
      <c r="AI1725">
        <v>5879.3</v>
      </c>
      <c r="AJ1725" t="s">
        <v>2</v>
      </c>
      <c r="AK1725" t="s">
        <v>11</v>
      </c>
    </row>
    <row r="1726" spans="1:37">
      <c r="A1726">
        <v>257859</v>
      </c>
      <c r="B1726" s="1">
        <v>45366</v>
      </c>
      <c r="C1726" t="s">
        <v>972</v>
      </c>
      <c r="D1726" t="s">
        <v>973</v>
      </c>
      <c r="E1726" t="s">
        <v>2</v>
      </c>
      <c r="F1726" t="s">
        <v>66</v>
      </c>
      <c r="G1726" t="s">
        <v>67</v>
      </c>
      <c r="H1726">
        <v>75356</v>
      </c>
      <c r="I1726" t="s">
        <v>2580</v>
      </c>
      <c r="J1726" t="s">
        <v>2581</v>
      </c>
      <c r="K1726" t="s">
        <v>2</v>
      </c>
      <c r="L1726" t="s">
        <v>2582</v>
      </c>
      <c r="M1726" t="s">
        <v>67</v>
      </c>
      <c r="N1726">
        <v>75062</v>
      </c>
      <c r="O1726" t="s">
        <v>977</v>
      </c>
      <c r="P1726" t="s">
        <v>2583</v>
      </c>
      <c r="Q1726" t="s">
        <v>6</v>
      </c>
      <c r="R1726">
        <v>415058</v>
      </c>
      <c r="S1726" t="s">
        <v>2451</v>
      </c>
      <c r="T1726" s="2">
        <v>16</v>
      </c>
      <c r="U1726">
        <v>0</v>
      </c>
      <c r="V1726" t="s">
        <v>260</v>
      </c>
      <c r="W1726">
        <v>2</v>
      </c>
      <c r="X1726">
        <v>2</v>
      </c>
      <c r="Y1726">
        <v>0</v>
      </c>
      <c r="Z1726" t="s">
        <v>2584</v>
      </c>
      <c r="AA1726" t="s">
        <v>2585</v>
      </c>
      <c r="AB1726" t="s">
        <v>14</v>
      </c>
      <c r="AC1726">
        <v>156.58920000000001</v>
      </c>
      <c r="AD1726">
        <v>313.18</v>
      </c>
      <c r="AE1726">
        <v>9442813940</v>
      </c>
      <c r="AF1726">
        <v>5879.3</v>
      </c>
      <c r="AG1726">
        <v>0</v>
      </c>
      <c r="AH1726">
        <v>0</v>
      </c>
      <c r="AI1726">
        <v>5879.3</v>
      </c>
      <c r="AJ1726" t="s">
        <v>2</v>
      </c>
      <c r="AK1726" t="s">
        <v>11</v>
      </c>
    </row>
    <row r="1727" spans="1:37">
      <c r="A1727">
        <v>257859</v>
      </c>
      <c r="B1727" s="1">
        <v>45366</v>
      </c>
      <c r="C1727" t="s">
        <v>972</v>
      </c>
      <c r="D1727" t="s">
        <v>973</v>
      </c>
      <c r="E1727" t="s">
        <v>2</v>
      </c>
      <c r="F1727" t="s">
        <v>66</v>
      </c>
      <c r="G1727" t="s">
        <v>67</v>
      </c>
      <c r="H1727">
        <v>75356</v>
      </c>
      <c r="I1727" t="s">
        <v>2580</v>
      </c>
      <c r="J1727" t="s">
        <v>2581</v>
      </c>
      <c r="K1727" t="s">
        <v>2</v>
      </c>
      <c r="L1727" t="s">
        <v>2582</v>
      </c>
      <c r="M1727" t="s">
        <v>67</v>
      </c>
      <c r="N1727">
        <v>75062</v>
      </c>
      <c r="O1727" t="s">
        <v>977</v>
      </c>
      <c r="P1727" t="s">
        <v>2583</v>
      </c>
      <c r="Q1727" t="s">
        <v>6</v>
      </c>
      <c r="R1727">
        <v>415058</v>
      </c>
      <c r="S1727" t="s">
        <v>2451</v>
      </c>
      <c r="T1727" s="2">
        <v>16</v>
      </c>
      <c r="U1727">
        <v>0</v>
      </c>
      <c r="V1727" t="s">
        <v>260</v>
      </c>
      <c r="W1727">
        <v>0</v>
      </c>
      <c r="X1727">
        <v>0</v>
      </c>
      <c r="Y1727">
        <v>0</v>
      </c>
      <c r="Z1727" t="s">
        <v>88</v>
      </c>
      <c r="AA1727" t="s">
        <v>317</v>
      </c>
      <c r="AB1727" t="s">
        <v>10</v>
      </c>
      <c r="AC1727">
        <v>0</v>
      </c>
      <c r="AD1727">
        <v>0</v>
      </c>
      <c r="AE1727">
        <v>9442813940</v>
      </c>
      <c r="AF1727">
        <v>5879.3</v>
      </c>
      <c r="AG1727">
        <v>0</v>
      </c>
      <c r="AH1727">
        <v>0</v>
      </c>
      <c r="AI1727">
        <v>5879.3</v>
      </c>
      <c r="AJ1727" t="s">
        <v>2</v>
      </c>
      <c r="AK1727" t="s">
        <v>11</v>
      </c>
    </row>
    <row r="1728" spans="1:37">
      <c r="A1728">
        <v>257859</v>
      </c>
      <c r="B1728" s="1">
        <v>45366</v>
      </c>
      <c r="C1728" t="s">
        <v>972</v>
      </c>
      <c r="D1728" t="s">
        <v>973</v>
      </c>
      <c r="E1728" t="s">
        <v>2</v>
      </c>
      <c r="F1728" t="s">
        <v>66</v>
      </c>
      <c r="G1728" t="s">
        <v>67</v>
      </c>
      <c r="H1728">
        <v>75356</v>
      </c>
      <c r="I1728" t="s">
        <v>2580</v>
      </c>
      <c r="J1728" t="s">
        <v>2581</v>
      </c>
      <c r="K1728" t="s">
        <v>2</v>
      </c>
      <c r="L1728" t="s">
        <v>2582</v>
      </c>
      <c r="M1728" t="s">
        <v>67</v>
      </c>
      <c r="N1728">
        <v>75062</v>
      </c>
      <c r="O1728" t="s">
        <v>977</v>
      </c>
      <c r="P1728" t="s">
        <v>2583</v>
      </c>
      <c r="Q1728" t="s">
        <v>6</v>
      </c>
      <c r="R1728">
        <v>415058</v>
      </c>
      <c r="S1728" t="s">
        <v>2451</v>
      </c>
      <c r="T1728" s="2">
        <v>16</v>
      </c>
      <c r="U1728">
        <v>0</v>
      </c>
      <c r="V1728" t="s">
        <v>260</v>
      </c>
      <c r="W1728">
        <v>2</v>
      </c>
      <c r="X1728">
        <v>2</v>
      </c>
      <c r="Y1728">
        <v>0</v>
      </c>
      <c r="Z1728" t="s">
        <v>2586</v>
      </c>
      <c r="AA1728" t="s">
        <v>2587</v>
      </c>
      <c r="AB1728" t="s">
        <v>14</v>
      </c>
      <c r="AC1728">
        <v>132.9751</v>
      </c>
      <c r="AD1728">
        <v>265.95</v>
      </c>
      <c r="AE1728">
        <v>9442813940</v>
      </c>
      <c r="AF1728">
        <v>5879.3</v>
      </c>
      <c r="AG1728">
        <v>0</v>
      </c>
      <c r="AH1728">
        <v>0</v>
      </c>
      <c r="AI1728">
        <v>5879.3</v>
      </c>
      <c r="AJ1728" t="s">
        <v>2</v>
      </c>
      <c r="AK1728" t="s">
        <v>11</v>
      </c>
    </row>
    <row r="1729" spans="1:37">
      <c r="A1729">
        <v>257859</v>
      </c>
      <c r="B1729" s="1">
        <v>45366</v>
      </c>
      <c r="C1729" t="s">
        <v>972</v>
      </c>
      <c r="D1729" t="s">
        <v>973</v>
      </c>
      <c r="E1729" t="s">
        <v>2</v>
      </c>
      <c r="F1729" t="s">
        <v>66</v>
      </c>
      <c r="G1729" t="s">
        <v>67</v>
      </c>
      <c r="H1729">
        <v>75356</v>
      </c>
      <c r="I1729" t="s">
        <v>2580</v>
      </c>
      <c r="J1729" t="s">
        <v>2581</v>
      </c>
      <c r="K1729" t="s">
        <v>2</v>
      </c>
      <c r="L1729" t="s">
        <v>2582</v>
      </c>
      <c r="M1729" t="s">
        <v>67</v>
      </c>
      <c r="N1729">
        <v>75062</v>
      </c>
      <c r="O1729" t="s">
        <v>977</v>
      </c>
      <c r="P1729" t="s">
        <v>2583</v>
      </c>
      <c r="Q1729" t="s">
        <v>6</v>
      </c>
      <c r="R1729">
        <v>415058</v>
      </c>
      <c r="S1729" t="s">
        <v>2451</v>
      </c>
      <c r="T1729" s="2">
        <v>16</v>
      </c>
      <c r="U1729">
        <v>0</v>
      </c>
      <c r="V1729" t="s">
        <v>260</v>
      </c>
      <c r="W1729">
        <v>0</v>
      </c>
      <c r="X1729">
        <v>0</v>
      </c>
      <c r="Y1729">
        <v>0</v>
      </c>
      <c r="Z1729" t="s">
        <v>88</v>
      </c>
      <c r="AA1729" t="s">
        <v>317</v>
      </c>
      <c r="AB1729" t="s">
        <v>10</v>
      </c>
      <c r="AC1729">
        <v>0</v>
      </c>
      <c r="AD1729">
        <v>0</v>
      </c>
      <c r="AE1729">
        <v>9442813940</v>
      </c>
      <c r="AF1729">
        <v>5879.3</v>
      </c>
      <c r="AG1729">
        <v>0</v>
      </c>
      <c r="AH1729">
        <v>0</v>
      </c>
      <c r="AI1729">
        <v>5879.3</v>
      </c>
      <c r="AJ1729" t="s">
        <v>2</v>
      </c>
      <c r="AK1729" t="s">
        <v>11</v>
      </c>
    </row>
    <row r="1730" spans="1:37">
      <c r="A1730">
        <v>257859</v>
      </c>
      <c r="B1730" s="1">
        <v>45366</v>
      </c>
      <c r="C1730" t="s">
        <v>972</v>
      </c>
      <c r="D1730" t="s">
        <v>973</v>
      </c>
      <c r="E1730" t="s">
        <v>2</v>
      </c>
      <c r="F1730" t="s">
        <v>66</v>
      </c>
      <c r="G1730" t="s">
        <v>67</v>
      </c>
      <c r="H1730">
        <v>75356</v>
      </c>
      <c r="I1730" t="s">
        <v>2580</v>
      </c>
      <c r="J1730" t="s">
        <v>2581</v>
      </c>
      <c r="K1730" t="s">
        <v>2</v>
      </c>
      <c r="L1730" t="s">
        <v>2582</v>
      </c>
      <c r="M1730" t="s">
        <v>67</v>
      </c>
      <c r="N1730">
        <v>75062</v>
      </c>
      <c r="O1730" t="s">
        <v>977</v>
      </c>
      <c r="P1730" t="s">
        <v>2583</v>
      </c>
      <c r="Q1730" t="s">
        <v>6</v>
      </c>
      <c r="R1730">
        <v>415058</v>
      </c>
      <c r="S1730" t="s">
        <v>2451</v>
      </c>
      <c r="T1730" s="2">
        <v>16</v>
      </c>
      <c r="U1730">
        <v>0</v>
      </c>
      <c r="V1730" t="s">
        <v>260</v>
      </c>
      <c r="W1730">
        <v>2</v>
      </c>
      <c r="X1730">
        <v>2</v>
      </c>
      <c r="Y1730">
        <v>0</v>
      </c>
      <c r="Z1730" t="s">
        <v>2588</v>
      </c>
      <c r="AA1730" t="s">
        <v>2589</v>
      </c>
      <c r="AB1730" t="s">
        <v>14</v>
      </c>
      <c r="AC1730">
        <v>132.9751</v>
      </c>
      <c r="AD1730">
        <v>265.95</v>
      </c>
      <c r="AE1730">
        <v>9442813940</v>
      </c>
      <c r="AF1730">
        <v>5879.3</v>
      </c>
      <c r="AG1730">
        <v>0</v>
      </c>
      <c r="AH1730">
        <v>0</v>
      </c>
      <c r="AI1730">
        <v>5879.3</v>
      </c>
      <c r="AJ1730" t="s">
        <v>2</v>
      </c>
      <c r="AK1730" t="s">
        <v>11</v>
      </c>
    </row>
    <row r="1731" spans="1:37">
      <c r="A1731">
        <v>257859</v>
      </c>
      <c r="B1731" s="1">
        <v>45366</v>
      </c>
      <c r="C1731" t="s">
        <v>972</v>
      </c>
      <c r="D1731" t="s">
        <v>973</v>
      </c>
      <c r="E1731" t="s">
        <v>2</v>
      </c>
      <c r="F1731" t="s">
        <v>66</v>
      </c>
      <c r="G1731" t="s">
        <v>67</v>
      </c>
      <c r="H1731">
        <v>75356</v>
      </c>
      <c r="I1731" t="s">
        <v>2580</v>
      </c>
      <c r="J1731" t="s">
        <v>2581</v>
      </c>
      <c r="K1731" t="s">
        <v>2</v>
      </c>
      <c r="L1731" t="s">
        <v>2582</v>
      </c>
      <c r="M1731" t="s">
        <v>67</v>
      </c>
      <c r="N1731">
        <v>75062</v>
      </c>
      <c r="O1731" t="s">
        <v>977</v>
      </c>
      <c r="P1731" t="s">
        <v>2583</v>
      </c>
      <c r="Q1731" t="s">
        <v>6</v>
      </c>
      <c r="R1731">
        <v>415058</v>
      </c>
      <c r="S1731" t="s">
        <v>2451</v>
      </c>
      <c r="T1731" s="2">
        <v>16</v>
      </c>
      <c r="U1731">
        <v>0</v>
      </c>
      <c r="V1731" t="s">
        <v>260</v>
      </c>
      <c r="W1731">
        <v>0</v>
      </c>
      <c r="X1731">
        <v>0</v>
      </c>
      <c r="Y1731">
        <v>0</v>
      </c>
      <c r="Z1731" t="s">
        <v>88</v>
      </c>
      <c r="AA1731" t="s">
        <v>317</v>
      </c>
      <c r="AB1731" t="s">
        <v>10</v>
      </c>
      <c r="AC1731">
        <v>0</v>
      </c>
      <c r="AD1731">
        <v>0</v>
      </c>
      <c r="AE1731">
        <v>9442813940</v>
      </c>
      <c r="AF1731">
        <v>5879.3</v>
      </c>
      <c r="AG1731">
        <v>0</v>
      </c>
      <c r="AH1731">
        <v>0</v>
      </c>
      <c r="AI1731">
        <v>5879.3</v>
      </c>
      <c r="AJ1731" t="s">
        <v>2</v>
      </c>
      <c r="AK1731" t="s">
        <v>11</v>
      </c>
    </row>
    <row r="1732" spans="1:37">
      <c r="A1732">
        <v>257859</v>
      </c>
      <c r="B1732" s="1">
        <v>45366</v>
      </c>
      <c r="C1732" t="s">
        <v>972</v>
      </c>
      <c r="D1732" t="s">
        <v>973</v>
      </c>
      <c r="E1732" t="s">
        <v>2</v>
      </c>
      <c r="F1732" t="s">
        <v>66</v>
      </c>
      <c r="G1732" t="s">
        <v>67</v>
      </c>
      <c r="H1732">
        <v>75356</v>
      </c>
      <c r="I1732" t="s">
        <v>2580</v>
      </c>
      <c r="J1732" t="s">
        <v>2581</v>
      </c>
      <c r="K1732" t="s">
        <v>2</v>
      </c>
      <c r="L1732" t="s">
        <v>2582</v>
      </c>
      <c r="M1732" t="s">
        <v>67</v>
      </c>
      <c r="N1732">
        <v>75062</v>
      </c>
      <c r="O1732" t="s">
        <v>977</v>
      </c>
      <c r="P1732" t="s">
        <v>2583</v>
      </c>
      <c r="Q1732" t="s">
        <v>6</v>
      </c>
      <c r="R1732">
        <v>415058</v>
      </c>
      <c r="S1732" t="s">
        <v>2451</v>
      </c>
      <c r="T1732" s="2">
        <v>16</v>
      </c>
      <c r="U1732">
        <v>0</v>
      </c>
      <c r="V1732" t="s">
        <v>260</v>
      </c>
      <c r="W1732">
        <v>1</v>
      </c>
      <c r="X1732">
        <v>0</v>
      </c>
      <c r="Y1732">
        <v>1</v>
      </c>
      <c r="Z1732" t="s">
        <v>2481</v>
      </c>
      <c r="AA1732" t="s">
        <v>2482</v>
      </c>
      <c r="AB1732" t="s">
        <v>14</v>
      </c>
      <c r="AC1732">
        <v>132.9751</v>
      </c>
      <c r="AD1732">
        <v>0</v>
      </c>
      <c r="AE1732">
        <v>9442813940</v>
      </c>
      <c r="AF1732">
        <v>5879.3</v>
      </c>
      <c r="AG1732">
        <v>0</v>
      </c>
      <c r="AH1732">
        <v>0</v>
      </c>
      <c r="AI1732">
        <v>5879.3</v>
      </c>
      <c r="AJ1732" t="s">
        <v>2</v>
      </c>
      <c r="AK1732" t="s">
        <v>11</v>
      </c>
    </row>
    <row r="1733" spans="1:37">
      <c r="A1733">
        <v>257859</v>
      </c>
      <c r="B1733" s="1">
        <v>45366</v>
      </c>
      <c r="C1733" t="s">
        <v>972</v>
      </c>
      <c r="D1733" t="s">
        <v>973</v>
      </c>
      <c r="E1733" t="s">
        <v>2</v>
      </c>
      <c r="F1733" t="s">
        <v>66</v>
      </c>
      <c r="G1733" t="s">
        <v>67</v>
      </c>
      <c r="H1733">
        <v>75356</v>
      </c>
      <c r="I1733" t="s">
        <v>2580</v>
      </c>
      <c r="J1733" t="s">
        <v>2581</v>
      </c>
      <c r="K1733" t="s">
        <v>2</v>
      </c>
      <c r="L1733" t="s">
        <v>2582</v>
      </c>
      <c r="M1733" t="s">
        <v>67</v>
      </c>
      <c r="N1733">
        <v>75062</v>
      </c>
      <c r="O1733" t="s">
        <v>977</v>
      </c>
      <c r="P1733" t="s">
        <v>2583</v>
      </c>
      <c r="Q1733" t="s">
        <v>6</v>
      </c>
      <c r="R1733">
        <v>415058</v>
      </c>
      <c r="S1733" t="s">
        <v>2451</v>
      </c>
      <c r="T1733" s="2">
        <v>16</v>
      </c>
      <c r="U1733">
        <v>0</v>
      </c>
      <c r="V1733" t="s">
        <v>260</v>
      </c>
      <c r="W1733">
        <v>0</v>
      </c>
      <c r="X1733">
        <v>0</v>
      </c>
      <c r="Y1733">
        <v>0</v>
      </c>
      <c r="Z1733" t="s">
        <v>88</v>
      </c>
      <c r="AA1733" t="s">
        <v>317</v>
      </c>
      <c r="AB1733" t="s">
        <v>10</v>
      </c>
      <c r="AC1733">
        <v>0</v>
      </c>
      <c r="AD1733">
        <v>0</v>
      </c>
      <c r="AE1733">
        <v>9442813940</v>
      </c>
      <c r="AF1733">
        <v>5879.3</v>
      </c>
      <c r="AG1733">
        <v>0</v>
      </c>
      <c r="AH1733">
        <v>0</v>
      </c>
      <c r="AI1733">
        <v>5879.3</v>
      </c>
      <c r="AJ1733" t="s">
        <v>2</v>
      </c>
      <c r="AK1733" t="s">
        <v>11</v>
      </c>
    </row>
    <row r="1734" spans="1:37">
      <c r="A1734">
        <v>257859</v>
      </c>
      <c r="B1734" s="1">
        <v>45366</v>
      </c>
      <c r="C1734" t="s">
        <v>972</v>
      </c>
      <c r="D1734" t="s">
        <v>973</v>
      </c>
      <c r="E1734" t="s">
        <v>2</v>
      </c>
      <c r="F1734" t="s">
        <v>66</v>
      </c>
      <c r="G1734" t="s">
        <v>67</v>
      </c>
      <c r="H1734">
        <v>75356</v>
      </c>
      <c r="I1734" t="s">
        <v>2580</v>
      </c>
      <c r="J1734" t="s">
        <v>2581</v>
      </c>
      <c r="K1734" t="s">
        <v>2</v>
      </c>
      <c r="L1734" t="s">
        <v>2582</v>
      </c>
      <c r="M1734" t="s">
        <v>67</v>
      </c>
      <c r="N1734">
        <v>75062</v>
      </c>
      <c r="O1734" t="s">
        <v>977</v>
      </c>
      <c r="P1734" t="s">
        <v>2583</v>
      </c>
      <c r="Q1734" t="s">
        <v>6</v>
      </c>
      <c r="R1734">
        <v>415058</v>
      </c>
      <c r="S1734" t="s">
        <v>2451</v>
      </c>
      <c r="T1734" s="2">
        <v>16</v>
      </c>
      <c r="U1734">
        <v>0</v>
      </c>
      <c r="V1734" t="s">
        <v>260</v>
      </c>
      <c r="W1734">
        <v>1</v>
      </c>
      <c r="X1734">
        <v>1</v>
      </c>
      <c r="Y1734">
        <v>0</v>
      </c>
      <c r="Z1734" t="s">
        <v>680</v>
      </c>
      <c r="AA1734" t="s">
        <v>681</v>
      </c>
      <c r="AB1734" t="s">
        <v>14</v>
      </c>
      <c r="AC1734">
        <v>261.0573</v>
      </c>
      <c r="AD1734">
        <v>261.06</v>
      </c>
      <c r="AE1734">
        <v>9442813940</v>
      </c>
      <c r="AF1734">
        <v>5879.3</v>
      </c>
      <c r="AG1734">
        <v>0</v>
      </c>
      <c r="AH1734">
        <v>0</v>
      </c>
      <c r="AI1734">
        <v>5879.3</v>
      </c>
      <c r="AJ1734" t="s">
        <v>2</v>
      </c>
      <c r="AK1734" t="s">
        <v>11</v>
      </c>
    </row>
    <row r="1735" spans="1:37">
      <c r="A1735">
        <v>257859</v>
      </c>
      <c r="B1735" s="1">
        <v>45366</v>
      </c>
      <c r="C1735" t="s">
        <v>972</v>
      </c>
      <c r="D1735" t="s">
        <v>973</v>
      </c>
      <c r="E1735" t="s">
        <v>2</v>
      </c>
      <c r="F1735" t="s">
        <v>66</v>
      </c>
      <c r="G1735" t="s">
        <v>67</v>
      </c>
      <c r="H1735">
        <v>75356</v>
      </c>
      <c r="I1735" t="s">
        <v>2580</v>
      </c>
      <c r="J1735" t="s">
        <v>2581</v>
      </c>
      <c r="K1735" t="s">
        <v>2</v>
      </c>
      <c r="L1735" t="s">
        <v>2582</v>
      </c>
      <c r="M1735" t="s">
        <v>67</v>
      </c>
      <c r="N1735">
        <v>75062</v>
      </c>
      <c r="O1735" t="s">
        <v>977</v>
      </c>
      <c r="P1735" t="s">
        <v>2583</v>
      </c>
      <c r="Q1735" t="s">
        <v>6</v>
      </c>
      <c r="R1735">
        <v>415058</v>
      </c>
      <c r="S1735" t="s">
        <v>2451</v>
      </c>
      <c r="T1735" s="2">
        <v>16</v>
      </c>
      <c r="U1735">
        <v>0</v>
      </c>
      <c r="V1735" t="s">
        <v>260</v>
      </c>
      <c r="W1735">
        <v>0</v>
      </c>
      <c r="X1735">
        <v>0</v>
      </c>
      <c r="Y1735">
        <v>0</v>
      </c>
      <c r="Z1735" t="s">
        <v>88</v>
      </c>
      <c r="AA1735" t="s">
        <v>317</v>
      </c>
      <c r="AB1735" t="s">
        <v>10</v>
      </c>
      <c r="AC1735">
        <v>0</v>
      </c>
      <c r="AD1735">
        <v>0</v>
      </c>
      <c r="AE1735">
        <v>9442813940</v>
      </c>
      <c r="AF1735">
        <v>5879.3</v>
      </c>
      <c r="AG1735">
        <v>0</v>
      </c>
      <c r="AH1735">
        <v>0</v>
      </c>
      <c r="AI1735">
        <v>5879.3</v>
      </c>
      <c r="AJ1735" t="s">
        <v>2</v>
      </c>
      <c r="AK1735" t="s">
        <v>11</v>
      </c>
    </row>
    <row r="1736" spans="1:37">
      <c r="A1736">
        <v>257859</v>
      </c>
      <c r="B1736" s="1">
        <v>45366</v>
      </c>
      <c r="C1736" t="s">
        <v>972</v>
      </c>
      <c r="D1736" t="s">
        <v>973</v>
      </c>
      <c r="E1736" t="s">
        <v>2</v>
      </c>
      <c r="F1736" t="s">
        <v>66</v>
      </c>
      <c r="G1736" t="s">
        <v>67</v>
      </c>
      <c r="H1736">
        <v>75356</v>
      </c>
      <c r="I1736" t="s">
        <v>2580</v>
      </c>
      <c r="J1736" t="s">
        <v>2581</v>
      </c>
      <c r="K1736" t="s">
        <v>2</v>
      </c>
      <c r="L1736" t="s">
        <v>2582</v>
      </c>
      <c r="M1736" t="s">
        <v>67</v>
      </c>
      <c r="N1736">
        <v>75062</v>
      </c>
      <c r="O1736" t="s">
        <v>977</v>
      </c>
      <c r="P1736" t="s">
        <v>2583</v>
      </c>
      <c r="Q1736" t="s">
        <v>6</v>
      </c>
      <c r="R1736">
        <v>415058</v>
      </c>
      <c r="S1736" t="s">
        <v>2451</v>
      </c>
      <c r="T1736" s="2">
        <v>16</v>
      </c>
      <c r="U1736">
        <v>0</v>
      </c>
      <c r="V1736" t="s">
        <v>260</v>
      </c>
      <c r="W1736">
        <v>1</v>
      </c>
      <c r="X1736">
        <v>1</v>
      </c>
      <c r="Y1736">
        <v>0</v>
      </c>
      <c r="Z1736" t="s">
        <v>2590</v>
      </c>
      <c r="AA1736" t="s">
        <v>2591</v>
      </c>
      <c r="AB1736" t="s">
        <v>14</v>
      </c>
      <c r="AC1736">
        <v>717.83849999999995</v>
      </c>
      <c r="AD1736">
        <v>717.84</v>
      </c>
      <c r="AE1736">
        <v>9442813940</v>
      </c>
      <c r="AF1736">
        <v>5879.3</v>
      </c>
      <c r="AG1736">
        <v>0</v>
      </c>
      <c r="AH1736">
        <v>0</v>
      </c>
      <c r="AI1736">
        <v>5879.3</v>
      </c>
      <c r="AJ1736" t="s">
        <v>2</v>
      </c>
      <c r="AK1736" t="s">
        <v>11</v>
      </c>
    </row>
    <row r="1737" spans="1:37">
      <c r="A1737">
        <v>257859</v>
      </c>
      <c r="B1737" s="1">
        <v>45366</v>
      </c>
      <c r="C1737" t="s">
        <v>972</v>
      </c>
      <c r="D1737" t="s">
        <v>973</v>
      </c>
      <c r="E1737" t="s">
        <v>2</v>
      </c>
      <c r="F1737" t="s">
        <v>66</v>
      </c>
      <c r="G1737" t="s">
        <v>67</v>
      </c>
      <c r="H1737">
        <v>75356</v>
      </c>
      <c r="I1737" t="s">
        <v>2580</v>
      </c>
      <c r="J1737" t="s">
        <v>2581</v>
      </c>
      <c r="K1737" t="s">
        <v>2</v>
      </c>
      <c r="L1737" t="s">
        <v>2582</v>
      </c>
      <c r="M1737" t="s">
        <v>67</v>
      </c>
      <c r="N1737">
        <v>75062</v>
      </c>
      <c r="O1737" t="s">
        <v>977</v>
      </c>
      <c r="P1737" t="s">
        <v>2583</v>
      </c>
      <c r="Q1737" t="s">
        <v>6</v>
      </c>
      <c r="R1737">
        <v>415058</v>
      </c>
      <c r="S1737" t="s">
        <v>2451</v>
      </c>
      <c r="T1737" s="2">
        <v>16</v>
      </c>
      <c r="U1737">
        <v>0</v>
      </c>
      <c r="V1737" t="s">
        <v>260</v>
      </c>
      <c r="W1737">
        <v>0</v>
      </c>
      <c r="X1737">
        <v>0</v>
      </c>
      <c r="Y1737">
        <v>0</v>
      </c>
      <c r="Z1737" t="s">
        <v>88</v>
      </c>
      <c r="AA1737" t="s">
        <v>107</v>
      </c>
      <c r="AB1737" t="s">
        <v>10</v>
      </c>
      <c r="AC1737">
        <v>0</v>
      </c>
      <c r="AD1737">
        <v>0</v>
      </c>
      <c r="AE1737">
        <v>9442813940</v>
      </c>
      <c r="AF1737">
        <v>5879.3</v>
      </c>
      <c r="AG1737">
        <v>0</v>
      </c>
      <c r="AH1737">
        <v>0</v>
      </c>
      <c r="AI1737">
        <v>5879.3</v>
      </c>
      <c r="AJ1737" t="s">
        <v>2</v>
      </c>
      <c r="AK1737" t="s">
        <v>11</v>
      </c>
    </row>
    <row r="1738" spans="1:37">
      <c r="A1738">
        <v>257859</v>
      </c>
      <c r="B1738" s="1">
        <v>45366</v>
      </c>
      <c r="C1738" t="s">
        <v>972</v>
      </c>
      <c r="D1738" t="s">
        <v>973</v>
      </c>
      <c r="E1738" t="s">
        <v>2</v>
      </c>
      <c r="F1738" t="s">
        <v>66</v>
      </c>
      <c r="G1738" t="s">
        <v>67</v>
      </c>
      <c r="H1738">
        <v>75356</v>
      </c>
      <c r="I1738" t="s">
        <v>2580</v>
      </c>
      <c r="J1738" t="s">
        <v>2581</v>
      </c>
      <c r="K1738" t="s">
        <v>2</v>
      </c>
      <c r="L1738" t="s">
        <v>2582</v>
      </c>
      <c r="M1738" t="s">
        <v>67</v>
      </c>
      <c r="N1738">
        <v>75062</v>
      </c>
      <c r="O1738" t="s">
        <v>977</v>
      </c>
      <c r="P1738" t="s">
        <v>2583</v>
      </c>
      <c r="Q1738" t="s">
        <v>6</v>
      </c>
      <c r="R1738">
        <v>415058</v>
      </c>
      <c r="S1738" t="s">
        <v>2451</v>
      </c>
      <c r="T1738" s="2">
        <v>16</v>
      </c>
      <c r="U1738">
        <v>0</v>
      </c>
      <c r="V1738" t="s">
        <v>260</v>
      </c>
      <c r="W1738">
        <v>1</v>
      </c>
      <c r="X1738">
        <v>1</v>
      </c>
      <c r="Y1738">
        <v>0</v>
      </c>
      <c r="Z1738" t="s">
        <v>2592</v>
      </c>
      <c r="AA1738" t="s">
        <v>2593</v>
      </c>
      <c r="AB1738" t="s">
        <v>14</v>
      </c>
      <c r="AC1738">
        <v>717.83849999999995</v>
      </c>
      <c r="AD1738">
        <v>717.84</v>
      </c>
      <c r="AE1738">
        <v>9442813940</v>
      </c>
      <c r="AF1738">
        <v>5879.3</v>
      </c>
      <c r="AG1738">
        <v>0</v>
      </c>
      <c r="AH1738">
        <v>0</v>
      </c>
      <c r="AI1738">
        <v>5879.3</v>
      </c>
      <c r="AJ1738" t="s">
        <v>2</v>
      </c>
      <c r="AK1738" t="s">
        <v>11</v>
      </c>
    </row>
    <row r="1739" spans="1:37">
      <c r="A1739">
        <v>257859</v>
      </c>
      <c r="B1739" s="1">
        <v>45366</v>
      </c>
      <c r="C1739" t="s">
        <v>972</v>
      </c>
      <c r="D1739" t="s">
        <v>973</v>
      </c>
      <c r="E1739" t="s">
        <v>2</v>
      </c>
      <c r="F1739" t="s">
        <v>66</v>
      </c>
      <c r="G1739" t="s">
        <v>67</v>
      </c>
      <c r="H1739">
        <v>75356</v>
      </c>
      <c r="I1739" t="s">
        <v>2580</v>
      </c>
      <c r="J1739" t="s">
        <v>2581</v>
      </c>
      <c r="K1739" t="s">
        <v>2</v>
      </c>
      <c r="L1739" t="s">
        <v>2582</v>
      </c>
      <c r="M1739" t="s">
        <v>67</v>
      </c>
      <c r="N1739">
        <v>75062</v>
      </c>
      <c r="O1739" t="s">
        <v>977</v>
      </c>
      <c r="P1739" t="s">
        <v>2583</v>
      </c>
      <c r="Q1739" t="s">
        <v>6</v>
      </c>
      <c r="R1739">
        <v>415058</v>
      </c>
      <c r="S1739" t="s">
        <v>2451</v>
      </c>
      <c r="T1739" s="2">
        <v>16</v>
      </c>
      <c r="U1739">
        <v>0</v>
      </c>
      <c r="V1739" t="s">
        <v>260</v>
      </c>
      <c r="W1739">
        <v>0</v>
      </c>
      <c r="X1739">
        <v>0</v>
      </c>
      <c r="Y1739">
        <v>0</v>
      </c>
      <c r="Z1739" t="s">
        <v>88</v>
      </c>
      <c r="AA1739" t="s">
        <v>107</v>
      </c>
      <c r="AB1739" t="s">
        <v>10</v>
      </c>
      <c r="AC1739">
        <v>0</v>
      </c>
      <c r="AD1739">
        <v>0</v>
      </c>
      <c r="AE1739">
        <v>9442813940</v>
      </c>
      <c r="AF1739">
        <v>5879.3</v>
      </c>
      <c r="AG1739">
        <v>0</v>
      </c>
      <c r="AH1739">
        <v>0</v>
      </c>
      <c r="AI1739">
        <v>5879.3</v>
      </c>
      <c r="AJ1739" t="s">
        <v>2</v>
      </c>
      <c r="AK1739" t="s">
        <v>11</v>
      </c>
    </row>
    <row r="1740" spans="1:37">
      <c r="A1740">
        <v>257859</v>
      </c>
      <c r="B1740" s="1">
        <v>45366</v>
      </c>
      <c r="C1740" t="s">
        <v>972</v>
      </c>
      <c r="D1740" t="s">
        <v>973</v>
      </c>
      <c r="E1740" t="s">
        <v>2</v>
      </c>
      <c r="F1740" t="s">
        <v>66</v>
      </c>
      <c r="G1740" t="s">
        <v>67</v>
      </c>
      <c r="H1740">
        <v>75356</v>
      </c>
      <c r="I1740" t="s">
        <v>2580</v>
      </c>
      <c r="J1740" t="s">
        <v>2581</v>
      </c>
      <c r="K1740" t="s">
        <v>2</v>
      </c>
      <c r="L1740" t="s">
        <v>2582</v>
      </c>
      <c r="M1740" t="s">
        <v>67</v>
      </c>
      <c r="N1740">
        <v>75062</v>
      </c>
      <c r="O1740" t="s">
        <v>977</v>
      </c>
      <c r="P1740" t="s">
        <v>2583</v>
      </c>
      <c r="Q1740" t="s">
        <v>6</v>
      </c>
      <c r="R1740">
        <v>415058</v>
      </c>
      <c r="S1740" t="s">
        <v>2451</v>
      </c>
      <c r="T1740" s="2">
        <v>16</v>
      </c>
      <c r="U1740">
        <v>0</v>
      </c>
      <c r="V1740" t="s">
        <v>260</v>
      </c>
      <c r="W1740">
        <v>1</v>
      </c>
      <c r="X1740">
        <v>1</v>
      </c>
      <c r="Y1740">
        <v>0</v>
      </c>
      <c r="Z1740" t="s">
        <v>2594</v>
      </c>
      <c r="AA1740" t="s">
        <v>2595</v>
      </c>
      <c r="AB1740" t="s">
        <v>14</v>
      </c>
      <c r="AC1740">
        <v>617.80409999999995</v>
      </c>
      <c r="AD1740">
        <v>617.79999999999995</v>
      </c>
      <c r="AE1740">
        <v>9442813940</v>
      </c>
      <c r="AF1740">
        <v>5879.3</v>
      </c>
      <c r="AG1740">
        <v>0</v>
      </c>
      <c r="AH1740">
        <v>0</v>
      </c>
      <c r="AI1740">
        <v>5879.3</v>
      </c>
      <c r="AJ1740" t="s">
        <v>2</v>
      </c>
      <c r="AK1740" t="s">
        <v>11</v>
      </c>
    </row>
    <row r="1741" spans="1:37">
      <c r="A1741">
        <v>257859</v>
      </c>
      <c r="B1741" s="1">
        <v>45366</v>
      </c>
      <c r="C1741" t="s">
        <v>972</v>
      </c>
      <c r="D1741" t="s">
        <v>973</v>
      </c>
      <c r="E1741" t="s">
        <v>2</v>
      </c>
      <c r="F1741" t="s">
        <v>66</v>
      </c>
      <c r="G1741" t="s">
        <v>67</v>
      </c>
      <c r="H1741">
        <v>75356</v>
      </c>
      <c r="I1741" t="s">
        <v>2580</v>
      </c>
      <c r="J1741" t="s">
        <v>2581</v>
      </c>
      <c r="K1741" t="s">
        <v>2</v>
      </c>
      <c r="L1741" t="s">
        <v>2582</v>
      </c>
      <c r="M1741" t="s">
        <v>67</v>
      </c>
      <c r="N1741">
        <v>75062</v>
      </c>
      <c r="O1741" t="s">
        <v>977</v>
      </c>
      <c r="P1741" t="s">
        <v>2583</v>
      </c>
      <c r="Q1741" t="s">
        <v>6</v>
      </c>
      <c r="R1741">
        <v>415058</v>
      </c>
      <c r="S1741" t="s">
        <v>2451</v>
      </c>
      <c r="T1741" s="2">
        <v>16</v>
      </c>
      <c r="U1741">
        <v>0</v>
      </c>
      <c r="V1741" t="s">
        <v>260</v>
      </c>
      <c r="W1741">
        <v>0</v>
      </c>
      <c r="X1741">
        <v>0</v>
      </c>
      <c r="Y1741">
        <v>0</v>
      </c>
      <c r="Z1741" t="s">
        <v>88</v>
      </c>
      <c r="AA1741" t="s">
        <v>107</v>
      </c>
      <c r="AB1741" t="s">
        <v>10</v>
      </c>
      <c r="AC1741">
        <v>0</v>
      </c>
      <c r="AD1741">
        <v>0</v>
      </c>
      <c r="AE1741">
        <v>9442813940</v>
      </c>
      <c r="AF1741">
        <v>5879.3</v>
      </c>
      <c r="AG1741">
        <v>0</v>
      </c>
      <c r="AH1741">
        <v>0</v>
      </c>
      <c r="AI1741">
        <v>5879.3</v>
      </c>
      <c r="AJ1741" t="s">
        <v>2</v>
      </c>
      <c r="AK1741" t="s">
        <v>11</v>
      </c>
    </row>
    <row r="1742" spans="1:37">
      <c r="A1742">
        <v>257859</v>
      </c>
      <c r="B1742" s="1">
        <v>45366</v>
      </c>
      <c r="C1742" t="s">
        <v>972</v>
      </c>
      <c r="D1742" t="s">
        <v>973</v>
      </c>
      <c r="E1742" t="s">
        <v>2</v>
      </c>
      <c r="F1742" t="s">
        <v>66</v>
      </c>
      <c r="G1742" t="s">
        <v>67</v>
      </c>
      <c r="H1742">
        <v>75356</v>
      </c>
      <c r="I1742" t="s">
        <v>2580</v>
      </c>
      <c r="J1742" t="s">
        <v>2581</v>
      </c>
      <c r="K1742" t="s">
        <v>2</v>
      </c>
      <c r="L1742" t="s">
        <v>2582</v>
      </c>
      <c r="M1742" t="s">
        <v>67</v>
      </c>
      <c r="N1742">
        <v>75062</v>
      </c>
      <c r="O1742" t="s">
        <v>977</v>
      </c>
      <c r="P1742" t="s">
        <v>2583</v>
      </c>
      <c r="Q1742" t="s">
        <v>6</v>
      </c>
      <c r="R1742">
        <v>415058</v>
      </c>
      <c r="S1742" t="s">
        <v>2451</v>
      </c>
      <c r="T1742" s="2">
        <v>16</v>
      </c>
      <c r="U1742">
        <v>0</v>
      </c>
      <c r="V1742" t="s">
        <v>260</v>
      </c>
      <c r="W1742">
        <v>2</v>
      </c>
      <c r="X1742">
        <v>2</v>
      </c>
      <c r="Y1742">
        <v>0</v>
      </c>
      <c r="Z1742" t="s">
        <v>2596</v>
      </c>
      <c r="AA1742" t="s">
        <v>2597</v>
      </c>
      <c r="AB1742" t="s">
        <v>14</v>
      </c>
      <c r="AC1742">
        <v>1003.9309</v>
      </c>
      <c r="AD1742">
        <v>2007.86</v>
      </c>
      <c r="AE1742">
        <v>9442813940</v>
      </c>
      <c r="AF1742">
        <v>5879.3</v>
      </c>
      <c r="AG1742">
        <v>0</v>
      </c>
      <c r="AH1742">
        <v>0</v>
      </c>
      <c r="AI1742">
        <v>5879.3</v>
      </c>
      <c r="AJ1742" t="s">
        <v>2</v>
      </c>
      <c r="AK1742" t="s">
        <v>11</v>
      </c>
    </row>
    <row r="1743" spans="1:37">
      <c r="A1743">
        <v>257859</v>
      </c>
      <c r="B1743" s="1">
        <v>45366</v>
      </c>
      <c r="C1743" t="s">
        <v>972</v>
      </c>
      <c r="D1743" t="s">
        <v>973</v>
      </c>
      <c r="E1743" t="s">
        <v>2</v>
      </c>
      <c r="F1743" t="s">
        <v>66</v>
      </c>
      <c r="G1743" t="s">
        <v>67</v>
      </c>
      <c r="H1743">
        <v>75356</v>
      </c>
      <c r="I1743" t="s">
        <v>2580</v>
      </c>
      <c r="J1743" t="s">
        <v>2581</v>
      </c>
      <c r="K1743" t="s">
        <v>2</v>
      </c>
      <c r="L1743" t="s">
        <v>2582</v>
      </c>
      <c r="M1743" t="s">
        <v>67</v>
      </c>
      <c r="N1743">
        <v>75062</v>
      </c>
      <c r="O1743" t="s">
        <v>977</v>
      </c>
      <c r="P1743" t="s">
        <v>2583</v>
      </c>
      <c r="Q1743" t="s">
        <v>6</v>
      </c>
      <c r="R1743">
        <v>415058</v>
      </c>
      <c r="S1743" t="s">
        <v>2451</v>
      </c>
      <c r="T1743" s="2">
        <v>16</v>
      </c>
      <c r="U1743">
        <v>0</v>
      </c>
      <c r="V1743" t="s">
        <v>260</v>
      </c>
      <c r="W1743">
        <v>0</v>
      </c>
      <c r="X1743">
        <v>0</v>
      </c>
      <c r="Y1743">
        <v>0</v>
      </c>
      <c r="Z1743" t="s">
        <v>88</v>
      </c>
      <c r="AA1743" t="s">
        <v>251</v>
      </c>
      <c r="AB1743" t="s">
        <v>10</v>
      </c>
      <c r="AC1743">
        <v>0</v>
      </c>
      <c r="AD1743">
        <v>0</v>
      </c>
      <c r="AE1743">
        <v>9442813940</v>
      </c>
      <c r="AF1743">
        <v>5879.3</v>
      </c>
      <c r="AG1743">
        <v>0</v>
      </c>
      <c r="AH1743">
        <v>0</v>
      </c>
      <c r="AI1743">
        <v>5879.3</v>
      </c>
      <c r="AJ1743" t="s">
        <v>2</v>
      </c>
      <c r="AK1743" t="s">
        <v>11</v>
      </c>
    </row>
    <row r="1744" spans="1:37">
      <c r="A1744">
        <v>257859</v>
      </c>
      <c r="B1744" s="1">
        <v>45366</v>
      </c>
      <c r="C1744" t="s">
        <v>972</v>
      </c>
      <c r="D1744" t="s">
        <v>973</v>
      </c>
      <c r="E1744" t="s">
        <v>2</v>
      </c>
      <c r="F1744" t="s">
        <v>66</v>
      </c>
      <c r="G1744" t="s">
        <v>67</v>
      </c>
      <c r="H1744">
        <v>75356</v>
      </c>
      <c r="I1744" t="s">
        <v>2580</v>
      </c>
      <c r="J1744" t="s">
        <v>2581</v>
      </c>
      <c r="K1744" t="s">
        <v>2</v>
      </c>
      <c r="L1744" t="s">
        <v>2582</v>
      </c>
      <c r="M1744" t="s">
        <v>67</v>
      </c>
      <c r="N1744">
        <v>75062</v>
      </c>
      <c r="O1744" t="s">
        <v>977</v>
      </c>
      <c r="P1744" t="s">
        <v>2583</v>
      </c>
      <c r="Q1744" t="s">
        <v>6</v>
      </c>
      <c r="R1744">
        <v>415058</v>
      </c>
      <c r="S1744" t="s">
        <v>2451</v>
      </c>
      <c r="T1744" s="2">
        <v>16</v>
      </c>
      <c r="U1744">
        <v>0</v>
      </c>
      <c r="V1744" t="s">
        <v>260</v>
      </c>
      <c r="W1744">
        <v>1</v>
      </c>
      <c r="X1744">
        <v>1</v>
      </c>
      <c r="Y1744">
        <v>0</v>
      </c>
      <c r="Z1744" t="s">
        <v>1664</v>
      </c>
      <c r="AA1744" t="s">
        <v>1665</v>
      </c>
      <c r="AB1744" t="s">
        <v>14</v>
      </c>
      <c r="AC1744">
        <v>269.59769999999997</v>
      </c>
      <c r="AD1744">
        <v>269.60000000000002</v>
      </c>
      <c r="AE1744">
        <v>9442813940</v>
      </c>
      <c r="AF1744">
        <v>5879.3</v>
      </c>
      <c r="AG1744">
        <v>0</v>
      </c>
      <c r="AH1744">
        <v>0</v>
      </c>
      <c r="AI1744">
        <v>5879.3</v>
      </c>
      <c r="AJ1744" t="s">
        <v>2</v>
      </c>
      <c r="AK1744" t="s">
        <v>11</v>
      </c>
    </row>
    <row r="1745" spans="1:37">
      <c r="A1745">
        <v>257859</v>
      </c>
      <c r="B1745" s="1">
        <v>45366</v>
      </c>
      <c r="C1745" t="s">
        <v>972</v>
      </c>
      <c r="D1745" t="s">
        <v>973</v>
      </c>
      <c r="E1745" t="s">
        <v>2</v>
      </c>
      <c r="F1745" t="s">
        <v>66</v>
      </c>
      <c r="G1745" t="s">
        <v>67</v>
      </c>
      <c r="H1745">
        <v>75356</v>
      </c>
      <c r="I1745" t="s">
        <v>2580</v>
      </c>
      <c r="J1745" t="s">
        <v>2581</v>
      </c>
      <c r="K1745" t="s">
        <v>2</v>
      </c>
      <c r="L1745" t="s">
        <v>2582</v>
      </c>
      <c r="M1745" t="s">
        <v>67</v>
      </c>
      <c r="N1745">
        <v>75062</v>
      </c>
      <c r="O1745" t="s">
        <v>977</v>
      </c>
      <c r="P1745" t="s">
        <v>2583</v>
      </c>
      <c r="Q1745" t="s">
        <v>6</v>
      </c>
      <c r="R1745">
        <v>415058</v>
      </c>
      <c r="S1745" t="s">
        <v>2451</v>
      </c>
      <c r="T1745" s="2">
        <v>16</v>
      </c>
      <c r="U1745">
        <v>0</v>
      </c>
      <c r="V1745" t="s">
        <v>260</v>
      </c>
      <c r="W1745">
        <v>0</v>
      </c>
      <c r="X1745">
        <v>0</v>
      </c>
      <c r="Y1745">
        <v>0</v>
      </c>
      <c r="Z1745" t="s">
        <v>88</v>
      </c>
      <c r="AA1745" t="s">
        <v>1666</v>
      </c>
      <c r="AB1745" t="s">
        <v>10</v>
      </c>
      <c r="AC1745">
        <v>0</v>
      </c>
      <c r="AD1745">
        <v>0</v>
      </c>
      <c r="AE1745">
        <v>9442813940</v>
      </c>
      <c r="AF1745">
        <v>5879.3</v>
      </c>
      <c r="AG1745">
        <v>0</v>
      </c>
      <c r="AH1745">
        <v>0</v>
      </c>
      <c r="AI1745">
        <v>5879.3</v>
      </c>
      <c r="AJ1745" t="s">
        <v>2</v>
      </c>
      <c r="AK1745" t="s">
        <v>11</v>
      </c>
    </row>
    <row r="1746" spans="1:37">
      <c r="A1746">
        <v>257859</v>
      </c>
      <c r="B1746" s="1">
        <v>45366</v>
      </c>
      <c r="C1746" t="s">
        <v>972</v>
      </c>
      <c r="D1746" t="s">
        <v>973</v>
      </c>
      <c r="E1746" t="s">
        <v>2</v>
      </c>
      <c r="F1746" t="s">
        <v>66</v>
      </c>
      <c r="G1746" t="s">
        <v>67</v>
      </c>
      <c r="H1746">
        <v>75356</v>
      </c>
      <c r="I1746" t="s">
        <v>2580</v>
      </c>
      <c r="J1746" t="s">
        <v>2581</v>
      </c>
      <c r="K1746" t="s">
        <v>2</v>
      </c>
      <c r="L1746" t="s">
        <v>2582</v>
      </c>
      <c r="M1746" t="s">
        <v>67</v>
      </c>
      <c r="N1746">
        <v>75062</v>
      </c>
      <c r="O1746" t="s">
        <v>977</v>
      </c>
      <c r="P1746" t="s">
        <v>2583</v>
      </c>
      <c r="Q1746" t="s">
        <v>6</v>
      </c>
      <c r="R1746">
        <v>415058</v>
      </c>
      <c r="S1746" t="s">
        <v>2451</v>
      </c>
      <c r="T1746" s="2">
        <v>16</v>
      </c>
      <c r="U1746">
        <v>0</v>
      </c>
      <c r="V1746" t="s">
        <v>260</v>
      </c>
      <c r="W1746">
        <v>1</v>
      </c>
      <c r="X1746">
        <v>1</v>
      </c>
      <c r="Y1746">
        <v>0</v>
      </c>
      <c r="Z1746" t="s">
        <v>1667</v>
      </c>
      <c r="AA1746" t="s">
        <v>1668</v>
      </c>
      <c r="AB1746" t="s">
        <v>14</v>
      </c>
      <c r="AC1746">
        <v>269.59769999999997</v>
      </c>
      <c r="AD1746">
        <v>269.60000000000002</v>
      </c>
      <c r="AE1746">
        <v>9442813940</v>
      </c>
      <c r="AF1746">
        <v>5879.3</v>
      </c>
      <c r="AG1746">
        <v>0</v>
      </c>
      <c r="AH1746">
        <v>0</v>
      </c>
      <c r="AI1746">
        <v>5879.3</v>
      </c>
      <c r="AJ1746" t="s">
        <v>2</v>
      </c>
      <c r="AK1746" t="s">
        <v>11</v>
      </c>
    </row>
    <row r="1747" spans="1:37">
      <c r="A1747">
        <v>257859</v>
      </c>
      <c r="B1747" s="1">
        <v>45366</v>
      </c>
      <c r="C1747" t="s">
        <v>972</v>
      </c>
      <c r="D1747" t="s">
        <v>973</v>
      </c>
      <c r="E1747" t="s">
        <v>2</v>
      </c>
      <c r="F1747" t="s">
        <v>66</v>
      </c>
      <c r="G1747" t="s">
        <v>67</v>
      </c>
      <c r="H1747">
        <v>75356</v>
      </c>
      <c r="I1747" t="s">
        <v>2580</v>
      </c>
      <c r="J1747" t="s">
        <v>2581</v>
      </c>
      <c r="K1747" t="s">
        <v>2</v>
      </c>
      <c r="L1747" t="s">
        <v>2582</v>
      </c>
      <c r="M1747" t="s">
        <v>67</v>
      </c>
      <c r="N1747">
        <v>75062</v>
      </c>
      <c r="O1747" t="s">
        <v>977</v>
      </c>
      <c r="P1747" t="s">
        <v>2583</v>
      </c>
      <c r="Q1747" t="s">
        <v>6</v>
      </c>
      <c r="R1747">
        <v>415058</v>
      </c>
      <c r="S1747" t="s">
        <v>2451</v>
      </c>
      <c r="T1747" s="2">
        <v>16</v>
      </c>
      <c r="U1747">
        <v>0</v>
      </c>
      <c r="V1747" t="s">
        <v>260</v>
      </c>
      <c r="W1747">
        <v>0</v>
      </c>
      <c r="X1747">
        <v>0</v>
      </c>
      <c r="Y1747">
        <v>0</v>
      </c>
      <c r="Z1747" t="s">
        <v>88</v>
      </c>
      <c r="AA1747" t="s">
        <v>1669</v>
      </c>
      <c r="AB1747" t="s">
        <v>10</v>
      </c>
      <c r="AC1747">
        <v>0</v>
      </c>
      <c r="AD1747">
        <v>0</v>
      </c>
      <c r="AE1747">
        <v>9442813940</v>
      </c>
      <c r="AF1747">
        <v>5879.3</v>
      </c>
      <c r="AG1747">
        <v>0</v>
      </c>
      <c r="AH1747">
        <v>0</v>
      </c>
      <c r="AI1747">
        <v>5879.3</v>
      </c>
      <c r="AJ1747" t="s">
        <v>2</v>
      </c>
      <c r="AK1747" t="s">
        <v>11</v>
      </c>
    </row>
    <row r="1748" spans="1:37">
      <c r="A1748">
        <v>257859</v>
      </c>
      <c r="B1748" s="1">
        <v>45366</v>
      </c>
      <c r="C1748" t="s">
        <v>972</v>
      </c>
      <c r="D1748" t="s">
        <v>973</v>
      </c>
      <c r="E1748" t="s">
        <v>2</v>
      </c>
      <c r="F1748" t="s">
        <v>66</v>
      </c>
      <c r="G1748" t="s">
        <v>67</v>
      </c>
      <c r="H1748">
        <v>75356</v>
      </c>
      <c r="I1748" t="s">
        <v>2580</v>
      </c>
      <c r="J1748" t="s">
        <v>2581</v>
      </c>
      <c r="K1748" t="s">
        <v>2</v>
      </c>
      <c r="L1748" t="s">
        <v>2582</v>
      </c>
      <c r="M1748" t="s">
        <v>67</v>
      </c>
      <c r="N1748">
        <v>75062</v>
      </c>
      <c r="O1748" t="s">
        <v>977</v>
      </c>
      <c r="P1748" t="s">
        <v>2583</v>
      </c>
      <c r="Q1748" t="s">
        <v>6</v>
      </c>
      <c r="R1748">
        <v>415058</v>
      </c>
      <c r="S1748" t="s">
        <v>2451</v>
      </c>
      <c r="T1748" s="2">
        <v>16</v>
      </c>
      <c r="U1748">
        <v>0</v>
      </c>
      <c r="V1748" t="s">
        <v>260</v>
      </c>
      <c r="W1748">
        <v>1</v>
      </c>
      <c r="X1748">
        <v>1</v>
      </c>
      <c r="Y1748">
        <v>0</v>
      </c>
      <c r="Z1748" t="s">
        <v>672</v>
      </c>
      <c r="AA1748" t="s">
        <v>673</v>
      </c>
      <c r="AB1748" t="s">
        <v>14</v>
      </c>
      <c r="AC1748">
        <v>147.62299999999999</v>
      </c>
      <c r="AD1748">
        <v>147.62</v>
      </c>
      <c r="AE1748">
        <v>9442813940</v>
      </c>
      <c r="AF1748">
        <v>5879.3</v>
      </c>
      <c r="AG1748">
        <v>0</v>
      </c>
      <c r="AH1748">
        <v>0</v>
      </c>
      <c r="AI1748">
        <v>5879.3</v>
      </c>
      <c r="AJ1748" t="s">
        <v>2</v>
      </c>
      <c r="AK1748" t="s">
        <v>11</v>
      </c>
    </row>
    <row r="1749" spans="1:37">
      <c r="A1749">
        <v>257859</v>
      </c>
      <c r="B1749" s="1">
        <v>45366</v>
      </c>
      <c r="C1749" t="s">
        <v>972</v>
      </c>
      <c r="D1749" t="s">
        <v>973</v>
      </c>
      <c r="E1749" t="s">
        <v>2</v>
      </c>
      <c r="F1749" t="s">
        <v>66</v>
      </c>
      <c r="G1749" t="s">
        <v>67</v>
      </c>
      <c r="H1749">
        <v>75356</v>
      </c>
      <c r="I1749" t="s">
        <v>2580</v>
      </c>
      <c r="J1749" t="s">
        <v>2581</v>
      </c>
      <c r="K1749" t="s">
        <v>2</v>
      </c>
      <c r="L1749" t="s">
        <v>2582</v>
      </c>
      <c r="M1749" t="s">
        <v>67</v>
      </c>
      <c r="N1749">
        <v>75062</v>
      </c>
      <c r="O1749" t="s">
        <v>977</v>
      </c>
      <c r="P1749" t="s">
        <v>2583</v>
      </c>
      <c r="Q1749" t="s">
        <v>6</v>
      </c>
      <c r="R1749">
        <v>415058</v>
      </c>
      <c r="S1749" t="s">
        <v>2451</v>
      </c>
      <c r="T1749" s="2">
        <v>16</v>
      </c>
      <c r="U1749">
        <v>0</v>
      </c>
      <c r="V1749" t="s">
        <v>260</v>
      </c>
      <c r="W1749">
        <v>0</v>
      </c>
      <c r="X1749">
        <v>0</v>
      </c>
      <c r="Y1749">
        <v>0</v>
      </c>
      <c r="Z1749" t="s">
        <v>88</v>
      </c>
      <c r="AA1749" t="s">
        <v>674</v>
      </c>
      <c r="AB1749" t="s">
        <v>10</v>
      </c>
      <c r="AC1749">
        <v>0</v>
      </c>
      <c r="AD1749">
        <v>0</v>
      </c>
      <c r="AE1749">
        <v>9442813940</v>
      </c>
      <c r="AF1749">
        <v>5879.3</v>
      </c>
      <c r="AG1749">
        <v>0</v>
      </c>
      <c r="AH1749">
        <v>0</v>
      </c>
      <c r="AI1749">
        <v>5879.3</v>
      </c>
      <c r="AJ1749" t="s">
        <v>2</v>
      </c>
      <c r="AK1749" t="s">
        <v>11</v>
      </c>
    </row>
    <row r="1750" spans="1:37">
      <c r="A1750">
        <v>257859</v>
      </c>
      <c r="B1750" s="1">
        <v>45366</v>
      </c>
      <c r="C1750" t="s">
        <v>972</v>
      </c>
      <c r="D1750" t="s">
        <v>973</v>
      </c>
      <c r="E1750" t="s">
        <v>2</v>
      </c>
      <c r="F1750" t="s">
        <v>66</v>
      </c>
      <c r="G1750" t="s">
        <v>67</v>
      </c>
      <c r="H1750">
        <v>75356</v>
      </c>
      <c r="I1750" t="s">
        <v>2580</v>
      </c>
      <c r="J1750" t="s">
        <v>2581</v>
      </c>
      <c r="K1750" t="s">
        <v>2</v>
      </c>
      <c r="L1750" t="s">
        <v>2582</v>
      </c>
      <c r="M1750" t="s">
        <v>67</v>
      </c>
      <c r="N1750">
        <v>75062</v>
      </c>
      <c r="O1750" t="s">
        <v>977</v>
      </c>
      <c r="P1750" t="s">
        <v>2583</v>
      </c>
      <c r="Q1750" t="s">
        <v>6</v>
      </c>
      <c r="R1750">
        <v>415058</v>
      </c>
      <c r="S1750" t="s">
        <v>2451</v>
      </c>
      <c r="T1750" s="2">
        <v>16</v>
      </c>
      <c r="U1750">
        <v>0</v>
      </c>
      <c r="V1750" t="s">
        <v>260</v>
      </c>
      <c r="W1750">
        <v>1</v>
      </c>
      <c r="X1750">
        <v>1</v>
      </c>
      <c r="Y1750">
        <v>0</v>
      </c>
      <c r="Z1750" t="s">
        <v>183</v>
      </c>
      <c r="AA1750" t="s">
        <v>184</v>
      </c>
      <c r="AB1750" t="s">
        <v>14</v>
      </c>
      <c r="AC1750">
        <v>25</v>
      </c>
      <c r="AD1750">
        <v>25</v>
      </c>
      <c r="AE1750">
        <v>9442813940</v>
      </c>
      <c r="AF1750">
        <v>5879.3</v>
      </c>
      <c r="AG1750">
        <v>0</v>
      </c>
      <c r="AH1750">
        <v>0</v>
      </c>
      <c r="AI1750">
        <v>5879.3</v>
      </c>
      <c r="AJ1750" t="s">
        <v>2</v>
      </c>
      <c r="AK1750" t="s">
        <v>11</v>
      </c>
    </row>
    <row r="1751" spans="1:37">
      <c r="A1751">
        <v>257860</v>
      </c>
      <c r="B1751" s="1">
        <v>45366</v>
      </c>
      <c r="C1751" t="s">
        <v>2598</v>
      </c>
      <c r="D1751" t="s">
        <v>2599</v>
      </c>
      <c r="E1751" t="s">
        <v>2</v>
      </c>
      <c r="F1751" t="s">
        <v>2600</v>
      </c>
      <c r="G1751" t="s">
        <v>579</v>
      </c>
      <c r="H1751">
        <v>43701</v>
      </c>
      <c r="I1751" t="s">
        <v>2598</v>
      </c>
      <c r="J1751" t="s">
        <v>2599</v>
      </c>
      <c r="K1751" t="s">
        <v>2</v>
      </c>
      <c r="L1751" t="s">
        <v>2600</v>
      </c>
      <c r="M1751" t="s">
        <v>579</v>
      </c>
      <c r="N1751">
        <v>43701</v>
      </c>
      <c r="O1751" t="s">
        <v>2601</v>
      </c>
      <c r="P1751">
        <v>222</v>
      </c>
      <c r="Q1751" t="s">
        <v>6</v>
      </c>
      <c r="R1751">
        <v>415081</v>
      </c>
      <c r="S1751" t="s">
        <v>2602</v>
      </c>
      <c r="T1751" s="2">
        <v>33</v>
      </c>
      <c r="U1751">
        <v>0</v>
      </c>
      <c r="V1751" t="s">
        <v>260</v>
      </c>
      <c r="W1751">
        <v>0</v>
      </c>
      <c r="X1751">
        <v>0</v>
      </c>
      <c r="Y1751">
        <v>0</v>
      </c>
      <c r="Z1751" t="s">
        <v>9</v>
      </c>
      <c r="AA1751" t="s">
        <v>2</v>
      </c>
      <c r="AB1751" t="s">
        <v>10</v>
      </c>
      <c r="AC1751">
        <v>0</v>
      </c>
      <c r="AD1751">
        <v>0</v>
      </c>
      <c r="AE1751">
        <v>1278125984</v>
      </c>
      <c r="AF1751">
        <v>6196.15</v>
      </c>
      <c r="AG1751">
        <v>0</v>
      </c>
      <c r="AH1751">
        <v>0</v>
      </c>
      <c r="AI1751">
        <v>6196.15</v>
      </c>
      <c r="AJ1751" t="s">
        <v>2</v>
      </c>
      <c r="AK1751" t="s">
        <v>11</v>
      </c>
    </row>
    <row r="1752" spans="1:37">
      <c r="A1752">
        <v>257860</v>
      </c>
      <c r="B1752" s="1">
        <v>45366</v>
      </c>
      <c r="C1752" t="s">
        <v>2598</v>
      </c>
      <c r="D1752" t="s">
        <v>2599</v>
      </c>
      <c r="E1752" t="s">
        <v>2</v>
      </c>
      <c r="F1752" t="s">
        <v>2600</v>
      </c>
      <c r="G1752" t="s">
        <v>579</v>
      </c>
      <c r="H1752">
        <v>43701</v>
      </c>
      <c r="I1752" t="s">
        <v>2598</v>
      </c>
      <c r="J1752" t="s">
        <v>2599</v>
      </c>
      <c r="K1752" t="s">
        <v>2</v>
      </c>
      <c r="L1752" t="s">
        <v>2600</v>
      </c>
      <c r="M1752" t="s">
        <v>579</v>
      </c>
      <c r="N1752">
        <v>43701</v>
      </c>
      <c r="O1752" t="s">
        <v>2601</v>
      </c>
      <c r="P1752">
        <v>222</v>
      </c>
      <c r="Q1752" t="s">
        <v>6</v>
      </c>
      <c r="R1752">
        <v>415081</v>
      </c>
      <c r="S1752" t="s">
        <v>2602</v>
      </c>
      <c r="T1752" s="2">
        <v>33</v>
      </c>
      <c r="U1752">
        <v>0</v>
      </c>
      <c r="V1752" t="s">
        <v>260</v>
      </c>
      <c r="W1752">
        <v>4</v>
      </c>
      <c r="X1752">
        <v>4</v>
      </c>
      <c r="Y1752">
        <v>0</v>
      </c>
      <c r="Z1752" t="s">
        <v>2603</v>
      </c>
      <c r="AA1752" t="s">
        <v>2604</v>
      </c>
      <c r="AB1752" t="s">
        <v>14</v>
      </c>
      <c r="AC1752">
        <v>240.17500000000001</v>
      </c>
      <c r="AD1752">
        <v>960.7</v>
      </c>
      <c r="AE1752">
        <v>1278125984</v>
      </c>
      <c r="AF1752">
        <v>6196.15</v>
      </c>
      <c r="AG1752">
        <v>0</v>
      </c>
      <c r="AH1752">
        <v>0</v>
      </c>
      <c r="AI1752">
        <v>6196.15</v>
      </c>
      <c r="AJ1752" t="s">
        <v>2</v>
      </c>
      <c r="AK1752" t="s">
        <v>11</v>
      </c>
    </row>
    <row r="1753" spans="1:37">
      <c r="A1753">
        <v>257860</v>
      </c>
      <c r="B1753" s="1">
        <v>45366</v>
      </c>
      <c r="C1753" t="s">
        <v>2598</v>
      </c>
      <c r="D1753" t="s">
        <v>2599</v>
      </c>
      <c r="E1753" t="s">
        <v>2</v>
      </c>
      <c r="F1753" t="s">
        <v>2600</v>
      </c>
      <c r="G1753" t="s">
        <v>579</v>
      </c>
      <c r="H1753">
        <v>43701</v>
      </c>
      <c r="I1753" t="s">
        <v>2598</v>
      </c>
      <c r="J1753" t="s">
        <v>2599</v>
      </c>
      <c r="K1753" t="s">
        <v>2</v>
      </c>
      <c r="L1753" t="s">
        <v>2600</v>
      </c>
      <c r="M1753" t="s">
        <v>579</v>
      </c>
      <c r="N1753">
        <v>43701</v>
      </c>
      <c r="O1753" t="s">
        <v>2601</v>
      </c>
      <c r="P1753">
        <v>222</v>
      </c>
      <c r="Q1753" t="s">
        <v>6</v>
      </c>
      <c r="R1753">
        <v>415081</v>
      </c>
      <c r="S1753" t="s">
        <v>2602</v>
      </c>
      <c r="T1753" s="2">
        <v>33</v>
      </c>
      <c r="U1753">
        <v>0</v>
      </c>
      <c r="V1753" t="s">
        <v>260</v>
      </c>
      <c r="W1753">
        <v>0</v>
      </c>
      <c r="X1753">
        <v>0</v>
      </c>
      <c r="Y1753">
        <v>0</v>
      </c>
      <c r="Z1753" t="s">
        <v>88</v>
      </c>
      <c r="AA1753" t="s">
        <v>2605</v>
      </c>
      <c r="AB1753" t="s">
        <v>10</v>
      </c>
      <c r="AC1753">
        <v>0</v>
      </c>
      <c r="AD1753">
        <v>0</v>
      </c>
      <c r="AE1753">
        <v>1278125984</v>
      </c>
      <c r="AF1753">
        <v>6196.15</v>
      </c>
      <c r="AG1753">
        <v>0</v>
      </c>
      <c r="AH1753">
        <v>0</v>
      </c>
      <c r="AI1753">
        <v>6196.15</v>
      </c>
      <c r="AJ1753" t="s">
        <v>2</v>
      </c>
      <c r="AK1753" t="s">
        <v>11</v>
      </c>
    </row>
    <row r="1754" spans="1:37">
      <c r="A1754">
        <v>257860</v>
      </c>
      <c r="B1754" s="1">
        <v>45366</v>
      </c>
      <c r="C1754" t="s">
        <v>2598</v>
      </c>
      <c r="D1754" t="s">
        <v>2599</v>
      </c>
      <c r="E1754" t="s">
        <v>2</v>
      </c>
      <c r="F1754" t="s">
        <v>2600</v>
      </c>
      <c r="G1754" t="s">
        <v>579</v>
      </c>
      <c r="H1754">
        <v>43701</v>
      </c>
      <c r="I1754" t="s">
        <v>2598</v>
      </c>
      <c r="J1754" t="s">
        <v>2599</v>
      </c>
      <c r="K1754" t="s">
        <v>2</v>
      </c>
      <c r="L1754" t="s">
        <v>2600</v>
      </c>
      <c r="M1754" t="s">
        <v>579</v>
      </c>
      <c r="N1754">
        <v>43701</v>
      </c>
      <c r="O1754" t="s">
        <v>2601</v>
      </c>
      <c r="P1754">
        <v>222</v>
      </c>
      <c r="Q1754" t="s">
        <v>6</v>
      </c>
      <c r="R1754">
        <v>415081</v>
      </c>
      <c r="S1754" t="s">
        <v>2602</v>
      </c>
      <c r="T1754" s="2">
        <v>33</v>
      </c>
      <c r="U1754">
        <v>0</v>
      </c>
      <c r="V1754" t="s">
        <v>260</v>
      </c>
      <c r="W1754">
        <v>6</v>
      </c>
      <c r="X1754">
        <v>6</v>
      </c>
      <c r="Y1754">
        <v>0</v>
      </c>
      <c r="Z1754" t="s">
        <v>2606</v>
      </c>
      <c r="AA1754" t="s">
        <v>2607</v>
      </c>
      <c r="AB1754" t="s">
        <v>14</v>
      </c>
      <c r="AC1754">
        <v>235.26</v>
      </c>
      <c r="AD1754">
        <v>1411.56</v>
      </c>
      <c r="AE1754">
        <v>1278125984</v>
      </c>
      <c r="AF1754">
        <v>6196.15</v>
      </c>
      <c r="AG1754">
        <v>0</v>
      </c>
      <c r="AH1754">
        <v>0</v>
      </c>
      <c r="AI1754">
        <v>6196.15</v>
      </c>
      <c r="AJ1754" t="s">
        <v>2</v>
      </c>
      <c r="AK1754" t="s">
        <v>11</v>
      </c>
    </row>
    <row r="1755" spans="1:37">
      <c r="A1755">
        <v>257860</v>
      </c>
      <c r="B1755" s="1">
        <v>45366</v>
      </c>
      <c r="C1755" t="s">
        <v>2598</v>
      </c>
      <c r="D1755" t="s">
        <v>2599</v>
      </c>
      <c r="E1755" t="s">
        <v>2</v>
      </c>
      <c r="F1755" t="s">
        <v>2600</v>
      </c>
      <c r="G1755" t="s">
        <v>579</v>
      </c>
      <c r="H1755">
        <v>43701</v>
      </c>
      <c r="I1755" t="s">
        <v>2598</v>
      </c>
      <c r="J1755" t="s">
        <v>2599</v>
      </c>
      <c r="K1755" t="s">
        <v>2</v>
      </c>
      <c r="L1755" t="s">
        <v>2600</v>
      </c>
      <c r="M1755" t="s">
        <v>579</v>
      </c>
      <c r="N1755">
        <v>43701</v>
      </c>
      <c r="O1755" t="s">
        <v>2601</v>
      </c>
      <c r="P1755">
        <v>222</v>
      </c>
      <c r="Q1755" t="s">
        <v>6</v>
      </c>
      <c r="R1755">
        <v>415081</v>
      </c>
      <c r="S1755" t="s">
        <v>2602</v>
      </c>
      <c r="T1755" s="2">
        <v>33</v>
      </c>
      <c r="U1755">
        <v>0</v>
      </c>
      <c r="V1755" t="s">
        <v>260</v>
      </c>
      <c r="W1755">
        <v>0</v>
      </c>
      <c r="X1755">
        <v>0</v>
      </c>
      <c r="Y1755">
        <v>0</v>
      </c>
      <c r="Z1755" t="s">
        <v>88</v>
      </c>
      <c r="AA1755" t="s">
        <v>2608</v>
      </c>
      <c r="AB1755" t="s">
        <v>10</v>
      </c>
      <c r="AC1755">
        <v>0</v>
      </c>
      <c r="AD1755">
        <v>0</v>
      </c>
      <c r="AE1755">
        <v>1278125984</v>
      </c>
      <c r="AF1755">
        <v>6196.15</v>
      </c>
      <c r="AG1755">
        <v>0</v>
      </c>
      <c r="AH1755">
        <v>0</v>
      </c>
      <c r="AI1755">
        <v>6196.15</v>
      </c>
      <c r="AJ1755" t="s">
        <v>2</v>
      </c>
      <c r="AK1755" t="s">
        <v>11</v>
      </c>
    </row>
    <row r="1756" spans="1:37">
      <c r="A1756">
        <v>257860</v>
      </c>
      <c r="B1756" s="1">
        <v>45366</v>
      </c>
      <c r="C1756" t="s">
        <v>2598</v>
      </c>
      <c r="D1756" t="s">
        <v>2599</v>
      </c>
      <c r="E1756" t="s">
        <v>2</v>
      </c>
      <c r="F1756" t="s">
        <v>2600</v>
      </c>
      <c r="G1756" t="s">
        <v>579</v>
      </c>
      <c r="H1756">
        <v>43701</v>
      </c>
      <c r="I1756" t="s">
        <v>2598</v>
      </c>
      <c r="J1756" t="s">
        <v>2599</v>
      </c>
      <c r="K1756" t="s">
        <v>2</v>
      </c>
      <c r="L1756" t="s">
        <v>2600</v>
      </c>
      <c r="M1756" t="s">
        <v>579</v>
      </c>
      <c r="N1756">
        <v>43701</v>
      </c>
      <c r="O1756" t="s">
        <v>2601</v>
      </c>
      <c r="P1756">
        <v>222</v>
      </c>
      <c r="Q1756" t="s">
        <v>6</v>
      </c>
      <c r="R1756">
        <v>415081</v>
      </c>
      <c r="S1756" t="s">
        <v>2602</v>
      </c>
      <c r="T1756" s="2">
        <v>33</v>
      </c>
      <c r="U1756">
        <v>0</v>
      </c>
      <c r="V1756" t="s">
        <v>260</v>
      </c>
      <c r="W1756">
        <v>6</v>
      </c>
      <c r="X1756">
        <v>6</v>
      </c>
      <c r="Y1756">
        <v>0</v>
      </c>
      <c r="Z1756" t="s">
        <v>2609</v>
      </c>
      <c r="AA1756" t="s">
        <v>2610</v>
      </c>
      <c r="AB1756" t="s">
        <v>14</v>
      </c>
      <c r="AC1756">
        <v>196.44</v>
      </c>
      <c r="AD1756">
        <v>1178.6400000000001</v>
      </c>
      <c r="AE1756">
        <v>1278125984</v>
      </c>
      <c r="AF1756">
        <v>6196.15</v>
      </c>
      <c r="AG1756">
        <v>0</v>
      </c>
      <c r="AH1756">
        <v>0</v>
      </c>
      <c r="AI1756">
        <v>6196.15</v>
      </c>
      <c r="AJ1756" t="s">
        <v>2</v>
      </c>
      <c r="AK1756" t="s">
        <v>11</v>
      </c>
    </row>
    <row r="1757" spans="1:37">
      <c r="A1757">
        <v>257860</v>
      </c>
      <c r="B1757" s="1">
        <v>45366</v>
      </c>
      <c r="C1757" t="s">
        <v>2598</v>
      </c>
      <c r="D1757" t="s">
        <v>2599</v>
      </c>
      <c r="E1757" t="s">
        <v>2</v>
      </c>
      <c r="F1757" t="s">
        <v>2600</v>
      </c>
      <c r="G1757" t="s">
        <v>579</v>
      </c>
      <c r="H1757">
        <v>43701</v>
      </c>
      <c r="I1757" t="s">
        <v>2598</v>
      </c>
      <c r="J1757" t="s">
        <v>2599</v>
      </c>
      <c r="K1757" t="s">
        <v>2</v>
      </c>
      <c r="L1757" t="s">
        <v>2600</v>
      </c>
      <c r="M1757" t="s">
        <v>579</v>
      </c>
      <c r="N1757">
        <v>43701</v>
      </c>
      <c r="O1757" t="s">
        <v>2601</v>
      </c>
      <c r="P1757">
        <v>222</v>
      </c>
      <c r="Q1757" t="s">
        <v>6</v>
      </c>
      <c r="R1757">
        <v>415081</v>
      </c>
      <c r="S1757" t="s">
        <v>2602</v>
      </c>
      <c r="T1757" s="2">
        <v>33</v>
      </c>
      <c r="U1757">
        <v>0</v>
      </c>
      <c r="V1757" t="s">
        <v>260</v>
      </c>
      <c r="W1757">
        <v>0</v>
      </c>
      <c r="X1757">
        <v>0</v>
      </c>
      <c r="Y1757">
        <v>0</v>
      </c>
      <c r="Z1757" t="s">
        <v>88</v>
      </c>
      <c r="AA1757" t="s">
        <v>2611</v>
      </c>
      <c r="AB1757" t="s">
        <v>10</v>
      </c>
      <c r="AC1757">
        <v>0</v>
      </c>
      <c r="AD1757">
        <v>0</v>
      </c>
      <c r="AE1757">
        <v>1278125984</v>
      </c>
      <c r="AF1757">
        <v>6196.15</v>
      </c>
      <c r="AG1757">
        <v>0</v>
      </c>
      <c r="AH1757">
        <v>0</v>
      </c>
      <c r="AI1757">
        <v>6196.15</v>
      </c>
      <c r="AJ1757" t="s">
        <v>2</v>
      </c>
      <c r="AK1757" t="s">
        <v>11</v>
      </c>
    </row>
    <row r="1758" spans="1:37">
      <c r="A1758">
        <v>257860</v>
      </c>
      <c r="B1758" s="1">
        <v>45366</v>
      </c>
      <c r="C1758" t="s">
        <v>2598</v>
      </c>
      <c r="D1758" t="s">
        <v>2599</v>
      </c>
      <c r="E1758" t="s">
        <v>2</v>
      </c>
      <c r="F1758" t="s">
        <v>2600</v>
      </c>
      <c r="G1758" t="s">
        <v>579</v>
      </c>
      <c r="H1758">
        <v>43701</v>
      </c>
      <c r="I1758" t="s">
        <v>2598</v>
      </c>
      <c r="J1758" t="s">
        <v>2599</v>
      </c>
      <c r="K1758" t="s">
        <v>2</v>
      </c>
      <c r="L1758" t="s">
        <v>2600</v>
      </c>
      <c r="M1758" t="s">
        <v>579</v>
      </c>
      <c r="N1758">
        <v>43701</v>
      </c>
      <c r="O1758" t="s">
        <v>2601</v>
      </c>
      <c r="P1758">
        <v>222</v>
      </c>
      <c r="Q1758" t="s">
        <v>6</v>
      </c>
      <c r="R1758">
        <v>415081</v>
      </c>
      <c r="S1758" t="s">
        <v>2602</v>
      </c>
      <c r="T1758" s="2">
        <v>33</v>
      </c>
      <c r="U1758">
        <v>0</v>
      </c>
      <c r="V1758" t="s">
        <v>260</v>
      </c>
      <c r="W1758">
        <v>2</v>
      </c>
      <c r="X1758">
        <v>2</v>
      </c>
      <c r="Y1758">
        <v>0</v>
      </c>
      <c r="Z1758" t="s">
        <v>2612</v>
      </c>
      <c r="AA1758" t="s">
        <v>2613</v>
      </c>
      <c r="AB1758" t="s">
        <v>14</v>
      </c>
      <c r="AC1758">
        <v>130.69999999999999</v>
      </c>
      <c r="AD1758">
        <v>261.39999999999998</v>
      </c>
      <c r="AE1758">
        <v>1278125984</v>
      </c>
      <c r="AF1758">
        <v>6196.15</v>
      </c>
      <c r="AG1758">
        <v>0</v>
      </c>
      <c r="AH1758">
        <v>0</v>
      </c>
      <c r="AI1758">
        <v>6196.15</v>
      </c>
      <c r="AJ1758" t="s">
        <v>2</v>
      </c>
      <c r="AK1758" t="s">
        <v>11</v>
      </c>
    </row>
    <row r="1759" spans="1:37">
      <c r="A1759">
        <v>257860</v>
      </c>
      <c r="B1759" s="1">
        <v>45366</v>
      </c>
      <c r="C1759" t="s">
        <v>2598</v>
      </c>
      <c r="D1759" t="s">
        <v>2599</v>
      </c>
      <c r="E1759" t="s">
        <v>2</v>
      </c>
      <c r="F1759" t="s">
        <v>2600</v>
      </c>
      <c r="G1759" t="s">
        <v>579</v>
      </c>
      <c r="H1759">
        <v>43701</v>
      </c>
      <c r="I1759" t="s">
        <v>2598</v>
      </c>
      <c r="J1759" t="s">
        <v>2599</v>
      </c>
      <c r="K1759" t="s">
        <v>2</v>
      </c>
      <c r="L1759" t="s">
        <v>2600</v>
      </c>
      <c r="M1759" t="s">
        <v>579</v>
      </c>
      <c r="N1759">
        <v>43701</v>
      </c>
      <c r="O1759" t="s">
        <v>2601</v>
      </c>
      <c r="P1759">
        <v>222</v>
      </c>
      <c r="Q1759" t="s">
        <v>6</v>
      </c>
      <c r="R1759">
        <v>415081</v>
      </c>
      <c r="S1759" t="s">
        <v>2602</v>
      </c>
      <c r="T1759" s="2">
        <v>33</v>
      </c>
      <c r="U1759">
        <v>0</v>
      </c>
      <c r="V1759" t="s">
        <v>260</v>
      </c>
      <c r="W1759">
        <v>0</v>
      </c>
      <c r="X1759">
        <v>0</v>
      </c>
      <c r="Y1759">
        <v>0</v>
      </c>
      <c r="Z1759" t="s">
        <v>88</v>
      </c>
      <c r="AA1759" t="s">
        <v>2608</v>
      </c>
      <c r="AB1759" t="s">
        <v>10</v>
      </c>
      <c r="AC1759">
        <v>0</v>
      </c>
      <c r="AD1759">
        <v>0</v>
      </c>
      <c r="AE1759">
        <v>1278125984</v>
      </c>
      <c r="AF1759">
        <v>6196.15</v>
      </c>
      <c r="AG1759">
        <v>0</v>
      </c>
      <c r="AH1759">
        <v>0</v>
      </c>
      <c r="AI1759">
        <v>6196.15</v>
      </c>
      <c r="AJ1759" t="s">
        <v>2</v>
      </c>
      <c r="AK1759" t="s">
        <v>11</v>
      </c>
    </row>
    <row r="1760" spans="1:37">
      <c r="A1760">
        <v>257860</v>
      </c>
      <c r="B1760" s="1">
        <v>45366</v>
      </c>
      <c r="C1760" t="s">
        <v>2598</v>
      </c>
      <c r="D1760" t="s">
        <v>2599</v>
      </c>
      <c r="E1760" t="s">
        <v>2</v>
      </c>
      <c r="F1760" t="s">
        <v>2600</v>
      </c>
      <c r="G1760" t="s">
        <v>579</v>
      </c>
      <c r="H1760">
        <v>43701</v>
      </c>
      <c r="I1760" t="s">
        <v>2598</v>
      </c>
      <c r="J1760" t="s">
        <v>2599</v>
      </c>
      <c r="K1760" t="s">
        <v>2</v>
      </c>
      <c r="L1760" t="s">
        <v>2600</v>
      </c>
      <c r="M1760" t="s">
        <v>579</v>
      </c>
      <c r="N1760">
        <v>43701</v>
      </c>
      <c r="O1760" t="s">
        <v>2601</v>
      </c>
      <c r="P1760">
        <v>222</v>
      </c>
      <c r="Q1760" t="s">
        <v>6</v>
      </c>
      <c r="R1760">
        <v>415081</v>
      </c>
      <c r="S1760" t="s">
        <v>2602</v>
      </c>
      <c r="T1760" s="2">
        <v>33</v>
      </c>
      <c r="U1760">
        <v>0</v>
      </c>
      <c r="V1760" t="s">
        <v>260</v>
      </c>
      <c r="W1760">
        <v>2</v>
      </c>
      <c r="X1760">
        <v>2</v>
      </c>
      <c r="Y1760">
        <v>0</v>
      </c>
      <c r="Z1760" t="s">
        <v>2614</v>
      </c>
      <c r="AA1760" t="s">
        <v>2615</v>
      </c>
      <c r="AB1760" t="s">
        <v>14</v>
      </c>
      <c r="AC1760">
        <v>109.11</v>
      </c>
      <c r="AD1760">
        <v>218.22</v>
      </c>
      <c r="AE1760">
        <v>1278125984</v>
      </c>
      <c r="AF1760">
        <v>6196.15</v>
      </c>
      <c r="AG1760">
        <v>0</v>
      </c>
      <c r="AH1760">
        <v>0</v>
      </c>
      <c r="AI1760">
        <v>6196.15</v>
      </c>
      <c r="AJ1760" t="s">
        <v>2</v>
      </c>
      <c r="AK1760" t="s">
        <v>11</v>
      </c>
    </row>
    <row r="1761" spans="1:37">
      <c r="A1761">
        <v>257860</v>
      </c>
      <c r="B1761" s="1">
        <v>45366</v>
      </c>
      <c r="C1761" t="s">
        <v>2598</v>
      </c>
      <c r="D1761" t="s">
        <v>2599</v>
      </c>
      <c r="E1761" t="s">
        <v>2</v>
      </c>
      <c r="F1761" t="s">
        <v>2600</v>
      </c>
      <c r="G1761" t="s">
        <v>579</v>
      </c>
      <c r="H1761">
        <v>43701</v>
      </c>
      <c r="I1761" t="s">
        <v>2598</v>
      </c>
      <c r="J1761" t="s">
        <v>2599</v>
      </c>
      <c r="K1761" t="s">
        <v>2</v>
      </c>
      <c r="L1761" t="s">
        <v>2600</v>
      </c>
      <c r="M1761" t="s">
        <v>579</v>
      </c>
      <c r="N1761">
        <v>43701</v>
      </c>
      <c r="O1761" t="s">
        <v>2601</v>
      </c>
      <c r="P1761">
        <v>222</v>
      </c>
      <c r="Q1761" t="s">
        <v>6</v>
      </c>
      <c r="R1761">
        <v>415081</v>
      </c>
      <c r="S1761" t="s">
        <v>2602</v>
      </c>
      <c r="T1761" s="2">
        <v>33</v>
      </c>
      <c r="U1761">
        <v>0</v>
      </c>
      <c r="V1761" t="s">
        <v>260</v>
      </c>
      <c r="W1761">
        <v>0</v>
      </c>
      <c r="X1761">
        <v>0</v>
      </c>
      <c r="Y1761">
        <v>0</v>
      </c>
      <c r="Z1761" t="s">
        <v>88</v>
      </c>
      <c r="AA1761" t="s">
        <v>2611</v>
      </c>
      <c r="AB1761" t="s">
        <v>10</v>
      </c>
      <c r="AC1761">
        <v>0</v>
      </c>
      <c r="AD1761">
        <v>0</v>
      </c>
      <c r="AE1761">
        <v>1278125984</v>
      </c>
      <c r="AF1761">
        <v>6196.15</v>
      </c>
      <c r="AG1761">
        <v>0</v>
      </c>
      <c r="AH1761">
        <v>0</v>
      </c>
      <c r="AI1761">
        <v>6196.15</v>
      </c>
      <c r="AJ1761" t="s">
        <v>2</v>
      </c>
      <c r="AK1761" t="s">
        <v>11</v>
      </c>
    </row>
    <row r="1762" spans="1:37">
      <c r="A1762">
        <v>257860</v>
      </c>
      <c r="B1762" s="1">
        <v>45366</v>
      </c>
      <c r="C1762" t="s">
        <v>2598</v>
      </c>
      <c r="D1762" t="s">
        <v>2599</v>
      </c>
      <c r="E1762" t="s">
        <v>2</v>
      </c>
      <c r="F1762" t="s">
        <v>2600</v>
      </c>
      <c r="G1762" t="s">
        <v>579</v>
      </c>
      <c r="H1762">
        <v>43701</v>
      </c>
      <c r="I1762" t="s">
        <v>2598</v>
      </c>
      <c r="J1762" t="s">
        <v>2599</v>
      </c>
      <c r="K1762" t="s">
        <v>2</v>
      </c>
      <c r="L1762" t="s">
        <v>2600</v>
      </c>
      <c r="M1762" t="s">
        <v>579</v>
      </c>
      <c r="N1762">
        <v>43701</v>
      </c>
      <c r="O1762" t="s">
        <v>2601</v>
      </c>
      <c r="P1762">
        <v>222</v>
      </c>
      <c r="Q1762" t="s">
        <v>6</v>
      </c>
      <c r="R1762">
        <v>415081</v>
      </c>
      <c r="S1762" t="s">
        <v>2602</v>
      </c>
      <c r="T1762" s="2">
        <v>33</v>
      </c>
      <c r="U1762">
        <v>0</v>
      </c>
      <c r="V1762" t="s">
        <v>260</v>
      </c>
      <c r="W1762">
        <v>2</v>
      </c>
      <c r="X1762">
        <v>2</v>
      </c>
      <c r="Y1762">
        <v>0</v>
      </c>
      <c r="Z1762" t="s">
        <v>2616</v>
      </c>
      <c r="AA1762" t="s">
        <v>2617</v>
      </c>
      <c r="AB1762" t="s">
        <v>14</v>
      </c>
      <c r="AC1762">
        <v>88.42</v>
      </c>
      <c r="AD1762">
        <v>176.84</v>
      </c>
      <c r="AE1762">
        <v>1278125984</v>
      </c>
      <c r="AF1762">
        <v>6196.15</v>
      </c>
      <c r="AG1762">
        <v>0</v>
      </c>
      <c r="AH1762">
        <v>0</v>
      </c>
      <c r="AI1762">
        <v>6196.15</v>
      </c>
      <c r="AJ1762" t="s">
        <v>2</v>
      </c>
      <c r="AK1762" t="s">
        <v>11</v>
      </c>
    </row>
    <row r="1763" spans="1:37">
      <c r="A1763">
        <v>257860</v>
      </c>
      <c r="B1763" s="1">
        <v>45366</v>
      </c>
      <c r="C1763" t="s">
        <v>2598</v>
      </c>
      <c r="D1763" t="s">
        <v>2599</v>
      </c>
      <c r="E1763" t="s">
        <v>2</v>
      </c>
      <c r="F1763" t="s">
        <v>2600</v>
      </c>
      <c r="G1763" t="s">
        <v>579</v>
      </c>
      <c r="H1763">
        <v>43701</v>
      </c>
      <c r="I1763" t="s">
        <v>2598</v>
      </c>
      <c r="J1763" t="s">
        <v>2599</v>
      </c>
      <c r="K1763" t="s">
        <v>2</v>
      </c>
      <c r="L1763" t="s">
        <v>2600</v>
      </c>
      <c r="M1763" t="s">
        <v>579</v>
      </c>
      <c r="N1763">
        <v>43701</v>
      </c>
      <c r="O1763" t="s">
        <v>2601</v>
      </c>
      <c r="P1763">
        <v>222</v>
      </c>
      <c r="Q1763" t="s">
        <v>6</v>
      </c>
      <c r="R1763">
        <v>415081</v>
      </c>
      <c r="S1763" t="s">
        <v>2602</v>
      </c>
      <c r="T1763" s="2">
        <v>33</v>
      </c>
      <c r="U1763">
        <v>0</v>
      </c>
      <c r="V1763" t="s">
        <v>260</v>
      </c>
      <c r="W1763">
        <v>0</v>
      </c>
      <c r="X1763">
        <v>0</v>
      </c>
      <c r="Y1763">
        <v>0</v>
      </c>
      <c r="Z1763" t="s">
        <v>88</v>
      </c>
      <c r="AA1763" t="s">
        <v>1041</v>
      </c>
      <c r="AB1763" t="s">
        <v>10</v>
      </c>
      <c r="AC1763">
        <v>0</v>
      </c>
      <c r="AD1763">
        <v>0</v>
      </c>
      <c r="AE1763">
        <v>1278125984</v>
      </c>
      <c r="AF1763">
        <v>6196.15</v>
      </c>
      <c r="AG1763">
        <v>0</v>
      </c>
      <c r="AH1763">
        <v>0</v>
      </c>
      <c r="AI1763">
        <v>6196.15</v>
      </c>
      <c r="AJ1763" t="s">
        <v>2</v>
      </c>
      <c r="AK1763" t="s">
        <v>11</v>
      </c>
    </row>
    <row r="1764" spans="1:37">
      <c r="A1764">
        <v>257860</v>
      </c>
      <c r="B1764" s="1">
        <v>45366</v>
      </c>
      <c r="C1764" t="s">
        <v>2598</v>
      </c>
      <c r="D1764" t="s">
        <v>2599</v>
      </c>
      <c r="E1764" t="s">
        <v>2</v>
      </c>
      <c r="F1764" t="s">
        <v>2600</v>
      </c>
      <c r="G1764" t="s">
        <v>579</v>
      </c>
      <c r="H1764">
        <v>43701</v>
      </c>
      <c r="I1764" t="s">
        <v>2598</v>
      </c>
      <c r="J1764" t="s">
        <v>2599</v>
      </c>
      <c r="K1764" t="s">
        <v>2</v>
      </c>
      <c r="L1764" t="s">
        <v>2600</v>
      </c>
      <c r="M1764" t="s">
        <v>579</v>
      </c>
      <c r="N1764">
        <v>43701</v>
      </c>
      <c r="O1764" t="s">
        <v>2601</v>
      </c>
      <c r="P1764">
        <v>222</v>
      </c>
      <c r="Q1764" t="s">
        <v>6</v>
      </c>
      <c r="R1764">
        <v>415081</v>
      </c>
      <c r="S1764" t="s">
        <v>2602</v>
      </c>
      <c r="T1764" s="2">
        <v>33</v>
      </c>
      <c r="U1764">
        <v>0</v>
      </c>
      <c r="V1764" t="s">
        <v>260</v>
      </c>
      <c r="W1764">
        <v>2</v>
      </c>
      <c r="X1764">
        <v>2</v>
      </c>
      <c r="Y1764">
        <v>0</v>
      </c>
      <c r="Z1764" t="s">
        <v>2618</v>
      </c>
      <c r="AA1764" t="s">
        <v>2619</v>
      </c>
      <c r="AB1764" t="s">
        <v>14</v>
      </c>
      <c r="AC1764">
        <v>120.976</v>
      </c>
      <c r="AD1764">
        <v>241.95</v>
      </c>
      <c r="AE1764">
        <v>1278125984</v>
      </c>
      <c r="AF1764">
        <v>6196.15</v>
      </c>
      <c r="AG1764">
        <v>0</v>
      </c>
      <c r="AH1764">
        <v>0</v>
      </c>
      <c r="AI1764">
        <v>6196.15</v>
      </c>
      <c r="AJ1764" t="s">
        <v>2</v>
      </c>
      <c r="AK1764" t="s">
        <v>11</v>
      </c>
    </row>
    <row r="1765" spans="1:37">
      <c r="A1765">
        <v>257860</v>
      </c>
      <c r="B1765" s="1">
        <v>45366</v>
      </c>
      <c r="C1765" t="s">
        <v>2598</v>
      </c>
      <c r="D1765" t="s">
        <v>2599</v>
      </c>
      <c r="E1765" t="s">
        <v>2</v>
      </c>
      <c r="F1765" t="s">
        <v>2600</v>
      </c>
      <c r="G1765" t="s">
        <v>579</v>
      </c>
      <c r="H1765">
        <v>43701</v>
      </c>
      <c r="I1765" t="s">
        <v>2598</v>
      </c>
      <c r="J1765" t="s">
        <v>2599</v>
      </c>
      <c r="K1765" t="s">
        <v>2</v>
      </c>
      <c r="L1765" t="s">
        <v>2600</v>
      </c>
      <c r="M1765" t="s">
        <v>579</v>
      </c>
      <c r="N1765">
        <v>43701</v>
      </c>
      <c r="O1765" t="s">
        <v>2601</v>
      </c>
      <c r="P1765">
        <v>222</v>
      </c>
      <c r="Q1765" t="s">
        <v>6</v>
      </c>
      <c r="R1765">
        <v>415081</v>
      </c>
      <c r="S1765" t="s">
        <v>2602</v>
      </c>
      <c r="T1765" s="2">
        <v>33</v>
      </c>
      <c r="U1765">
        <v>0</v>
      </c>
      <c r="V1765" t="s">
        <v>260</v>
      </c>
      <c r="W1765">
        <v>0</v>
      </c>
      <c r="X1765">
        <v>0</v>
      </c>
      <c r="Y1765">
        <v>0</v>
      </c>
      <c r="Z1765" t="s">
        <v>88</v>
      </c>
      <c r="AA1765" t="s">
        <v>1041</v>
      </c>
      <c r="AB1765" t="s">
        <v>10</v>
      </c>
      <c r="AC1765">
        <v>0</v>
      </c>
      <c r="AD1765">
        <v>0</v>
      </c>
      <c r="AE1765">
        <v>1278125984</v>
      </c>
      <c r="AF1765">
        <v>6196.15</v>
      </c>
      <c r="AG1765">
        <v>0</v>
      </c>
      <c r="AH1765">
        <v>0</v>
      </c>
      <c r="AI1765">
        <v>6196.15</v>
      </c>
      <c r="AJ1765" t="s">
        <v>2</v>
      </c>
      <c r="AK1765" t="s">
        <v>11</v>
      </c>
    </row>
    <row r="1766" spans="1:37">
      <c r="A1766">
        <v>257860</v>
      </c>
      <c r="B1766" s="1">
        <v>45366</v>
      </c>
      <c r="C1766" t="s">
        <v>2598</v>
      </c>
      <c r="D1766" t="s">
        <v>2599</v>
      </c>
      <c r="E1766" t="s">
        <v>2</v>
      </c>
      <c r="F1766" t="s">
        <v>2600</v>
      </c>
      <c r="G1766" t="s">
        <v>579</v>
      </c>
      <c r="H1766">
        <v>43701</v>
      </c>
      <c r="I1766" t="s">
        <v>2598</v>
      </c>
      <c r="J1766" t="s">
        <v>2599</v>
      </c>
      <c r="K1766" t="s">
        <v>2</v>
      </c>
      <c r="L1766" t="s">
        <v>2600</v>
      </c>
      <c r="M1766" t="s">
        <v>579</v>
      </c>
      <c r="N1766">
        <v>43701</v>
      </c>
      <c r="O1766" t="s">
        <v>2601</v>
      </c>
      <c r="P1766">
        <v>222</v>
      </c>
      <c r="Q1766" t="s">
        <v>6</v>
      </c>
      <c r="R1766">
        <v>415081</v>
      </c>
      <c r="S1766" t="s">
        <v>2602</v>
      </c>
      <c r="T1766" s="2">
        <v>33</v>
      </c>
      <c r="U1766">
        <v>0</v>
      </c>
      <c r="V1766" t="s">
        <v>260</v>
      </c>
      <c r="W1766">
        <v>1</v>
      </c>
      <c r="X1766">
        <v>1</v>
      </c>
      <c r="Y1766">
        <v>0</v>
      </c>
      <c r="Z1766" t="s">
        <v>2620</v>
      </c>
      <c r="AA1766" t="s">
        <v>2621</v>
      </c>
      <c r="AB1766" t="s">
        <v>14</v>
      </c>
      <c r="AC1766">
        <v>114.79089999999999</v>
      </c>
      <c r="AD1766">
        <v>114.79</v>
      </c>
      <c r="AE1766">
        <v>1278125984</v>
      </c>
      <c r="AF1766">
        <v>6196.15</v>
      </c>
      <c r="AG1766">
        <v>0</v>
      </c>
      <c r="AH1766">
        <v>0</v>
      </c>
      <c r="AI1766">
        <v>6196.15</v>
      </c>
      <c r="AJ1766" t="s">
        <v>2</v>
      </c>
      <c r="AK1766" t="s">
        <v>11</v>
      </c>
    </row>
    <row r="1767" spans="1:37">
      <c r="A1767">
        <v>257860</v>
      </c>
      <c r="B1767" s="1">
        <v>45366</v>
      </c>
      <c r="C1767" t="s">
        <v>2598</v>
      </c>
      <c r="D1767" t="s">
        <v>2599</v>
      </c>
      <c r="E1767" t="s">
        <v>2</v>
      </c>
      <c r="F1767" t="s">
        <v>2600</v>
      </c>
      <c r="G1767" t="s">
        <v>579</v>
      </c>
      <c r="H1767">
        <v>43701</v>
      </c>
      <c r="I1767" t="s">
        <v>2598</v>
      </c>
      <c r="J1767" t="s">
        <v>2599</v>
      </c>
      <c r="K1767" t="s">
        <v>2</v>
      </c>
      <c r="L1767" t="s">
        <v>2600</v>
      </c>
      <c r="M1767" t="s">
        <v>579</v>
      </c>
      <c r="N1767">
        <v>43701</v>
      </c>
      <c r="O1767" t="s">
        <v>2601</v>
      </c>
      <c r="P1767">
        <v>222</v>
      </c>
      <c r="Q1767" t="s">
        <v>6</v>
      </c>
      <c r="R1767">
        <v>415081</v>
      </c>
      <c r="S1767" t="s">
        <v>2602</v>
      </c>
      <c r="T1767" s="2">
        <v>33</v>
      </c>
      <c r="U1767">
        <v>0</v>
      </c>
      <c r="V1767" t="s">
        <v>260</v>
      </c>
      <c r="W1767">
        <v>0</v>
      </c>
      <c r="X1767">
        <v>0</v>
      </c>
      <c r="Y1767">
        <v>0</v>
      </c>
      <c r="Z1767" t="s">
        <v>88</v>
      </c>
      <c r="AA1767" t="s">
        <v>1041</v>
      </c>
      <c r="AB1767" t="s">
        <v>10</v>
      </c>
      <c r="AC1767">
        <v>0</v>
      </c>
      <c r="AD1767">
        <v>0</v>
      </c>
      <c r="AE1767">
        <v>1278125984</v>
      </c>
      <c r="AF1767">
        <v>6196.15</v>
      </c>
      <c r="AG1767">
        <v>0</v>
      </c>
      <c r="AH1767">
        <v>0</v>
      </c>
      <c r="AI1767">
        <v>6196.15</v>
      </c>
      <c r="AJ1767" t="s">
        <v>2</v>
      </c>
      <c r="AK1767" t="s">
        <v>11</v>
      </c>
    </row>
    <row r="1768" spans="1:37">
      <c r="A1768">
        <v>257860</v>
      </c>
      <c r="B1768" s="1">
        <v>45366</v>
      </c>
      <c r="C1768" t="s">
        <v>2598</v>
      </c>
      <c r="D1768" t="s">
        <v>2599</v>
      </c>
      <c r="E1768" t="s">
        <v>2</v>
      </c>
      <c r="F1768" t="s">
        <v>2600</v>
      </c>
      <c r="G1768" t="s">
        <v>579</v>
      </c>
      <c r="H1768">
        <v>43701</v>
      </c>
      <c r="I1768" t="s">
        <v>2598</v>
      </c>
      <c r="J1768" t="s">
        <v>2599</v>
      </c>
      <c r="K1768" t="s">
        <v>2</v>
      </c>
      <c r="L1768" t="s">
        <v>2600</v>
      </c>
      <c r="M1768" t="s">
        <v>579</v>
      </c>
      <c r="N1768">
        <v>43701</v>
      </c>
      <c r="O1768" t="s">
        <v>2601</v>
      </c>
      <c r="P1768">
        <v>222</v>
      </c>
      <c r="Q1768" t="s">
        <v>6</v>
      </c>
      <c r="R1768">
        <v>415081</v>
      </c>
      <c r="S1768" t="s">
        <v>2602</v>
      </c>
      <c r="T1768" s="2">
        <v>33</v>
      </c>
      <c r="U1768">
        <v>0</v>
      </c>
      <c r="V1768" t="s">
        <v>260</v>
      </c>
      <c r="W1768">
        <v>4</v>
      </c>
      <c r="X1768">
        <v>4</v>
      </c>
      <c r="Y1768">
        <v>0</v>
      </c>
      <c r="Z1768" t="s">
        <v>2622</v>
      </c>
      <c r="AA1768" t="s">
        <v>2623</v>
      </c>
      <c r="AB1768" t="s">
        <v>14</v>
      </c>
      <c r="AC1768">
        <v>97.26</v>
      </c>
      <c r="AD1768">
        <v>389.04</v>
      </c>
      <c r="AE1768">
        <v>1278125984</v>
      </c>
      <c r="AF1768">
        <v>6196.15</v>
      </c>
      <c r="AG1768">
        <v>0</v>
      </c>
      <c r="AH1768">
        <v>0</v>
      </c>
      <c r="AI1768">
        <v>6196.15</v>
      </c>
      <c r="AJ1768" t="s">
        <v>2</v>
      </c>
      <c r="AK1768" t="s">
        <v>11</v>
      </c>
    </row>
    <row r="1769" spans="1:37">
      <c r="A1769">
        <v>257860</v>
      </c>
      <c r="B1769" s="1">
        <v>45366</v>
      </c>
      <c r="C1769" t="s">
        <v>2598</v>
      </c>
      <c r="D1769" t="s">
        <v>2599</v>
      </c>
      <c r="E1769" t="s">
        <v>2</v>
      </c>
      <c r="F1769" t="s">
        <v>2600</v>
      </c>
      <c r="G1769" t="s">
        <v>579</v>
      </c>
      <c r="H1769">
        <v>43701</v>
      </c>
      <c r="I1769" t="s">
        <v>2598</v>
      </c>
      <c r="J1769" t="s">
        <v>2599</v>
      </c>
      <c r="K1769" t="s">
        <v>2</v>
      </c>
      <c r="L1769" t="s">
        <v>2600</v>
      </c>
      <c r="M1769" t="s">
        <v>579</v>
      </c>
      <c r="N1769">
        <v>43701</v>
      </c>
      <c r="O1769" t="s">
        <v>2601</v>
      </c>
      <c r="P1769">
        <v>222</v>
      </c>
      <c r="Q1769" t="s">
        <v>6</v>
      </c>
      <c r="R1769">
        <v>415081</v>
      </c>
      <c r="S1769" t="s">
        <v>2602</v>
      </c>
      <c r="T1769" s="2">
        <v>33</v>
      </c>
      <c r="U1769">
        <v>0</v>
      </c>
      <c r="V1769" t="s">
        <v>260</v>
      </c>
      <c r="W1769">
        <v>0</v>
      </c>
      <c r="X1769">
        <v>0</v>
      </c>
      <c r="Y1769">
        <v>0</v>
      </c>
      <c r="Z1769" t="s">
        <v>88</v>
      </c>
      <c r="AA1769" t="s">
        <v>1041</v>
      </c>
      <c r="AB1769" t="s">
        <v>10</v>
      </c>
      <c r="AC1769">
        <v>0</v>
      </c>
      <c r="AD1769">
        <v>0</v>
      </c>
      <c r="AE1769">
        <v>1278125984</v>
      </c>
      <c r="AF1769">
        <v>6196.15</v>
      </c>
      <c r="AG1769">
        <v>0</v>
      </c>
      <c r="AH1769">
        <v>0</v>
      </c>
      <c r="AI1769">
        <v>6196.15</v>
      </c>
      <c r="AJ1769" t="s">
        <v>2</v>
      </c>
      <c r="AK1769" t="s">
        <v>11</v>
      </c>
    </row>
    <row r="1770" spans="1:37">
      <c r="A1770">
        <v>257860</v>
      </c>
      <c r="B1770" s="1">
        <v>45366</v>
      </c>
      <c r="C1770" t="s">
        <v>2598</v>
      </c>
      <c r="D1770" t="s">
        <v>2599</v>
      </c>
      <c r="E1770" t="s">
        <v>2</v>
      </c>
      <c r="F1770" t="s">
        <v>2600</v>
      </c>
      <c r="G1770" t="s">
        <v>579</v>
      </c>
      <c r="H1770">
        <v>43701</v>
      </c>
      <c r="I1770" t="s">
        <v>2598</v>
      </c>
      <c r="J1770" t="s">
        <v>2599</v>
      </c>
      <c r="K1770" t="s">
        <v>2</v>
      </c>
      <c r="L1770" t="s">
        <v>2600</v>
      </c>
      <c r="M1770" t="s">
        <v>579</v>
      </c>
      <c r="N1770">
        <v>43701</v>
      </c>
      <c r="O1770" t="s">
        <v>2601</v>
      </c>
      <c r="P1770">
        <v>222</v>
      </c>
      <c r="Q1770" t="s">
        <v>6</v>
      </c>
      <c r="R1770">
        <v>415081</v>
      </c>
      <c r="S1770" t="s">
        <v>2602</v>
      </c>
      <c r="T1770" s="2">
        <v>33</v>
      </c>
      <c r="U1770">
        <v>0</v>
      </c>
      <c r="V1770" t="s">
        <v>260</v>
      </c>
      <c r="W1770">
        <v>1</v>
      </c>
      <c r="X1770">
        <v>0</v>
      </c>
      <c r="Y1770">
        <v>1</v>
      </c>
      <c r="Z1770" t="s">
        <v>2624</v>
      </c>
      <c r="AA1770" t="s">
        <v>2625</v>
      </c>
      <c r="AB1770" t="s">
        <v>14</v>
      </c>
      <c r="AC1770">
        <v>109.68</v>
      </c>
      <c r="AD1770">
        <v>0</v>
      </c>
      <c r="AE1770">
        <v>1278125984</v>
      </c>
      <c r="AF1770">
        <v>6196.15</v>
      </c>
      <c r="AG1770">
        <v>0</v>
      </c>
      <c r="AH1770">
        <v>0</v>
      </c>
      <c r="AI1770">
        <v>6196.15</v>
      </c>
      <c r="AJ1770" t="s">
        <v>2</v>
      </c>
      <c r="AK1770" t="s">
        <v>11</v>
      </c>
    </row>
    <row r="1771" spans="1:37">
      <c r="A1771">
        <v>257860</v>
      </c>
      <c r="B1771" s="1">
        <v>45366</v>
      </c>
      <c r="C1771" t="s">
        <v>2598</v>
      </c>
      <c r="D1771" t="s">
        <v>2599</v>
      </c>
      <c r="E1771" t="s">
        <v>2</v>
      </c>
      <c r="F1771" t="s">
        <v>2600</v>
      </c>
      <c r="G1771" t="s">
        <v>579</v>
      </c>
      <c r="H1771">
        <v>43701</v>
      </c>
      <c r="I1771" t="s">
        <v>2598</v>
      </c>
      <c r="J1771" t="s">
        <v>2599</v>
      </c>
      <c r="K1771" t="s">
        <v>2</v>
      </c>
      <c r="L1771" t="s">
        <v>2600</v>
      </c>
      <c r="M1771" t="s">
        <v>579</v>
      </c>
      <c r="N1771">
        <v>43701</v>
      </c>
      <c r="O1771" t="s">
        <v>2601</v>
      </c>
      <c r="P1771">
        <v>222</v>
      </c>
      <c r="Q1771" t="s">
        <v>6</v>
      </c>
      <c r="R1771">
        <v>415081</v>
      </c>
      <c r="S1771" t="s">
        <v>2602</v>
      </c>
      <c r="T1771" s="2">
        <v>33</v>
      </c>
      <c r="U1771">
        <v>0</v>
      </c>
      <c r="V1771" t="s">
        <v>260</v>
      </c>
      <c r="W1771">
        <v>0</v>
      </c>
      <c r="X1771">
        <v>0</v>
      </c>
      <c r="Y1771">
        <v>0</v>
      </c>
      <c r="Z1771" t="s">
        <v>88</v>
      </c>
      <c r="AA1771" t="s">
        <v>1041</v>
      </c>
      <c r="AB1771" t="s">
        <v>10</v>
      </c>
      <c r="AC1771">
        <v>0</v>
      </c>
      <c r="AD1771">
        <v>0</v>
      </c>
      <c r="AE1771">
        <v>1278125984</v>
      </c>
      <c r="AF1771">
        <v>6196.15</v>
      </c>
      <c r="AG1771">
        <v>0</v>
      </c>
      <c r="AH1771">
        <v>0</v>
      </c>
      <c r="AI1771">
        <v>6196.15</v>
      </c>
      <c r="AJ1771" t="s">
        <v>2</v>
      </c>
      <c r="AK1771" t="s">
        <v>11</v>
      </c>
    </row>
    <row r="1772" spans="1:37">
      <c r="A1772">
        <v>257860</v>
      </c>
      <c r="B1772" s="1">
        <v>45366</v>
      </c>
      <c r="C1772" t="s">
        <v>2598</v>
      </c>
      <c r="D1772" t="s">
        <v>2599</v>
      </c>
      <c r="E1772" t="s">
        <v>2</v>
      </c>
      <c r="F1772" t="s">
        <v>2600</v>
      </c>
      <c r="G1772" t="s">
        <v>579</v>
      </c>
      <c r="H1772">
        <v>43701</v>
      </c>
      <c r="I1772" t="s">
        <v>2598</v>
      </c>
      <c r="J1772" t="s">
        <v>2599</v>
      </c>
      <c r="K1772" t="s">
        <v>2</v>
      </c>
      <c r="L1772" t="s">
        <v>2600</v>
      </c>
      <c r="M1772" t="s">
        <v>579</v>
      </c>
      <c r="N1772">
        <v>43701</v>
      </c>
      <c r="O1772" t="s">
        <v>2601</v>
      </c>
      <c r="P1772">
        <v>222</v>
      </c>
      <c r="Q1772" t="s">
        <v>6</v>
      </c>
      <c r="R1772">
        <v>415081</v>
      </c>
      <c r="S1772" t="s">
        <v>2602</v>
      </c>
      <c r="T1772" s="2">
        <v>33</v>
      </c>
      <c r="U1772">
        <v>0</v>
      </c>
      <c r="V1772" t="s">
        <v>260</v>
      </c>
      <c r="W1772">
        <v>1</v>
      </c>
      <c r="X1772">
        <v>1</v>
      </c>
      <c r="Y1772">
        <v>0</v>
      </c>
      <c r="Z1772" t="s">
        <v>2626</v>
      </c>
      <c r="AA1772" t="s">
        <v>2627</v>
      </c>
      <c r="AB1772" t="s">
        <v>14</v>
      </c>
      <c r="AC1772">
        <v>589.24</v>
      </c>
      <c r="AD1772">
        <v>589.24</v>
      </c>
      <c r="AE1772">
        <v>1278125984</v>
      </c>
      <c r="AF1772">
        <v>6196.15</v>
      </c>
      <c r="AG1772">
        <v>0</v>
      </c>
      <c r="AH1772">
        <v>0</v>
      </c>
      <c r="AI1772">
        <v>6196.15</v>
      </c>
      <c r="AJ1772" t="s">
        <v>2</v>
      </c>
      <c r="AK1772" t="s">
        <v>11</v>
      </c>
    </row>
    <row r="1773" spans="1:37">
      <c r="A1773">
        <v>257860</v>
      </c>
      <c r="B1773" s="1">
        <v>45366</v>
      </c>
      <c r="C1773" t="s">
        <v>2598</v>
      </c>
      <c r="D1773" t="s">
        <v>2599</v>
      </c>
      <c r="E1773" t="s">
        <v>2</v>
      </c>
      <c r="F1773" t="s">
        <v>2600</v>
      </c>
      <c r="G1773" t="s">
        <v>579</v>
      </c>
      <c r="H1773">
        <v>43701</v>
      </c>
      <c r="I1773" t="s">
        <v>2598</v>
      </c>
      <c r="J1773" t="s">
        <v>2599</v>
      </c>
      <c r="K1773" t="s">
        <v>2</v>
      </c>
      <c r="L1773" t="s">
        <v>2600</v>
      </c>
      <c r="M1773" t="s">
        <v>579</v>
      </c>
      <c r="N1773">
        <v>43701</v>
      </c>
      <c r="O1773" t="s">
        <v>2601</v>
      </c>
      <c r="P1773">
        <v>222</v>
      </c>
      <c r="Q1773" t="s">
        <v>6</v>
      </c>
      <c r="R1773">
        <v>415081</v>
      </c>
      <c r="S1773" t="s">
        <v>2602</v>
      </c>
      <c r="T1773" s="2">
        <v>33</v>
      </c>
      <c r="U1773">
        <v>0</v>
      </c>
      <c r="V1773" t="s">
        <v>260</v>
      </c>
      <c r="W1773">
        <v>0</v>
      </c>
      <c r="X1773">
        <v>0</v>
      </c>
      <c r="Y1773">
        <v>0</v>
      </c>
      <c r="Z1773" t="s">
        <v>88</v>
      </c>
      <c r="AA1773" t="s">
        <v>1187</v>
      </c>
      <c r="AB1773" t="s">
        <v>10</v>
      </c>
      <c r="AC1773">
        <v>0</v>
      </c>
      <c r="AD1773">
        <v>0</v>
      </c>
      <c r="AE1773">
        <v>1278125984</v>
      </c>
      <c r="AF1773">
        <v>6196.15</v>
      </c>
      <c r="AG1773">
        <v>0</v>
      </c>
      <c r="AH1773">
        <v>0</v>
      </c>
      <c r="AI1773">
        <v>6196.15</v>
      </c>
      <c r="AJ1773" t="s">
        <v>2</v>
      </c>
      <c r="AK1773" t="s">
        <v>11</v>
      </c>
    </row>
    <row r="1774" spans="1:37">
      <c r="A1774">
        <v>257860</v>
      </c>
      <c r="B1774" s="1">
        <v>45366</v>
      </c>
      <c r="C1774" t="s">
        <v>2598</v>
      </c>
      <c r="D1774" t="s">
        <v>2599</v>
      </c>
      <c r="E1774" t="s">
        <v>2</v>
      </c>
      <c r="F1774" t="s">
        <v>2600</v>
      </c>
      <c r="G1774" t="s">
        <v>579</v>
      </c>
      <c r="H1774">
        <v>43701</v>
      </c>
      <c r="I1774" t="s">
        <v>2598</v>
      </c>
      <c r="J1774" t="s">
        <v>2599</v>
      </c>
      <c r="K1774" t="s">
        <v>2</v>
      </c>
      <c r="L1774" t="s">
        <v>2600</v>
      </c>
      <c r="M1774" t="s">
        <v>579</v>
      </c>
      <c r="N1774">
        <v>43701</v>
      </c>
      <c r="O1774" t="s">
        <v>2601</v>
      </c>
      <c r="P1774">
        <v>222</v>
      </c>
      <c r="Q1774" t="s">
        <v>6</v>
      </c>
      <c r="R1774">
        <v>415081</v>
      </c>
      <c r="S1774" t="s">
        <v>2602</v>
      </c>
      <c r="T1774" s="2">
        <v>33</v>
      </c>
      <c r="U1774">
        <v>0</v>
      </c>
      <c r="V1774" t="s">
        <v>260</v>
      </c>
      <c r="W1774">
        <v>1</v>
      </c>
      <c r="X1774">
        <v>1</v>
      </c>
      <c r="Y1774">
        <v>0</v>
      </c>
      <c r="Z1774" t="s">
        <v>2628</v>
      </c>
      <c r="AA1774" t="s">
        <v>2629</v>
      </c>
      <c r="AB1774" t="s">
        <v>14</v>
      </c>
      <c r="AC1774">
        <v>589.24</v>
      </c>
      <c r="AD1774">
        <v>589.24</v>
      </c>
      <c r="AE1774">
        <v>1278125984</v>
      </c>
      <c r="AF1774">
        <v>6196.15</v>
      </c>
      <c r="AG1774">
        <v>0</v>
      </c>
      <c r="AH1774">
        <v>0</v>
      </c>
      <c r="AI1774">
        <v>6196.15</v>
      </c>
      <c r="AJ1774" t="s">
        <v>2</v>
      </c>
      <c r="AK1774" t="s">
        <v>11</v>
      </c>
    </row>
    <row r="1775" spans="1:37">
      <c r="A1775">
        <v>257860</v>
      </c>
      <c r="B1775" s="1">
        <v>45366</v>
      </c>
      <c r="C1775" t="s">
        <v>2598</v>
      </c>
      <c r="D1775" t="s">
        <v>2599</v>
      </c>
      <c r="E1775" t="s">
        <v>2</v>
      </c>
      <c r="F1775" t="s">
        <v>2600</v>
      </c>
      <c r="G1775" t="s">
        <v>579</v>
      </c>
      <c r="H1775">
        <v>43701</v>
      </c>
      <c r="I1775" t="s">
        <v>2598</v>
      </c>
      <c r="J1775" t="s">
        <v>2599</v>
      </c>
      <c r="K1775" t="s">
        <v>2</v>
      </c>
      <c r="L1775" t="s">
        <v>2600</v>
      </c>
      <c r="M1775" t="s">
        <v>579</v>
      </c>
      <c r="N1775">
        <v>43701</v>
      </c>
      <c r="O1775" t="s">
        <v>2601</v>
      </c>
      <c r="P1775">
        <v>222</v>
      </c>
      <c r="Q1775" t="s">
        <v>6</v>
      </c>
      <c r="R1775">
        <v>415081</v>
      </c>
      <c r="S1775" t="s">
        <v>2602</v>
      </c>
      <c r="T1775" s="2">
        <v>33</v>
      </c>
      <c r="U1775">
        <v>0</v>
      </c>
      <c r="V1775" t="s">
        <v>260</v>
      </c>
      <c r="W1775">
        <v>0</v>
      </c>
      <c r="X1775">
        <v>0</v>
      </c>
      <c r="Y1775">
        <v>0</v>
      </c>
      <c r="Z1775" t="s">
        <v>88</v>
      </c>
      <c r="AA1775" t="s">
        <v>1187</v>
      </c>
      <c r="AB1775" t="s">
        <v>10</v>
      </c>
      <c r="AC1775">
        <v>0</v>
      </c>
      <c r="AD1775">
        <v>0</v>
      </c>
      <c r="AE1775">
        <v>1278125984</v>
      </c>
      <c r="AF1775">
        <v>6196.15</v>
      </c>
      <c r="AG1775">
        <v>0</v>
      </c>
      <c r="AH1775">
        <v>0</v>
      </c>
      <c r="AI1775">
        <v>6196.15</v>
      </c>
      <c r="AJ1775" t="s">
        <v>2</v>
      </c>
      <c r="AK1775" t="s">
        <v>11</v>
      </c>
    </row>
    <row r="1776" spans="1:37">
      <c r="A1776">
        <v>257860</v>
      </c>
      <c r="B1776" s="1">
        <v>45366</v>
      </c>
      <c r="C1776" t="s">
        <v>2598</v>
      </c>
      <c r="D1776" t="s">
        <v>2599</v>
      </c>
      <c r="E1776" t="s">
        <v>2</v>
      </c>
      <c r="F1776" t="s">
        <v>2600</v>
      </c>
      <c r="G1776" t="s">
        <v>579</v>
      </c>
      <c r="H1776">
        <v>43701</v>
      </c>
      <c r="I1776" t="s">
        <v>2598</v>
      </c>
      <c r="J1776" t="s">
        <v>2599</v>
      </c>
      <c r="K1776" t="s">
        <v>2</v>
      </c>
      <c r="L1776" t="s">
        <v>2600</v>
      </c>
      <c r="M1776" t="s">
        <v>579</v>
      </c>
      <c r="N1776">
        <v>43701</v>
      </c>
      <c r="O1776" t="s">
        <v>2601</v>
      </c>
      <c r="P1776">
        <v>222</v>
      </c>
      <c r="Q1776" t="s">
        <v>6</v>
      </c>
      <c r="R1776">
        <v>415081</v>
      </c>
      <c r="S1776" t="s">
        <v>2602</v>
      </c>
      <c r="T1776" s="2">
        <v>33</v>
      </c>
      <c r="U1776">
        <v>0</v>
      </c>
      <c r="V1776" t="s">
        <v>260</v>
      </c>
      <c r="W1776">
        <v>1</v>
      </c>
      <c r="X1776">
        <v>1</v>
      </c>
      <c r="Y1776">
        <v>0</v>
      </c>
      <c r="Z1776" t="s">
        <v>183</v>
      </c>
      <c r="AA1776" t="s">
        <v>184</v>
      </c>
      <c r="AB1776" t="s">
        <v>14</v>
      </c>
      <c r="AC1776">
        <v>25</v>
      </c>
      <c r="AD1776">
        <v>25</v>
      </c>
      <c r="AE1776">
        <v>1278125984</v>
      </c>
      <c r="AF1776">
        <v>6196.15</v>
      </c>
      <c r="AG1776">
        <v>0</v>
      </c>
      <c r="AH1776">
        <v>0</v>
      </c>
      <c r="AI1776">
        <v>6196.15</v>
      </c>
      <c r="AJ1776" t="s">
        <v>2</v>
      </c>
      <c r="AK1776" t="s">
        <v>11</v>
      </c>
    </row>
    <row r="1777" spans="1:37">
      <c r="A1777">
        <v>257860</v>
      </c>
      <c r="B1777" s="1">
        <v>45366</v>
      </c>
      <c r="C1777" t="s">
        <v>2598</v>
      </c>
      <c r="D1777" t="s">
        <v>2599</v>
      </c>
      <c r="E1777" t="s">
        <v>2</v>
      </c>
      <c r="F1777" t="s">
        <v>2600</v>
      </c>
      <c r="G1777" t="s">
        <v>579</v>
      </c>
      <c r="H1777">
        <v>43701</v>
      </c>
      <c r="I1777" t="s">
        <v>2598</v>
      </c>
      <c r="J1777" t="s">
        <v>2599</v>
      </c>
      <c r="K1777" t="s">
        <v>2</v>
      </c>
      <c r="L1777" t="s">
        <v>2600</v>
      </c>
      <c r="M1777" t="s">
        <v>579</v>
      </c>
      <c r="N1777">
        <v>43701</v>
      </c>
      <c r="O1777" t="s">
        <v>2601</v>
      </c>
      <c r="P1777">
        <v>222</v>
      </c>
      <c r="Q1777" t="s">
        <v>6</v>
      </c>
      <c r="R1777">
        <v>415081</v>
      </c>
      <c r="S1777" t="s">
        <v>2602</v>
      </c>
      <c r="T1777" s="2">
        <v>33</v>
      </c>
      <c r="U1777">
        <v>0</v>
      </c>
      <c r="V1777" t="s">
        <v>260</v>
      </c>
      <c r="W1777">
        <v>1</v>
      </c>
      <c r="X1777">
        <v>1</v>
      </c>
      <c r="Y1777">
        <v>0</v>
      </c>
      <c r="Z1777" t="s">
        <v>2630</v>
      </c>
      <c r="AA1777" t="s">
        <v>2631</v>
      </c>
      <c r="AB1777" t="s">
        <v>14</v>
      </c>
      <c r="AC1777">
        <v>39.524999999999999</v>
      </c>
      <c r="AD1777">
        <v>39.53</v>
      </c>
      <c r="AE1777">
        <v>1278125984</v>
      </c>
      <c r="AF1777">
        <v>6196.15</v>
      </c>
      <c r="AG1777">
        <v>0</v>
      </c>
      <c r="AH1777">
        <v>0</v>
      </c>
      <c r="AI1777">
        <v>6196.15</v>
      </c>
      <c r="AJ1777" t="s">
        <v>2</v>
      </c>
      <c r="AK1777" t="s">
        <v>11</v>
      </c>
    </row>
    <row r="1778" spans="1:37">
      <c r="A1778">
        <v>257860</v>
      </c>
      <c r="B1778" s="1">
        <v>45366</v>
      </c>
      <c r="C1778" t="s">
        <v>2598</v>
      </c>
      <c r="D1778" t="s">
        <v>2599</v>
      </c>
      <c r="E1778" t="s">
        <v>2</v>
      </c>
      <c r="F1778" t="s">
        <v>2600</v>
      </c>
      <c r="G1778" t="s">
        <v>579</v>
      </c>
      <c r="H1778">
        <v>43701</v>
      </c>
      <c r="I1778" t="s">
        <v>2598</v>
      </c>
      <c r="J1778" t="s">
        <v>2599</v>
      </c>
      <c r="K1778" t="s">
        <v>2</v>
      </c>
      <c r="L1778" t="s">
        <v>2600</v>
      </c>
      <c r="M1778" t="s">
        <v>579</v>
      </c>
      <c r="N1778">
        <v>43701</v>
      </c>
      <c r="O1778" t="s">
        <v>2601</v>
      </c>
      <c r="P1778">
        <v>222</v>
      </c>
      <c r="Q1778" t="s">
        <v>6</v>
      </c>
      <c r="R1778">
        <v>415081</v>
      </c>
      <c r="S1778" t="s">
        <v>2602</v>
      </c>
      <c r="T1778" s="2">
        <v>33</v>
      </c>
      <c r="U1778">
        <v>0</v>
      </c>
      <c r="V1778" t="s">
        <v>260</v>
      </c>
      <c r="W1778">
        <v>0</v>
      </c>
      <c r="X1778">
        <v>0</v>
      </c>
      <c r="Y1778">
        <v>0</v>
      </c>
      <c r="Z1778" t="s">
        <v>88</v>
      </c>
      <c r="AA1778" t="s">
        <v>2575</v>
      </c>
      <c r="AB1778" t="s">
        <v>10</v>
      </c>
      <c r="AC1778">
        <v>0</v>
      </c>
      <c r="AD1778">
        <v>0</v>
      </c>
      <c r="AE1778">
        <v>1278125984</v>
      </c>
      <c r="AF1778">
        <v>6196.15</v>
      </c>
      <c r="AG1778">
        <v>0</v>
      </c>
      <c r="AH1778">
        <v>0</v>
      </c>
      <c r="AI1778">
        <v>6196.15</v>
      </c>
      <c r="AJ1778" t="s">
        <v>2</v>
      </c>
      <c r="AK1778" t="s">
        <v>11</v>
      </c>
    </row>
    <row r="1779" spans="1:37">
      <c r="A1779">
        <v>257861</v>
      </c>
      <c r="B1779" s="1">
        <v>45366</v>
      </c>
      <c r="C1779" t="s">
        <v>2632</v>
      </c>
      <c r="D1779" t="s">
        <v>2633</v>
      </c>
      <c r="E1779" t="s">
        <v>2</v>
      </c>
      <c r="F1779" t="s">
        <v>2634</v>
      </c>
      <c r="G1779" t="s">
        <v>539</v>
      </c>
      <c r="H1779">
        <v>28645</v>
      </c>
      <c r="I1779" t="s">
        <v>2635</v>
      </c>
      <c r="J1779" t="s">
        <v>2636</v>
      </c>
      <c r="K1779" t="s">
        <v>2</v>
      </c>
      <c r="L1779" t="s">
        <v>2634</v>
      </c>
      <c r="M1779" t="s">
        <v>539</v>
      </c>
      <c r="N1779">
        <v>28645</v>
      </c>
      <c r="O1779" t="s">
        <v>2637</v>
      </c>
      <c r="P1779">
        <v>37428</v>
      </c>
      <c r="Q1779" t="s">
        <v>21</v>
      </c>
      <c r="R1779">
        <v>414938</v>
      </c>
      <c r="S1779" t="s">
        <v>2602</v>
      </c>
      <c r="T1779" s="2">
        <v>23</v>
      </c>
      <c r="U1779">
        <v>0</v>
      </c>
      <c r="V1779" t="s">
        <v>260</v>
      </c>
      <c r="W1779">
        <v>0</v>
      </c>
      <c r="X1779">
        <v>0</v>
      </c>
      <c r="Y1779">
        <v>0</v>
      </c>
      <c r="Z1779" t="s">
        <v>9</v>
      </c>
      <c r="AA1779" t="s">
        <v>2</v>
      </c>
      <c r="AB1779" t="s">
        <v>10</v>
      </c>
      <c r="AC1779">
        <v>0</v>
      </c>
      <c r="AD1779">
        <v>0</v>
      </c>
      <c r="AE1779">
        <v>1278125974</v>
      </c>
      <c r="AF1779">
        <v>2648.21</v>
      </c>
      <c r="AG1779">
        <v>0</v>
      </c>
      <c r="AH1779">
        <v>0</v>
      </c>
      <c r="AI1779">
        <v>2648.21</v>
      </c>
      <c r="AJ1779" t="s">
        <v>2</v>
      </c>
      <c r="AK1779" t="s">
        <v>11</v>
      </c>
    </row>
    <row r="1780" spans="1:37">
      <c r="A1780">
        <v>257861</v>
      </c>
      <c r="B1780" s="1">
        <v>45366</v>
      </c>
      <c r="C1780" t="s">
        <v>2632</v>
      </c>
      <c r="D1780" t="s">
        <v>2633</v>
      </c>
      <c r="E1780" t="s">
        <v>2</v>
      </c>
      <c r="F1780" t="s">
        <v>2634</v>
      </c>
      <c r="G1780" t="s">
        <v>539</v>
      </c>
      <c r="H1780">
        <v>28645</v>
      </c>
      <c r="I1780" t="s">
        <v>2635</v>
      </c>
      <c r="J1780" t="s">
        <v>2636</v>
      </c>
      <c r="K1780" t="s">
        <v>2</v>
      </c>
      <c r="L1780" t="s">
        <v>2634</v>
      </c>
      <c r="M1780" t="s">
        <v>539</v>
      </c>
      <c r="N1780">
        <v>28645</v>
      </c>
      <c r="O1780" t="s">
        <v>2637</v>
      </c>
      <c r="P1780">
        <v>37428</v>
      </c>
      <c r="Q1780" t="s">
        <v>21</v>
      </c>
      <c r="R1780">
        <v>414938</v>
      </c>
      <c r="S1780" t="s">
        <v>2602</v>
      </c>
      <c r="T1780" s="2">
        <v>23</v>
      </c>
      <c r="U1780">
        <v>0</v>
      </c>
      <c r="V1780" t="s">
        <v>260</v>
      </c>
      <c r="W1780">
        <v>1</v>
      </c>
      <c r="X1780">
        <v>1</v>
      </c>
      <c r="Y1780">
        <v>0</v>
      </c>
      <c r="Z1780" t="s">
        <v>2638</v>
      </c>
      <c r="AA1780" t="s">
        <v>2639</v>
      </c>
      <c r="AB1780" t="s">
        <v>14</v>
      </c>
      <c r="AC1780">
        <v>221.376</v>
      </c>
      <c r="AD1780">
        <v>221.38</v>
      </c>
      <c r="AE1780">
        <v>1278125974</v>
      </c>
      <c r="AF1780">
        <v>2648.21</v>
      </c>
      <c r="AG1780">
        <v>0</v>
      </c>
      <c r="AH1780">
        <v>0</v>
      </c>
      <c r="AI1780">
        <v>2648.21</v>
      </c>
      <c r="AJ1780" t="s">
        <v>2</v>
      </c>
      <c r="AK1780" t="s">
        <v>11</v>
      </c>
    </row>
    <row r="1781" spans="1:37">
      <c r="A1781">
        <v>257861</v>
      </c>
      <c r="B1781" s="1">
        <v>45366</v>
      </c>
      <c r="C1781" t="s">
        <v>2632</v>
      </c>
      <c r="D1781" t="s">
        <v>2633</v>
      </c>
      <c r="E1781" t="s">
        <v>2</v>
      </c>
      <c r="F1781" t="s">
        <v>2634</v>
      </c>
      <c r="G1781" t="s">
        <v>539</v>
      </c>
      <c r="H1781">
        <v>28645</v>
      </c>
      <c r="I1781" t="s">
        <v>2635</v>
      </c>
      <c r="J1781" t="s">
        <v>2636</v>
      </c>
      <c r="K1781" t="s">
        <v>2</v>
      </c>
      <c r="L1781" t="s">
        <v>2634</v>
      </c>
      <c r="M1781" t="s">
        <v>539</v>
      </c>
      <c r="N1781">
        <v>28645</v>
      </c>
      <c r="O1781" t="s">
        <v>2637</v>
      </c>
      <c r="P1781">
        <v>37428</v>
      </c>
      <c r="Q1781" t="s">
        <v>21</v>
      </c>
      <c r="R1781">
        <v>414938</v>
      </c>
      <c r="S1781" t="s">
        <v>2602</v>
      </c>
      <c r="T1781" s="2">
        <v>23</v>
      </c>
      <c r="U1781">
        <v>0</v>
      </c>
      <c r="V1781" t="s">
        <v>260</v>
      </c>
      <c r="W1781">
        <v>0</v>
      </c>
      <c r="X1781">
        <v>0</v>
      </c>
      <c r="Y1781">
        <v>0</v>
      </c>
      <c r="Z1781" t="s">
        <v>88</v>
      </c>
      <c r="AA1781" t="s">
        <v>2640</v>
      </c>
      <c r="AB1781" t="s">
        <v>10</v>
      </c>
      <c r="AC1781">
        <v>0</v>
      </c>
      <c r="AD1781">
        <v>0</v>
      </c>
      <c r="AE1781">
        <v>1278125974</v>
      </c>
      <c r="AF1781">
        <v>2648.21</v>
      </c>
      <c r="AG1781">
        <v>0</v>
      </c>
      <c r="AH1781">
        <v>0</v>
      </c>
      <c r="AI1781">
        <v>2648.21</v>
      </c>
      <c r="AJ1781" t="s">
        <v>2</v>
      </c>
      <c r="AK1781" t="s">
        <v>11</v>
      </c>
    </row>
    <row r="1782" spans="1:37">
      <c r="A1782">
        <v>257861</v>
      </c>
      <c r="B1782" s="1">
        <v>45366</v>
      </c>
      <c r="C1782" t="s">
        <v>2632</v>
      </c>
      <c r="D1782" t="s">
        <v>2633</v>
      </c>
      <c r="E1782" t="s">
        <v>2</v>
      </c>
      <c r="F1782" t="s">
        <v>2634</v>
      </c>
      <c r="G1782" t="s">
        <v>539</v>
      </c>
      <c r="H1782">
        <v>28645</v>
      </c>
      <c r="I1782" t="s">
        <v>2635</v>
      </c>
      <c r="J1782" t="s">
        <v>2636</v>
      </c>
      <c r="K1782" t="s">
        <v>2</v>
      </c>
      <c r="L1782" t="s">
        <v>2634</v>
      </c>
      <c r="M1782" t="s">
        <v>539</v>
      </c>
      <c r="N1782">
        <v>28645</v>
      </c>
      <c r="O1782" t="s">
        <v>2637</v>
      </c>
      <c r="P1782">
        <v>37428</v>
      </c>
      <c r="Q1782" t="s">
        <v>21</v>
      </c>
      <c r="R1782">
        <v>414938</v>
      </c>
      <c r="S1782" t="s">
        <v>2602</v>
      </c>
      <c r="T1782" s="2">
        <v>23</v>
      </c>
      <c r="U1782">
        <v>0</v>
      </c>
      <c r="V1782" t="s">
        <v>260</v>
      </c>
      <c r="W1782">
        <v>2</v>
      </c>
      <c r="X1782">
        <v>2</v>
      </c>
      <c r="Y1782">
        <v>0</v>
      </c>
      <c r="Z1782" t="s">
        <v>2641</v>
      </c>
      <c r="AA1782" t="s">
        <v>2642</v>
      </c>
      <c r="AB1782" t="s">
        <v>14</v>
      </c>
      <c r="AC1782">
        <v>73.792000000000002</v>
      </c>
      <c r="AD1782">
        <v>147.58000000000001</v>
      </c>
      <c r="AE1782">
        <v>1278125974</v>
      </c>
      <c r="AF1782">
        <v>2648.21</v>
      </c>
      <c r="AG1782">
        <v>0</v>
      </c>
      <c r="AH1782">
        <v>0</v>
      </c>
      <c r="AI1782">
        <v>2648.21</v>
      </c>
      <c r="AJ1782" t="s">
        <v>2</v>
      </c>
      <c r="AK1782" t="s">
        <v>11</v>
      </c>
    </row>
    <row r="1783" spans="1:37">
      <c r="A1783">
        <v>257861</v>
      </c>
      <c r="B1783" s="1">
        <v>45366</v>
      </c>
      <c r="C1783" t="s">
        <v>2632</v>
      </c>
      <c r="D1783" t="s">
        <v>2633</v>
      </c>
      <c r="E1783" t="s">
        <v>2</v>
      </c>
      <c r="F1783" t="s">
        <v>2634</v>
      </c>
      <c r="G1783" t="s">
        <v>539</v>
      </c>
      <c r="H1783">
        <v>28645</v>
      </c>
      <c r="I1783" t="s">
        <v>2635</v>
      </c>
      <c r="J1783" t="s">
        <v>2636</v>
      </c>
      <c r="K1783" t="s">
        <v>2</v>
      </c>
      <c r="L1783" t="s">
        <v>2634</v>
      </c>
      <c r="M1783" t="s">
        <v>539</v>
      </c>
      <c r="N1783">
        <v>28645</v>
      </c>
      <c r="O1783" t="s">
        <v>2637</v>
      </c>
      <c r="P1783">
        <v>37428</v>
      </c>
      <c r="Q1783" t="s">
        <v>21</v>
      </c>
      <c r="R1783">
        <v>414938</v>
      </c>
      <c r="S1783" t="s">
        <v>2602</v>
      </c>
      <c r="T1783" s="2">
        <v>23</v>
      </c>
      <c r="U1783">
        <v>0</v>
      </c>
      <c r="V1783" t="s">
        <v>260</v>
      </c>
      <c r="W1783">
        <v>0</v>
      </c>
      <c r="X1783">
        <v>0</v>
      </c>
      <c r="Y1783">
        <v>0</v>
      </c>
      <c r="Z1783" t="s">
        <v>88</v>
      </c>
      <c r="AA1783" t="s">
        <v>2640</v>
      </c>
      <c r="AB1783" t="s">
        <v>10</v>
      </c>
      <c r="AC1783">
        <v>0</v>
      </c>
      <c r="AD1783">
        <v>0</v>
      </c>
      <c r="AE1783">
        <v>1278125974</v>
      </c>
      <c r="AF1783">
        <v>2648.21</v>
      </c>
      <c r="AG1783">
        <v>0</v>
      </c>
      <c r="AH1783">
        <v>0</v>
      </c>
      <c r="AI1783">
        <v>2648.21</v>
      </c>
      <c r="AJ1783" t="s">
        <v>2</v>
      </c>
      <c r="AK1783" t="s">
        <v>11</v>
      </c>
    </row>
    <row r="1784" spans="1:37">
      <c r="A1784">
        <v>257861</v>
      </c>
      <c r="B1784" s="1">
        <v>45366</v>
      </c>
      <c r="C1784" t="s">
        <v>2632</v>
      </c>
      <c r="D1784" t="s">
        <v>2633</v>
      </c>
      <c r="E1784" t="s">
        <v>2</v>
      </c>
      <c r="F1784" t="s">
        <v>2634</v>
      </c>
      <c r="G1784" t="s">
        <v>539</v>
      </c>
      <c r="H1784">
        <v>28645</v>
      </c>
      <c r="I1784" t="s">
        <v>2635</v>
      </c>
      <c r="J1784" t="s">
        <v>2636</v>
      </c>
      <c r="K1784" t="s">
        <v>2</v>
      </c>
      <c r="L1784" t="s">
        <v>2634</v>
      </c>
      <c r="M1784" t="s">
        <v>539</v>
      </c>
      <c r="N1784">
        <v>28645</v>
      </c>
      <c r="O1784" t="s">
        <v>2637</v>
      </c>
      <c r="P1784">
        <v>37428</v>
      </c>
      <c r="Q1784" t="s">
        <v>21</v>
      </c>
      <c r="R1784">
        <v>414938</v>
      </c>
      <c r="S1784" t="s">
        <v>2602</v>
      </c>
      <c r="T1784" s="2">
        <v>23</v>
      </c>
      <c r="U1784">
        <v>0</v>
      </c>
      <c r="V1784" t="s">
        <v>260</v>
      </c>
      <c r="W1784">
        <v>2</v>
      </c>
      <c r="X1784">
        <v>2</v>
      </c>
      <c r="Y1784">
        <v>0</v>
      </c>
      <c r="Z1784" t="s">
        <v>2643</v>
      </c>
      <c r="AA1784" t="s">
        <v>2644</v>
      </c>
      <c r="AB1784" t="s">
        <v>14</v>
      </c>
      <c r="AC1784">
        <v>66.412800000000004</v>
      </c>
      <c r="AD1784">
        <v>132.83000000000001</v>
      </c>
      <c r="AE1784">
        <v>1278125974</v>
      </c>
      <c r="AF1784">
        <v>2648.21</v>
      </c>
      <c r="AG1784">
        <v>0</v>
      </c>
      <c r="AH1784">
        <v>0</v>
      </c>
      <c r="AI1784">
        <v>2648.21</v>
      </c>
      <c r="AJ1784" t="s">
        <v>2</v>
      </c>
      <c r="AK1784" t="s">
        <v>11</v>
      </c>
    </row>
    <row r="1785" spans="1:37">
      <c r="A1785">
        <v>257861</v>
      </c>
      <c r="B1785" s="1">
        <v>45366</v>
      </c>
      <c r="C1785" t="s">
        <v>2632</v>
      </c>
      <c r="D1785" t="s">
        <v>2633</v>
      </c>
      <c r="E1785" t="s">
        <v>2</v>
      </c>
      <c r="F1785" t="s">
        <v>2634</v>
      </c>
      <c r="G1785" t="s">
        <v>539</v>
      </c>
      <c r="H1785">
        <v>28645</v>
      </c>
      <c r="I1785" t="s">
        <v>2635</v>
      </c>
      <c r="J1785" t="s">
        <v>2636</v>
      </c>
      <c r="K1785" t="s">
        <v>2</v>
      </c>
      <c r="L1785" t="s">
        <v>2634</v>
      </c>
      <c r="M1785" t="s">
        <v>539</v>
      </c>
      <c r="N1785">
        <v>28645</v>
      </c>
      <c r="O1785" t="s">
        <v>2637</v>
      </c>
      <c r="P1785">
        <v>37428</v>
      </c>
      <c r="Q1785" t="s">
        <v>21</v>
      </c>
      <c r="R1785">
        <v>414938</v>
      </c>
      <c r="S1785" t="s">
        <v>2602</v>
      </c>
      <c r="T1785" s="2">
        <v>23</v>
      </c>
      <c r="U1785">
        <v>0</v>
      </c>
      <c r="V1785" t="s">
        <v>260</v>
      </c>
      <c r="W1785">
        <v>0</v>
      </c>
      <c r="X1785">
        <v>0</v>
      </c>
      <c r="Y1785">
        <v>0</v>
      </c>
      <c r="Z1785" t="s">
        <v>88</v>
      </c>
      <c r="AA1785" t="s">
        <v>2640</v>
      </c>
      <c r="AB1785" t="s">
        <v>10</v>
      </c>
      <c r="AC1785">
        <v>0</v>
      </c>
      <c r="AD1785">
        <v>0</v>
      </c>
      <c r="AE1785">
        <v>1278125974</v>
      </c>
      <c r="AF1785">
        <v>2648.21</v>
      </c>
      <c r="AG1785">
        <v>0</v>
      </c>
      <c r="AH1785">
        <v>0</v>
      </c>
      <c r="AI1785">
        <v>2648.21</v>
      </c>
      <c r="AJ1785" t="s">
        <v>2</v>
      </c>
      <c r="AK1785" t="s">
        <v>11</v>
      </c>
    </row>
    <row r="1786" spans="1:37">
      <c r="A1786">
        <v>257861</v>
      </c>
      <c r="B1786" s="1">
        <v>45366</v>
      </c>
      <c r="C1786" t="s">
        <v>2632</v>
      </c>
      <c r="D1786" t="s">
        <v>2633</v>
      </c>
      <c r="E1786" t="s">
        <v>2</v>
      </c>
      <c r="F1786" t="s">
        <v>2634</v>
      </c>
      <c r="G1786" t="s">
        <v>539</v>
      </c>
      <c r="H1786">
        <v>28645</v>
      </c>
      <c r="I1786" t="s">
        <v>2635</v>
      </c>
      <c r="J1786" t="s">
        <v>2636</v>
      </c>
      <c r="K1786" t="s">
        <v>2</v>
      </c>
      <c r="L1786" t="s">
        <v>2634</v>
      </c>
      <c r="M1786" t="s">
        <v>539</v>
      </c>
      <c r="N1786">
        <v>28645</v>
      </c>
      <c r="O1786" t="s">
        <v>2637</v>
      </c>
      <c r="P1786">
        <v>37428</v>
      </c>
      <c r="Q1786" t="s">
        <v>21</v>
      </c>
      <c r="R1786">
        <v>414938</v>
      </c>
      <c r="S1786" t="s">
        <v>2602</v>
      </c>
      <c r="T1786" s="2">
        <v>23</v>
      </c>
      <c r="U1786">
        <v>0</v>
      </c>
      <c r="V1786" t="s">
        <v>260</v>
      </c>
      <c r="W1786">
        <v>2</v>
      </c>
      <c r="X1786">
        <v>2</v>
      </c>
      <c r="Y1786">
        <v>0</v>
      </c>
      <c r="Z1786" t="s">
        <v>2645</v>
      </c>
      <c r="AA1786" t="s">
        <v>2646</v>
      </c>
      <c r="AB1786" t="s">
        <v>14</v>
      </c>
      <c r="AC1786">
        <v>110.688</v>
      </c>
      <c r="AD1786">
        <v>221.38</v>
      </c>
      <c r="AE1786">
        <v>1278125974</v>
      </c>
      <c r="AF1786">
        <v>2648.21</v>
      </c>
      <c r="AG1786">
        <v>0</v>
      </c>
      <c r="AH1786">
        <v>0</v>
      </c>
      <c r="AI1786">
        <v>2648.21</v>
      </c>
      <c r="AJ1786" t="s">
        <v>2</v>
      </c>
      <c r="AK1786" t="s">
        <v>11</v>
      </c>
    </row>
    <row r="1787" spans="1:37">
      <c r="A1787">
        <v>257861</v>
      </c>
      <c r="B1787" s="1">
        <v>45366</v>
      </c>
      <c r="C1787" t="s">
        <v>2632</v>
      </c>
      <c r="D1787" t="s">
        <v>2633</v>
      </c>
      <c r="E1787" t="s">
        <v>2</v>
      </c>
      <c r="F1787" t="s">
        <v>2634</v>
      </c>
      <c r="G1787" t="s">
        <v>539</v>
      </c>
      <c r="H1787">
        <v>28645</v>
      </c>
      <c r="I1787" t="s">
        <v>2635</v>
      </c>
      <c r="J1787" t="s">
        <v>2636</v>
      </c>
      <c r="K1787" t="s">
        <v>2</v>
      </c>
      <c r="L1787" t="s">
        <v>2634</v>
      </c>
      <c r="M1787" t="s">
        <v>539</v>
      </c>
      <c r="N1787">
        <v>28645</v>
      </c>
      <c r="O1787" t="s">
        <v>2637</v>
      </c>
      <c r="P1787">
        <v>37428</v>
      </c>
      <c r="Q1787" t="s">
        <v>21</v>
      </c>
      <c r="R1787">
        <v>414938</v>
      </c>
      <c r="S1787" t="s">
        <v>2602</v>
      </c>
      <c r="T1787" s="2">
        <v>23</v>
      </c>
      <c r="U1787">
        <v>0</v>
      </c>
      <c r="V1787" t="s">
        <v>260</v>
      </c>
      <c r="W1787">
        <v>0</v>
      </c>
      <c r="X1787">
        <v>0</v>
      </c>
      <c r="Y1787">
        <v>0</v>
      </c>
      <c r="Z1787" t="s">
        <v>88</v>
      </c>
      <c r="AA1787" t="s">
        <v>2640</v>
      </c>
      <c r="AB1787" t="s">
        <v>10</v>
      </c>
      <c r="AC1787">
        <v>0</v>
      </c>
      <c r="AD1787">
        <v>0</v>
      </c>
      <c r="AE1787">
        <v>1278125974</v>
      </c>
      <c r="AF1787">
        <v>2648.21</v>
      </c>
      <c r="AG1787">
        <v>0</v>
      </c>
      <c r="AH1787">
        <v>0</v>
      </c>
      <c r="AI1787">
        <v>2648.21</v>
      </c>
      <c r="AJ1787" t="s">
        <v>2</v>
      </c>
      <c r="AK1787" t="s">
        <v>11</v>
      </c>
    </row>
    <row r="1788" spans="1:37">
      <c r="A1788">
        <v>257861</v>
      </c>
      <c r="B1788" s="1">
        <v>45366</v>
      </c>
      <c r="C1788" t="s">
        <v>2632</v>
      </c>
      <c r="D1788" t="s">
        <v>2633</v>
      </c>
      <c r="E1788" t="s">
        <v>2</v>
      </c>
      <c r="F1788" t="s">
        <v>2634</v>
      </c>
      <c r="G1788" t="s">
        <v>539</v>
      </c>
      <c r="H1788">
        <v>28645</v>
      </c>
      <c r="I1788" t="s">
        <v>2635</v>
      </c>
      <c r="J1788" t="s">
        <v>2636</v>
      </c>
      <c r="K1788" t="s">
        <v>2</v>
      </c>
      <c r="L1788" t="s">
        <v>2634</v>
      </c>
      <c r="M1788" t="s">
        <v>539</v>
      </c>
      <c r="N1788">
        <v>28645</v>
      </c>
      <c r="O1788" t="s">
        <v>2637</v>
      </c>
      <c r="P1788">
        <v>37428</v>
      </c>
      <c r="Q1788" t="s">
        <v>21</v>
      </c>
      <c r="R1788">
        <v>414938</v>
      </c>
      <c r="S1788" t="s">
        <v>2602</v>
      </c>
      <c r="T1788" s="2">
        <v>23</v>
      </c>
      <c r="U1788">
        <v>0</v>
      </c>
      <c r="V1788" t="s">
        <v>260</v>
      </c>
      <c r="W1788">
        <v>2</v>
      </c>
      <c r="X1788">
        <v>2</v>
      </c>
      <c r="Y1788">
        <v>0</v>
      </c>
      <c r="Z1788" t="s">
        <v>2647</v>
      </c>
      <c r="AA1788" t="s">
        <v>2648</v>
      </c>
      <c r="AB1788" t="s">
        <v>14</v>
      </c>
      <c r="AC1788">
        <v>59.0336</v>
      </c>
      <c r="AD1788">
        <v>118.07</v>
      </c>
      <c r="AE1788">
        <v>1278125974</v>
      </c>
      <c r="AF1788">
        <v>2648.21</v>
      </c>
      <c r="AG1788">
        <v>0</v>
      </c>
      <c r="AH1788">
        <v>0</v>
      </c>
      <c r="AI1788">
        <v>2648.21</v>
      </c>
      <c r="AJ1788" t="s">
        <v>2</v>
      </c>
      <c r="AK1788" t="s">
        <v>11</v>
      </c>
    </row>
    <row r="1789" spans="1:37">
      <c r="A1789">
        <v>257861</v>
      </c>
      <c r="B1789" s="1">
        <v>45366</v>
      </c>
      <c r="C1789" t="s">
        <v>2632</v>
      </c>
      <c r="D1789" t="s">
        <v>2633</v>
      </c>
      <c r="E1789" t="s">
        <v>2</v>
      </c>
      <c r="F1789" t="s">
        <v>2634</v>
      </c>
      <c r="G1789" t="s">
        <v>539</v>
      </c>
      <c r="H1789">
        <v>28645</v>
      </c>
      <c r="I1789" t="s">
        <v>2635</v>
      </c>
      <c r="J1789" t="s">
        <v>2636</v>
      </c>
      <c r="K1789" t="s">
        <v>2</v>
      </c>
      <c r="L1789" t="s">
        <v>2634</v>
      </c>
      <c r="M1789" t="s">
        <v>539</v>
      </c>
      <c r="N1789">
        <v>28645</v>
      </c>
      <c r="O1789" t="s">
        <v>2637</v>
      </c>
      <c r="P1789">
        <v>37428</v>
      </c>
      <c r="Q1789" t="s">
        <v>21</v>
      </c>
      <c r="R1789">
        <v>414938</v>
      </c>
      <c r="S1789" t="s">
        <v>2602</v>
      </c>
      <c r="T1789" s="2">
        <v>23</v>
      </c>
      <c r="U1789">
        <v>0</v>
      </c>
      <c r="V1789" t="s">
        <v>260</v>
      </c>
      <c r="W1789">
        <v>0</v>
      </c>
      <c r="X1789">
        <v>0</v>
      </c>
      <c r="Y1789">
        <v>0</v>
      </c>
      <c r="Z1789" t="s">
        <v>88</v>
      </c>
      <c r="AA1789" t="s">
        <v>2640</v>
      </c>
      <c r="AB1789" t="s">
        <v>10</v>
      </c>
      <c r="AC1789">
        <v>0</v>
      </c>
      <c r="AD1789">
        <v>0</v>
      </c>
      <c r="AE1789">
        <v>1278125974</v>
      </c>
      <c r="AF1789">
        <v>2648.21</v>
      </c>
      <c r="AG1789">
        <v>0</v>
      </c>
      <c r="AH1789">
        <v>0</v>
      </c>
      <c r="AI1789">
        <v>2648.21</v>
      </c>
      <c r="AJ1789" t="s">
        <v>2</v>
      </c>
      <c r="AK1789" t="s">
        <v>11</v>
      </c>
    </row>
    <row r="1790" spans="1:37">
      <c r="A1790">
        <v>257861</v>
      </c>
      <c r="B1790" s="1">
        <v>45366</v>
      </c>
      <c r="C1790" t="s">
        <v>2632</v>
      </c>
      <c r="D1790" t="s">
        <v>2633</v>
      </c>
      <c r="E1790" t="s">
        <v>2</v>
      </c>
      <c r="F1790" t="s">
        <v>2634</v>
      </c>
      <c r="G1790" t="s">
        <v>539</v>
      </c>
      <c r="H1790">
        <v>28645</v>
      </c>
      <c r="I1790" t="s">
        <v>2635</v>
      </c>
      <c r="J1790" t="s">
        <v>2636</v>
      </c>
      <c r="K1790" t="s">
        <v>2</v>
      </c>
      <c r="L1790" t="s">
        <v>2634</v>
      </c>
      <c r="M1790" t="s">
        <v>539</v>
      </c>
      <c r="N1790">
        <v>28645</v>
      </c>
      <c r="O1790" t="s">
        <v>2637</v>
      </c>
      <c r="P1790">
        <v>37428</v>
      </c>
      <c r="Q1790" t="s">
        <v>21</v>
      </c>
      <c r="R1790">
        <v>414938</v>
      </c>
      <c r="S1790" t="s">
        <v>2602</v>
      </c>
      <c r="T1790" s="2">
        <v>23</v>
      </c>
      <c r="U1790">
        <v>0</v>
      </c>
      <c r="V1790" t="s">
        <v>260</v>
      </c>
      <c r="W1790">
        <v>1</v>
      </c>
      <c r="X1790">
        <v>1</v>
      </c>
      <c r="Y1790">
        <v>0</v>
      </c>
      <c r="Z1790" t="s">
        <v>2649</v>
      </c>
      <c r="AA1790" t="s">
        <v>2650</v>
      </c>
      <c r="AB1790" t="s">
        <v>14</v>
      </c>
      <c r="AC1790">
        <v>259.99200000000002</v>
      </c>
      <c r="AD1790">
        <v>259.99</v>
      </c>
      <c r="AE1790">
        <v>1278125974</v>
      </c>
      <c r="AF1790">
        <v>2648.21</v>
      </c>
      <c r="AG1790">
        <v>0</v>
      </c>
      <c r="AH1790">
        <v>0</v>
      </c>
      <c r="AI1790">
        <v>2648.21</v>
      </c>
      <c r="AJ1790" t="s">
        <v>2</v>
      </c>
      <c r="AK1790" t="s">
        <v>11</v>
      </c>
    </row>
    <row r="1791" spans="1:37">
      <c r="A1791">
        <v>257861</v>
      </c>
      <c r="B1791" s="1">
        <v>45366</v>
      </c>
      <c r="C1791" t="s">
        <v>2632</v>
      </c>
      <c r="D1791" t="s">
        <v>2633</v>
      </c>
      <c r="E1791" t="s">
        <v>2</v>
      </c>
      <c r="F1791" t="s">
        <v>2634</v>
      </c>
      <c r="G1791" t="s">
        <v>539</v>
      </c>
      <c r="H1791">
        <v>28645</v>
      </c>
      <c r="I1791" t="s">
        <v>2635</v>
      </c>
      <c r="J1791" t="s">
        <v>2636</v>
      </c>
      <c r="K1791" t="s">
        <v>2</v>
      </c>
      <c r="L1791" t="s">
        <v>2634</v>
      </c>
      <c r="M1791" t="s">
        <v>539</v>
      </c>
      <c r="N1791">
        <v>28645</v>
      </c>
      <c r="O1791" t="s">
        <v>2637</v>
      </c>
      <c r="P1791">
        <v>37428</v>
      </c>
      <c r="Q1791" t="s">
        <v>21</v>
      </c>
      <c r="R1791">
        <v>414938</v>
      </c>
      <c r="S1791" t="s">
        <v>2602</v>
      </c>
      <c r="T1791" s="2">
        <v>23</v>
      </c>
      <c r="U1791">
        <v>0</v>
      </c>
      <c r="V1791" t="s">
        <v>260</v>
      </c>
      <c r="W1791">
        <v>0</v>
      </c>
      <c r="X1791">
        <v>0</v>
      </c>
      <c r="Y1791">
        <v>0</v>
      </c>
      <c r="Z1791" t="s">
        <v>88</v>
      </c>
      <c r="AA1791" t="s">
        <v>131</v>
      </c>
      <c r="AB1791" t="s">
        <v>10</v>
      </c>
      <c r="AC1791">
        <v>0</v>
      </c>
      <c r="AD1791">
        <v>0</v>
      </c>
      <c r="AE1791">
        <v>1278125974</v>
      </c>
      <c r="AF1791">
        <v>2648.21</v>
      </c>
      <c r="AG1791">
        <v>0</v>
      </c>
      <c r="AH1791">
        <v>0</v>
      </c>
      <c r="AI1791">
        <v>2648.21</v>
      </c>
      <c r="AJ1791" t="s">
        <v>2</v>
      </c>
      <c r="AK1791" t="s">
        <v>11</v>
      </c>
    </row>
    <row r="1792" spans="1:37">
      <c r="A1792">
        <v>257861</v>
      </c>
      <c r="B1792" s="1">
        <v>45366</v>
      </c>
      <c r="C1792" t="s">
        <v>2632</v>
      </c>
      <c r="D1792" t="s">
        <v>2633</v>
      </c>
      <c r="E1792" t="s">
        <v>2</v>
      </c>
      <c r="F1792" t="s">
        <v>2634</v>
      </c>
      <c r="G1792" t="s">
        <v>539</v>
      </c>
      <c r="H1792">
        <v>28645</v>
      </c>
      <c r="I1792" t="s">
        <v>2635</v>
      </c>
      <c r="J1792" t="s">
        <v>2636</v>
      </c>
      <c r="K1792" t="s">
        <v>2</v>
      </c>
      <c r="L1792" t="s">
        <v>2634</v>
      </c>
      <c r="M1792" t="s">
        <v>539</v>
      </c>
      <c r="N1792">
        <v>28645</v>
      </c>
      <c r="O1792" t="s">
        <v>2637</v>
      </c>
      <c r="P1792">
        <v>37428</v>
      </c>
      <c r="Q1792" t="s">
        <v>21</v>
      </c>
      <c r="R1792">
        <v>414938</v>
      </c>
      <c r="S1792" t="s">
        <v>2602</v>
      </c>
      <c r="T1792" s="2">
        <v>23</v>
      </c>
      <c r="U1792">
        <v>0</v>
      </c>
      <c r="V1792" t="s">
        <v>260</v>
      </c>
      <c r="W1792">
        <v>1</v>
      </c>
      <c r="X1792">
        <v>1</v>
      </c>
      <c r="Y1792">
        <v>0</v>
      </c>
      <c r="Z1792" t="s">
        <v>2651</v>
      </c>
      <c r="AA1792" t="s">
        <v>2652</v>
      </c>
      <c r="AB1792" t="s">
        <v>14</v>
      </c>
      <c r="AC1792">
        <v>58.392000000000003</v>
      </c>
      <c r="AD1792">
        <v>58.39</v>
      </c>
      <c r="AE1792">
        <v>1278125974</v>
      </c>
      <c r="AF1792">
        <v>2648.21</v>
      </c>
      <c r="AG1792">
        <v>0</v>
      </c>
      <c r="AH1792">
        <v>0</v>
      </c>
      <c r="AI1792">
        <v>2648.21</v>
      </c>
      <c r="AJ1792" t="s">
        <v>2</v>
      </c>
      <c r="AK1792" t="s">
        <v>11</v>
      </c>
    </row>
    <row r="1793" spans="1:37">
      <c r="A1793">
        <v>257861</v>
      </c>
      <c r="B1793" s="1">
        <v>45366</v>
      </c>
      <c r="C1793" t="s">
        <v>2632</v>
      </c>
      <c r="D1793" t="s">
        <v>2633</v>
      </c>
      <c r="E1793" t="s">
        <v>2</v>
      </c>
      <c r="F1793" t="s">
        <v>2634</v>
      </c>
      <c r="G1793" t="s">
        <v>539</v>
      </c>
      <c r="H1793">
        <v>28645</v>
      </c>
      <c r="I1793" t="s">
        <v>2635</v>
      </c>
      <c r="J1793" t="s">
        <v>2636</v>
      </c>
      <c r="K1793" t="s">
        <v>2</v>
      </c>
      <c r="L1793" t="s">
        <v>2634</v>
      </c>
      <c r="M1793" t="s">
        <v>539</v>
      </c>
      <c r="N1793">
        <v>28645</v>
      </c>
      <c r="O1793" t="s">
        <v>2637</v>
      </c>
      <c r="P1793">
        <v>37428</v>
      </c>
      <c r="Q1793" t="s">
        <v>21</v>
      </c>
      <c r="R1793">
        <v>414938</v>
      </c>
      <c r="S1793" t="s">
        <v>2602</v>
      </c>
      <c r="T1793" s="2">
        <v>23</v>
      </c>
      <c r="U1793">
        <v>0</v>
      </c>
      <c r="V1793" t="s">
        <v>260</v>
      </c>
      <c r="W1793">
        <v>0</v>
      </c>
      <c r="X1793">
        <v>0</v>
      </c>
      <c r="Y1793">
        <v>0</v>
      </c>
      <c r="Z1793" t="s">
        <v>88</v>
      </c>
      <c r="AA1793" t="s">
        <v>131</v>
      </c>
      <c r="AB1793" t="s">
        <v>10</v>
      </c>
      <c r="AC1793">
        <v>0</v>
      </c>
      <c r="AD1793">
        <v>0</v>
      </c>
      <c r="AE1793">
        <v>1278125974</v>
      </c>
      <c r="AF1793">
        <v>2648.21</v>
      </c>
      <c r="AG1793">
        <v>0</v>
      </c>
      <c r="AH1793">
        <v>0</v>
      </c>
      <c r="AI1793">
        <v>2648.21</v>
      </c>
      <c r="AJ1793" t="s">
        <v>2</v>
      </c>
      <c r="AK1793" t="s">
        <v>11</v>
      </c>
    </row>
    <row r="1794" spans="1:37">
      <c r="A1794">
        <v>257861</v>
      </c>
      <c r="B1794" s="1">
        <v>45366</v>
      </c>
      <c r="C1794" t="s">
        <v>2632</v>
      </c>
      <c r="D1794" t="s">
        <v>2633</v>
      </c>
      <c r="E1794" t="s">
        <v>2</v>
      </c>
      <c r="F1794" t="s">
        <v>2634</v>
      </c>
      <c r="G1794" t="s">
        <v>539</v>
      </c>
      <c r="H1794">
        <v>28645</v>
      </c>
      <c r="I1794" t="s">
        <v>2635</v>
      </c>
      <c r="J1794" t="s">
        <v>2636</v>
      </c>
      <c r="K1794" t="s">
        <v>2</v>
      </c>
      <c r="L1794" t="s">
        <v>2634</v>
      </c>
      <c r="M1794" t="s">
        <v>539</v>
      </c>
      <c r="N1794">
        <v>28645</v>
      </c>
      <c r="O1794" t="s">
        <v>2637</v>
      </c>
      <c r="P1794">
        <v>37428</v>
      </c>
      <c r="Q1794" t="s">
        <v>21</v>
      </c>
      <c r="R1794">
        <v>414938</v>
      </c>
      <c r="S1794" t="s">
        <v>2602</v>
      </c>
      <c r="T1794" s="2">
        <v>23</v>
      </c>
      <c r="U1794">
        <v>0</v>
      </c>
      <c r="V1794" t="s">
        <v>260</v>
      </c>
      <c r="W1794">
        <v>1</v>
      </c>
      <c r="X1794">
        <v>1</v>
      </c>
      <c r="Y1794">
        <v>0</v>
      </c>
      <c r="Z1794" t="s">
        <v>2653</v>
      </c>
      <c r="AA1794" t="s">
        <v>2654</v>
      </c>
      <c r="AB1794" t="s">
        <v>14</v>
      </c>
      <c r="AC1794">
        <v>58.392000000000003</v>
      </c>
      <c r="AD1794">
        <v>58.39</v>
      </c>
      <c r="AE1794">
        <v>1278125974</v>
      </c>
      <c r="AF1794">
        <v>2648.21</v>
      </c>
      <c r="AG1794">
        <v>0</v>
      </c>
      <c r="AH1794">
        <v>0</v>
      </c>
      <c r="AI1794">
        <v>2648.21</v>
      </c>
      <c r="AJ1794" t="s">
        <v>2</v>
      </c>
      <c r="AK1794" t="s">
        <v>11</v>
      </c>
    </row>
    <row r="1795" spans="1:37">
      <c r="A1795">
        <v>257861</v>
      </c>
      <c r="B1795" s="1">
        <v>45366</v>
      </c>
      <c r="C1795" t="s">
        <v>2632</v>
      </c>
      <c r="D1795" t="s">
        <v>2633</v>
      </c>
      <c r="E1795" t="s">
        <v>2</v>
      </c>
      <c r="F1795" t="s">
        <v>2634</v>
      </c>
      <c r="G1795" t="s">
        <v>539</v>
      </c>
      <c r="H1795">
        <v>28645</v>
      </c>
      <c r="I1795" t="s">
        <v>2635</v>
      </c>
      <c r="J1795" t="s">
        <v>2636</v>
      </c>
      <c r="K1795" t="s">
        <v>2</v>
      </c>
      <c r="L1795" t="s">
        <v>2634</v>
      </c>
      <c r="M1795" t="s">
        <v>539</v>
      </c>
      <c r="N1795">
        <v>28645</v>
      </c>
      <c r="O1795" t="s">
        <v>2637</v>
      </c>
      <c r="P1795">
        <v>37428</v>
      </c>
      <c r="Q1795" t="s">
        <v>21</v>
      </c>
      <c r="R1795">
        <v>414938</v>
      </c>
      <c r="S1795" t="s">
        <v>2602</v>
      </c>
      <c r="T1795" s="2">
        <v>23</v>
      </c>
      <c r="U1795">
        <v>0</v>
      </c>
      <c r="V1795" t="s">
        <v>260</v>
      </c>
      <c r="W1795">
        <v>0</v>
      </c>
      <c r="X1795">
        <v>0</v>
      </c>
      <c r="Y1795">
        <v>0</v>
      </c>
      <c r="Z1795" t="s">
        <v>88</v>
      </c>
      <c r="AA1795" t="s">
        <v>131</v>
      </c>
      <c r="AB1795" t="s">
        <v>10</v>
      </c>
      <c r="AC1795">
        <v>0</v>
      </c>
      <c r="AD1795">
        <v>0</v>
      </c>
      <c r="AE1795">
        <v>1278125974</v>
      </c>
      <c r="AF1795">
        <v>2648.21</v>
      </c>
      <c r="AG1795">
        <v>0</v>
      </c>
      <c r="AH1795">
        <v>0</v>
      </c>
      <c r="AI1795">
        <v>2648.21</v>
      </c>
      <c r="AJ1795" t="s">
        <v>2</v>
      </c>
      <c r="AK1795" t="s">
        <v>11</v>
      </c>
    </row>
    <row r="1796" spans="1:37">
      <c r="A1796">
        <v>257861</v>
      </c>
      <c r="B1796" s="1">
        <v>45366</v>
      </c>
      <c r="C1796" t="s">
        <v>2632</v>
      </c>
      <c r="D1796" t="s">
        <v>2633</v>
      </c>
      <c r="E1796" t="s">
        <v>2</v>
      </c>
      <c r="F1796" t="s">
        <v>2634</v>
      </c>
      <c r="G1796" t="s">
        <v>539</v>
      </c>
      <c r="H1796">
        <v>28645</v>
      </c>
      <c r="I1796" t="s">
        <v>2635</v>
      </c>
      <c r="J1796" t="s">
        <v>2636</v>
      </c>
      <c r="K1796" t="s">
        <v>2</v>
      </c>
      <c r="L1796" t="s">
        <v>2634</v>
      </c>
      <c r="M1796" t="s">
        <v>539</v>
      </c>
      <c r="N1796">
        <v>28645</v>
      </c>
      <c r="O1796" t="s">
        <v>2637</v>
      </c>
      <c r="P1796">
        <v>37428</v>
      </c>
      <c r="Q1796" t="s">
        <v>21</v>
      </c>
      <c r="R1796">
        <v>414938</v>
      </c>
      <c r="S1796" t="s">
        <v>2602</v>
      </c>
      <c r="T1796" s="2">
        <v>23</v>
      </c>
      <c r="U1796">
        <v>0</v>
      </c>
      <c r="V1796" t="s">
        <v>260</v>
      </c>
      <c r="W1796">
        <v>1</v>
      </c>
      <c r="X1796">
        <v>1</v>
      </c>
      <c r="Y1796">
        <v>0</v>
      </c>
      <c r="Z1796" t="s">
        <v>2559</v>
      </c>
      <c r="AA1796" t="s">
        <v>2560</v>
      </c>
      <c r="AB1796" t="s">
        <v>14</v>
      </c>
      <c r="AC1796">
        <v>220.47</v>
      </c>
      <c r="AD1796">
        <v>220.47</v>
      </c>
      <c r="AE1796">
        <v>1278125974</v>
      </c>
      <c r="AF1796">
        <v>2648.21</v>
      </c>
      <c r="AG1796">
        <v>0</v>
      </c>
      <c r="AH1796">
        <v>0</v>
      </c>
      <c r="AI1796">
        <v>2648.21</v>
      </c>
      <c r="AJ1796" t="s">
        <v>2</v>
      </c>
      <c r="AK1796" t="s">
        <v>11</v>
      </c>
    </row>
    <row r="1797" spans="1:37">
      <c r="A1797">
        <v>257861</v>
      </c>
      <c r="B1797" s="1">
        <v>45366</v>
      </c>
      <c r="C1797" t="s">
        <v>2632</v>
      </c>
      <c r="D1797" t="s">
        <v>2633</v>
      </c>
      <c r="E1797" t="s">
        <v>2</v>
      </c>
      <c r="F1797" t="s">
        <v>2634</v>
      </c>
      <c r="G1797" t="s">
        <v>539</v>
      </c>
      <c r="H1797">
        <v>28645</v>
      </c>
      <c r="I1797" t="s">
        <v>2635</v>
      </c>
      <c r="J1797" t="s">
        <v>2636</v>
      </c>
      <c r="K1797" t="s">
        <v>2</v>
      </c>
      <c r="L1797" t="s">
        <v>2634</v>
      </c>
      <c r="M1797" t="s">
        <v>539</v>
      </c>
      <c r="N1797">
        <v>28645</v>
      </c>
      <c r="O1797" t="s">
        <v>2637</v>
      </c>
      <c r="P1797">
        <v>37428</v>
      </c>
      <c r="Q1797" t="s">
        <v>21</v>
      </c>
      <c r="R1797">
        <v>414938</v>
      </c>
      <c r="S1797" t="s">
        <v>2602</v>
      </c>
      <c r="T1797" s="2">
        <v>23</v>
      </c>
      <c r="U1797">
        <v>0</v>
      </c>
      <c r="V1797" t="s">
        <v>260</v>
      </c>
      <c r="W1797">
        <v>0</v>
      </c>
      <c r="X1797">
        <v>0</v>
      </c>
      <c r="Y1797">
        <v>0</v>
      </c>
      <c r="Z1797" t="s">
        <v>88</v>
      </c>
      <c r="AA1797" t="s">
        <v>89</v>
      </c>
      <c r="AB1797" t="s">
        <v>10</v>
      </c>
      <c r="AC1797">
        <v>0</v>
      </c>
      <c r="AD1797">
        <v>0</v>
      </c>
      <c r="AE1797">
        <v>1278125974</v>
      </c>
      <c r="AF1797">
        <v>2648.21</v>
      </c>
      <c r="AG1797">
        <v>0</v>
      </c>
      <c r="AH1797">
        <v>0</v>
      </c>
      <c r="AI1797">
        <v>2648.21</v>
      </c>
      <c r="AJ1797" t="s">
        <v>2</v>
      </c>
      <c r="AK1797" t="s">
        <v>11</v>
      </c>
    </row>
    <row r="1798" spans="1:37">
      <c r="A1798">
        <v>257861</v>
      </c>
      <c r="B1798" s="1">
        <v>45366</v>
      </c>
      <c r="C1798" t="s">
        <v>2632</v>
      </c>
      <c r="D1798" t="s">
        <v>2633</v>
      </c>
      <c r="E1798" t="s">
        <v>2</v>
      </c>
      <c r="F1798" t="s">
        <v>2634</v>
      </c>
      <c r="G1798" t="s">
        <v>539</v>
      </c>
      <c r="H1798">
        <v>28645</v>
      </c>
      <c r="I1798" t="s">
        <v>2635</v>
      </c>
      <c r="J1798" t="s">
        <v>2636</v>
      </c>
      <c r="K1798" t="s">
        <v>2</v>
      </c>
      <c r="L1798" t="s">
        <v>2634</v>
      </c>
      <c r="M1798" t="s">
        <v>539</v>
      </c>
      <c r="N1798">
        <v>28645</v>
      </c>
      <c r="O1798" t="s">
        <v>2637</v>
      </c>
      <c r="P1798">
        <v>37428</v>
      </c>
      <c r="Q1798" t="s">
        <v>21</v>
      </c>
      <c r="R1798">
        <v>414938</v>
      </c>
      <c r="S1798" t="s">
        <v>2602</v>
      </c>
      <c r="T1798" s="2">
        <v>23</v>
      </c>
      <c r="U1798">
        <v>0</v>
      </c>
      <c r="V1798" t="s">
        <v>260</v>
      </c>
      <c r="W1798">
        <v>1</v>
      </c>
      <c r="X1798">
        <v>1</v>
      </c>
      <c r="Y1798">
        <v>0</v>
      </c>
      <c r="Z1798" t="s">
        <v>2655</v>
      </c>
      <c r="AA1798" t="s">
        <v>2656</v>
      </c>
      <c r="AB1798" t="s">
        <v>14</v>
      </c>
      <c r="AC1798">
        <v>255.51499999999999</v>
      </c>
      <c r="AD1798">
        <v>255.52</v>
      </c>
      <c r="AE1798">
        <v>1278125974</v>
      </c>
      <c r="AF1798">
        <v>2648.21</v>
      </c>
      <c r="AG1798">
        <v>0</v>
      </c>
      <c r="AH1798">
        <v>0</v>
      </c>
      <c r="AI1798">
        <v>2648.21</v>
      </c>
      <c r="AJ1798" t="s">
        <v>2</v>
      </c>
      <c r="AK1798" t="s">
        <v>11</v>
      </c>
    </row>
    <row r="1799" spans="1:37">
      <c r="A1799">
        <v>257861</v>
      </c>
      <c r="B1799" s="1">
        <v>45366</v>
      </c>
      <c r="C1799" t="s">
        <v>2632</v>
      </c>
      <c r="D1799" t="s">
        <v>2633</v>
      </c>
      <c r="E1799" t="s">
        <v>2</v>
      </c>
      <c r="F1799" t="s">
        <v>2634</v>
      </c>
      <c r="G1799" t="s">
        <v>539</v>
      </c>
      <c r="H1799">
        <v>28645</v>
      </c>
      <c r="I1799" t="s">
        <v>2635</v>
      </c>
      <c r="J1799" t="s">
        <v>2636</v>
      </c>
      <c r="K1799" t="s">
        <v>2</v>
      </c>
      <c r="L1799" t="s">
        <v>2634</v>
      </c>
      <c r="M1799" t="s">
        <v>539</v>
      </c>
      <c r="N1799">
        <v>28645</v>
      </c>
      <c r="O1799" t="s">
        <v>2637</v>
      </c>
      <c r="P1799">
        <v>37428</v>
      </c>
      <c r="Q1799" t="s">
        <v>21</v>
      </c>
      <c r="R1799">
        <v>414938</v>
      </c>
      <c r="S1799" t="s">
        <v>2602</v>
      </c>
      <c r="T1799" s="2">
        <v>23</v>
      </c>
      <c r="U1799">
        <v>0</v>
      </c>
      <c r="V1799" t="s">
        <v>260</v>
      </c>
      <c r="W1799">
        <v>0</v>
      </c>
      <c r="X1799">
        <v>0</v>
      </c>
      <c r="Y1799">
        <v>0</v>
      </c>
      <c r="Z1799" t="s">
        <v>88</v>
      </c>
      <c r="AA1799" t="s">
        <v>89</v>
      </c>
      <c r="AB1799" t="s">
        <v>10</v>
      </c>
      <c r="AC1799">
        <v>0</v>
      </c>
      <c r="AD1799">
        <v>0</v>
      </c>
      <c r="AE1799">
        <v>1278125974</v>
      </c>
      <c r="AF1799">
        <v>2648.21</v>
      </c>
      <c r="AG1799">
        <v>0</v>
      </c>
      <c r="AH1799">
        <v>0</v>
      </c>
      <c r="AI1799">
        <v>2648.21</v>
      </c>
      <c r="AJ1799" t="s">
        <v>2</v>
      </c>
      <c r="AK1799" t="s">
        <v>11</v>
      </c>
    </row>
    <row r="1800" spans="1:37">
      <c r="A1800">
        <v>257861</v>
      </c>
      <c r="B1800" s="1">
        <v>45366</v>
      </c>
      <c r="C1800" t="s">
        <v>2632</v>
      </c>
      <c r="D1800" t="s">
        <v>2633</v>
      </c>
      <c r="E1800" t="s">
        <v>2</v>
      </c>
      <c r="F1800" t="s">
        <v>2634</v>
      </c>
      <c r="G1800" t="s">
        <v>539</v>
      </c>
      <c r="H1800">
        <v>28645</v>
      </c>
      <c r="I1800" t="s">
        <v>2635</v>
      </c>
      <c r="J1800" t="s">
        <v>2636</v>
      </c>
      <c r="K1800" t="s">
        <v>2</v>
      </c>
      <c r="L1800" t="s">
        <v>2634</v>
      </c>
      <c r="M1800" t="s">
        <v>539</v>
      </c>
      <c r="N1800">
        <v>28645</v>
      </c>
      <c r="O1800" t="s">
        <v>2637</v>
      </c>
      <c r="P1800">
        <v>37428</v>
      </c>
      <c r="Q1800" t="s">
        <v>21</v>
      </c>
      <c r="R1800">
        <v>414938</v>
      </c>
      <c r="S1800" t="s">
        <v>2602</v>
      </c>
      <c r="T1800" s="2">
        <v>23</v>
      </c>
      <c r="U1800">
        <v>0</v>
      </c>
      <c r="V1800" t="s">
        <v>260</v>
      </c>
      <c r="W1800">
        <v>1</v>
      </c>
      <c r="X1800">
        <v>1</v>
      </c>
      <c r="Y1800">
        <v>0</v>
      </c>
      <c r="Z1800" t="s">
        <v>2657</v>
      </c>
      <c r="AA1800" t="s">
        <v>2658</v>
      </c>
      <c r="AB1800" t="s">
        <v>14</v>
      </c>
      <c r="AC1800">
        <v>255.51499999999999</v>
      </c>
      <c r="AD1800">
        <v>255.52</v>
      </c>
      <c r="AE1800">
        <v>1278125974</v>
      </c>
      <c r="AF1800">
        <v>2648.21</v>
      </c>
      <c r="AG1800">
        <v>0</v>
      </c>
      <c r="AH1800">
        <v>0</v>
      </c>
      <c r="AI1800">
        <v>2648.21</v>
      </c>
      <c r="AJ1800" t="s">
        <v>2</v>
      </c>
      <c r="AK1800" t="s">
        <v>11</v>
      </c>
    </row>
    <row r="1801" spans="1:37">
      <c r="A1801">
        <v>257861</v>
      </c>
      <c r="B1801" s="1">
        <v>45366</v>
      </c>
      <c r="C1801" t="s">
        <v>2632</v>
      </c>
      <c r="D1801" t="s">
        <v>2633</v>
      </c>
      <c r="E1801" t="s">
        <v>2</v>
      </c>
      <c r="F1801" t="s">
        <v>2634</v>
      </c>
      <c r="G1801" t="s">
        <v>539</v>
      </c>
      <c r="H1801">
        <v>28645</v>
      </c>
      <c r="I1801" t="s">
        <v>2635</v>
      </c>
      <c r="J1801" t="s">
        <v>2636</v>
      </c>
      <c r="K1801" t="s">
        <v>2</v>
      </c>
      <c r="L1801" t="s">
        <v>2634</v>
      </c>
      <c r="M1801" t="s">
        <v>539</v>
      </c>
      <c r="N1801">
        <v>28645</v>
      </c>
      <c r="O1801" t="s">
        <v>2637</v>
      </c>
      <c r="P1801">
        <v>37428</v>
      </c>
      <c r="Q1801" t="s">
        <v>21</v>
      </c>
      <c r="R1801">
        <v>414938</v>
      </c>
      <c r="S1801" t="s">
        <v>2602</v>
      </c>
      <c r="T1801" s="2">
        <v>23</v>
      </c>
      <c r="U1801">
        <v>0</v>
      </c>
      <c r="V1801" t="s">
        <v>260</v>
      </c>
      <c r="W1801">
        <v>0</v>
      </c>
      <c r="X1801">
        <v>0</v>
      </c>
      <c r="Y1801">
        <v>0</v>
      </c>
      <c r="Z1801" t="s">
        <v>88</v>
      </c>
      <c r="AA1801" t="s">
        <v>89</v>
      </c>
      <c r="AB1801" t="s">
        <v>10</v>
      </c>
      <c r="AC1801">
        <v>0</v>
      </c>
      <c r="AD1801">
        <v>0</v>
      </c>
      <c r="AE1801">
        <v>1278125974</v>
      </c>
      <c r="AF1801">
        <v>2648.21</v>
      </c>
      <c r="AG1801">
        <v>0</v>
      </c>
      <c r="AH1801">
        <v>0</v>
      </c>
      <c r="AI1801">
        <v>2648.21</v>
      </c>
      <c r="AJ1801" t="s">
        <v>2</v>
      </c>
      <c r="AK1801" t="s">
        <v>11</v>
      </c>
    </row>
    <row r="1802" spans="1:37">
      <c r="A1802">
        <v>257861</v>
      </c>
      <c r="B1802" s="1">
        <v>45366</v>
      </c>
      <c r="C1802" t="s">
        <v>2632</v>
      </c>
      <c r="D1802" t="s">
        <v>2633</v>
      </c>
      <c r="E1802" t="s">
        <v>2</v>
      </c>
      <c r="F1802" t="s">
        <v>2634</v>
      </c>
      <c r="G1802" t="s">
        <v>539</v>
      </c>
      <c r="H1802">
        <v>28645</v>
      </c>
      <c r="I1802" t="s">
        <v>2635</v>
      </c>
      <c r="J1802" t="s">
        <v>2636</v>
      </c>
      <c r="K1802" t="s">
        <v>2</v>
      </c>
      <c r="L1802" t="s">
        <v>2634</v>
      </c>
      <c r="M1802" t="s">
        <v>539</v>
      </c>
      <c r="N1802">
        <v>28645</v>
      </c>
      <c r="O1802" t="s">
        <v>2637</v>
      </c>
      <c r="P1802">
        <v>37428</v>
      </c>
      <c r="Q1802" t="s">
        <v>21</v>
      </c>
      <c r="R1802">
        <v>414938</v>
      </c>
      <c r="S1802" t="s">
        <v>2602</v>
      </c>
      <c r="T1802" s="2">
        <v>23</v>
      </c>
      <c r="U1802">
        <v>0</v>
      </c>
      <c r="V1802" t="s">
        <v>260</v>
      </c>
      <c r="W1802">
        <v>1</v>
      </c>
      <c r="X1802">
        <v>1</v>
      </c>
      <c r="Y1802">
        <v>0</v>
      </c>
      <c r="Z1802" t="s">
        <v>2555</v>
      </c>
      <c r="AA1802" t="s">
        <v>2556</v>
      </c>
      <c r="AB1802" t="s">
        <v>14</v>
      </c>
      <c r="AC1802">
        <v>53.075000000000003</v>
      </c>
      <c r="AD1802">
        <v>53.08</v>
      </c>
      <c r="AE1802">
        <v>1278125974</v>
      </c>
      <c r="AF1802">
        <v>2648.21</v>
      </c>
      <c r="AG1802">
        <v>0</v>
      </c>
      <c r="AH1802">
        <v>0</v>
      </c>
      <c r="AI1802">
        <v>2648.21</v>
      </c>
      <c r="AJ1802" t="s">
        <v>2</v>
      </c>
      <c r="AK1802" t="s">
        <v>11</v>
      </c>
    </row>
    <row r="1803" spans="1:37">
      <c r="A1803">
        <v>257861</v>
      </c>
      <c r="B1803" s="1">
        <v>45366</v>
      </c>
      <c r="C1803" t="s">
        <v>2632</v>
      </c>
      <c r="D1803" t="s">
        <v>2633</v>
      </c>
      <c r="E1803" t="s">
        <v>2</v>
      </c>
      <c r="F1803" t="s">
        <v>2634</v>
      </c>
      <c r="G1803" t="s">
        <v>539</v>
      </c>
      <c r="H1803">
        <v>28645</v>
      </c>
      <c r="I1803" t="s">
        <v>2635</v>
      </c>
      <c r="J1803" t="s">
        <v>2636</v>
      </c>
      <c r="K1803" t="s">
        <v>2</v>
      </c>
      <c r="L1803" t="s">
        <v>2634</v>
      </c>
      <c r="M1803" t="s">
        <v>539</v>
      </c>
      <c r="N1803">
        <v>28645</v>
      </c>
      <c r="O1803" t="s">
        <v>2637</v>
      </c>
      <c r="P1803">
        <v>37428</v>
      </c>
      <c r="Q1803" t="s">
        <v>21</v>
      </c>
      <c r="R1803">
        <v>414938</v>
      </c>
      <c r="S1803" t="s">
        <v>2602</v>
      </c>
      <c r="T1803" s="2">
        <v>23</v>
      </c>
      <c r="U1803">
        <v>0</v>
      </c>
      <c r="V1803" t="s">
        <v>260</v>
      </c>
      <c r="W1803">
        <v>0</v>
      </c>
      <c r="X1803">
        <v>0</v>
      </c>
      <c r="Y1803">
        <v>0</v>
      </c>
      <c r="Z1803" t="s">
        <v>88</v>
      </c>
      <c r="AA1803" t="s">
        <v>89</v>
      </c>
      <c r="AB1803" t="s">
        <v>10</v>
      </c>
      <c r="AC1803">
        <v>0</v>
      </c>
      <c r="AD1803">
        <v>0</v>
      </c>
      <c r="AE1803">
        <v>1278125974</v>
      </c>
      <c r="AF1803">
        <v>2648.21</v>
      </c>
      <c r="AG1803">
        <v>0</v>
      </c>
      <c r="AH1803">
        <v>0</v>
      </c>
      <c r="AI1803">
        <v>2648.21</v>
      </c>
      <c r="AJ1803" t="s">
        <v>2</v>
      </c>
      <c r="AK1803" t="s">
        <v>11</v>
      </c>
    </row>
    <row r="1804" spans="1:37">
      <c r="A1804">
        <v>257861</v>
      </c>
      <c r="B1804" s="1">
        <v>45366</v>
      </c>
      <c r="C1804" t="s">
        <v>2632</v>
      </c>
      <c r="D1804" t="s">
        <v>2633</v>
      </c>
      <c r="E1804" t="s">
        <v>2</v>
      </c>
      <c r="F1804" t="s">
        <v>2634</v>
      </c>
      <c r="G1804" t="s">
        <v>539</v>
      </c>
      <c r="H1804">
        <v>28645</v>
      </c>
      <c r="I1804" t="s">
        <v>2635</v>
      </c>
      <c r="J1804" t="s">
        <v>2636</v>
      </c>
      <c r="K1804" t="s">
        <v>2</v>
      </c>
      <c r="L1804" t="s">
        <v>2634</v>
      </c>
      <c r="M1804" t="s">
        <v>539</v>
      </c>
      <c r="N1804">
        <v>28645</v>
      </c>
      <c r="O1804" t="s">
        <v>2637</v>
      </c>
      <c r="P1804">
        <v>37428</v>
      </c>
      <c r="Q1804" t="s">
        <v>21</v>
      </c>
      <c r="R1804">
        <v>414938</v>
      </c>
      <c r="S1804" t="s">
        <v>2602</v>
      </c>
      <c r="T1804" s="2">
        <v>23</v>
      </c>
      <c r="U1804">
        <v>0</v>
      </c>
      <c r="V1804" t="s">
        <v>260</v>
      </c>
      <c r="W1804">
        <v>1</v>
      </c>
      <c r="X1804">
        <v>1</v>
      </c>
      <c r="Y1804">
        <v>0</v>
      </c>
      <c r="Z1804" t="s">
        <v>2659</v>
      </c>
      <c r="AA1804" t="s">
        <v>2660</v>
      </c>
      <c r="AB1804" t="s">
        <v>14</v>
      </c>
      <c r="AC1804">
        <v>53.075000000000003</v>
      </c>
      <c r="AD1804">
        <v>53.08</v>
      </c>
      <c r="AE1804">
        <v>1278125974</v>
      </c>
      <c r="AF1804">
        <v>2648.21</v>
      </c>
      <c r="AG1804">
        <v>0</v>
      </c>
      <c r="AH1804">
        <v>0</v>
      </c>
      <c r="AI1804">
        <v>2648.21</v>
      </c>
      <c r="AJ1804" t="s">
        <v>2</v>
      </c>
      <c r="AK1804" t="s">
        <v>11</v>
      </c>
    </row>
    <row r="1805" spans="1:37">
      <c r="A1805">
        <v>257861</v>
      </c>
      <c r="B1805" s="1">
        <v>45366</v>
      </c>
      <c r="C1805" t="s">
        <v>2632</v>
      </c>
      <c r="D1805" t="s">
        <v>2633</v>
      </c>
      <c r="E1805" t="s">
        <v>2</v>
      </c>
      <c r="F1805" t="s">
        <v>2634</v>
      </c>
      <c r="G1805" t="s">
        <v>539</v>
      </c>
      <c r="H1805">
        <v>28645</v>
      </c>
      <c r="I1805" t="s">
        <v>2635</v>
      </c>
      <c r="J1805" t="s">
        <v>2636</v>
      </c>
      <c r="K1805" t="s">
        <v>2</v>
      </c>
      <c r="L1805" t="s">
        <v>2634</v>
      </c>
      <c r="M1805" t="s">
        <v>539</v>
      </c>
      <c r="N1805">
        <v>28645</v>
      </c>
      <c r="O1805" t="s">
        <v>2637</v>
      </c>
      <c r="P1805">
        <v>37428</v>
      </c>
      <c r="Q1805" t="s">
        <v>21</v>
      </c>
      <c r="R1805">
        <v>414938</v>
      </c>
      <c r="S1805" t="s">
        <v>2602</v>
      </c>
      <c r="T1805" s="2">
        <v>23</v>
      </c>
      <c r="U1805">
        <v>0</v>
      </c>
      <c r="V1805" t="s">
        <v>260</v>
      </c>
      <c r="W1805">
        <v>0</v>
      </c>
      <c r="X1805">
        <v>0</v>
      </c>
      <c r="Y1805">
        <v>0</v>
      </c>
      <c r="Z1805" t="s">
        <v>88</v>
      </c>
      <c r="AA1805" t="s">
        <v>89</v>
      </c>
      <c r="AB1805" t="s">
        <v>10</v>
      </c>
      <c r="AC1805">
        <v>0</v>
      </c>
      <c r="AD1805">
        <v>0</v>
      </c>
      <c r="AE1805">
        <v>1278125974</v>
      </c>
      <c r="AF1805">
        <v>2648.21</v>
      </c>
      <c r="AG1805">
        <v>0</v>
      </c>
      <c r="AH1805">
        <v>0</v>
      </c>
      <c r="AI1805">
        <v>2648.21</v>
      </c>
      <c r="AJ1805" t="s">
        <v>2</v>
      </c>
      <c r="AK1805" t="s">
        <v>11</v>
      </c>
    </row>
    <row r="1806" spans="1:37">
      <c r="A1806">
        <v>257861</v>
      </c>
      <c r="B1806" s="1">
        <v>45366</v>
      </c>
      <c r="C1806" t="s">
        <v>2632</v>
      </c>
      <c r="D1806" t="s">
        <v>2633</v>
      </c>
      <c r="E1806" t="s">
        <v>2</v>
      </c>
      <c r="F1806" t="s">
        <v>2634</v>
      </c>
      <c r="G1806" t="s">
        <v>539</v>
      </c>
      <c r="H1806">
        <v>28645</v>
      </c>
      <c r="I1806" t="s">
        <v>2635</v>
      </c>
      <c r="J1806" t="s">
        <v>2636</v>
      </c>
      <c r="K1806" t="s">
        <v>2</v>
      </c>
      <c r="L1806" t="s">
        <v>2634</v>
      </c>
      <c r="M1806" t="s">
        <v>539</v>
      </c>
      <c r="N1806">
        <v>28645</v>
      </c>
      <c r="O1806" t="s">
        <v>2637</v>
      </c>
      <c r="P1806">
        <v>37428</v>
      </c>
      <c r="Q1806" t="s">
        <v>21</v>
      </c>
      <c r="R1806">
        <v>414938</v>
      </c>
      <c r="S1806" t="s">
        <v>2602</v>
      </c>
      <c r="T1806" s="2">
        <v>23</v>
      </c>
      <c r="U1806">
        <v>0</v>
      </c>
      <c r="V1806" t="s">
        <v>260</v>
      </c>
      <c r="W1806">
        <v>2</v>
      </c>
      <c r="X1806">
        <v>2</v>
      </c>
      <c r="Y1806">
        <v>0</v>
      </c>
      <c r="Z1806" t="s">
        <v>2661</v>
      </c>
      <c r="AA1806" t="s">
        <v>2662</v>
      </c>
      <c r="AB1806" t="s">
        <v>14</v>
      </c>
      <c r="AC1806">
        <v>88.550399999999996</v>
      </c>
      <c r="AD1806">
        <v>177.1</v>
      </c>
      <c r="AE1806">
        <v>1278125974</v>
      </c>
      <c r="AF1806">
        <v>2648.21</v>
      </c>
      <c r="AG1806">
        <v>0</v>
      </c>
      <c r="AH1806">
        <v>0</v>
      </c>
      <c r="AI1806">
        <v>2648.21</v>
      </c>
      <c r="AJ1806" t="s">
        <v>2</v>
      </c>
      <c r="AK1806" t="s">
        <v>11</v>
      </c>
    </row>
    <row r="1807" spans="1:37">
      <c r="A1807">
        <v>257861</v>
      </c>
      <c r="B1807" s="1">
        <v>45366</v>
      </c>
      <c r="C1807" t="s">
        <v>2632</v>
      </c>
      <c r="D1807" t="s">
        <v>2633</v>
      </c>
      <c r="E1807" t="s">
        <v>2</v>
      </c>
      <c r="F1807" t="s">
        <v>2634</v>
      </c>
      <c r="G1807" t="s">
        <v>539</v>
      </c>
      <c r="H1807">
        <v>28645</v>
      </c>
      <c r="I1807" t="s">
        <v>2635</v>
      </c>
      <c r="J1807" t="s">
        <v>2636</v>
      </c>
      <c r="K1807" t="s">
        <v>2</v>
      </c>
      <c r="L1807" t="s">
        <v>2634</v>
      </c>
      <c r="M1807" t="s">
        <v>539</v>
      </c>
      <c r="N1807">
        <v>28645</v>
      </c>
      <c r="O1807" t="s">
        <v>2637</v>
      </c>
      <c r="P1807">
        <v>37428</v>
      </c>
      <c r="Q1807" t="s">
        <v>21</v>
      </c>
      <c r="R1807">
        <v>414938</v>
      </c>
      <c r="S1807" t="s">
        <v>2602</v>
      </c>
      <c r="T1807" s="2">
        <v>23</v>
      </c>
      <c r="U1807">
        <v>0</v>
      </c>
      <c r="V1807" t="s">
        <v>260</v>
      </c>
      <c r="W1807">
        <v>0</v>
      </c>
      <c r="X1807">
        <v>0</v>
      </c>
      <c r="Y1807">
        <v>0</v>
      </c>
      <c r="Z1807" t="s">
        <v>88</v>
      </c>
      <c r="AA1807" t="s">
        <v>2640</v>
      </c>
      <c r="AB1807" t="s">
        <v>10</v>
      </c>
      <c r="AC1807">
        <v>0</v>
      </c>
      <c r="AD1807">
        <v>0</v>
      </c>
      <c r="AE1807">
        <v>1278125974</v>
      </c>
      <c r="AF1807">
        <v>2648.21</v>
      </c>
      <c r="AG1807">
        <v>0</v>
      </c>
      <c r="AH1807">
        <v>0</v>
      </c>
      <c r="AI1807">
        <v>2648.21</v>
      </c>
      <c r="AJ1807" t="s">
        <v>2</v>
      </c>
      <c r="AK1807" t="s">
        <v>11</v>
      </c>
    </row>
    <row r="1808" spans="1:37">
      <c r="A1808">
        <v>257861</v>
      </c>
      <c r="B1808" s="1">
        <v>45366</v>
      </c>
      <c r="C1808" t="s">
        <v>2632</v>
      </c>
      <c r="D1808" t="s">
        <v>2633</v>
      </c>
      <c r="E1808" t="s">
        <v>2</v>
      </c>
      <c r="F1808" t="s">
        <v>2634</v>
      </c>
      <c r="G1808" t="s">
        <v>539</v>
      </c>
      <c r="H1808">
        <v>28645</v>
      </c>
      <c r="I1808" t="s">
        <v>2635</v>
      </c>
      <c r="J1808" t="s">
        <v>2636</v>
      </c>
      <c r="K1808" t="s">
        <v>2</v>
      </c>
      <c r="L1808" t="s">
        <v>2634</v>
      </c>
      <c r="M1808" t="s">
        <v>539</v>
      </c>
      <c r="N1808">
        <v>28645</v>
      </c>
      <c r="O1808" t="s">
        <v>2637</v>
      </c>
      <c r="P1808">
        <v>37428</v>
      </c>
      <c r="Q1808" t="s">
        <v>21</v>
      </c>
      <c r="R1808">
        <v>414938</v>
      </c>
      <c r="S1808" t="s">
        <v>2602</v>
      </c>
      <c r="T1808" s="2">
        <v>23</v>
      </c>
      <c r="U1808">
        <v>0</v>
      </c>
      <c r="V1808" t="s">
        <v>260</v>
      </c>
      <c r="W1808">
        <v>1</v>
      </c>
      <c r="X1808">
        <v>0</v>
      </c>
      <c r="Y1808">
        <v>1</v>
      </c>
      <c r="Z1808" t="s">
        <v>2663</v>
      </c>
      <c r="AA1808" t="s">
        <v>2664</v>
      </c>
      <c r="AB1808" t="s">
        <v>14</v>
      </c>
      <c r="AC1808">
        <v>58.392000000000003</v>
      </c>
      <c r="AD1808">
        <v>0</v>
      </c>
      <c r="AE1808">
        <v>1278125974</v>
      </c>
      <c r="AF1808">
        <v>2648.21</v>
      </c>
      <c r="AG1808">
        <v>0</v>
      </c>
      <c r="AH1808">
        <v>0</v>
      </c>
      <c r="AI1808">
        <v>2648.21</v>
      </c>
      <c r="AJ1808" t="s">
        <v>2</v>
      </c>
      <c r="AK1808" t="s">
        <v>11</v>
      </c>
    </row>
    <row r="1809" spans="1:37">
      <c r="A1809">
        <v>257861</v>
      </c>
      <c r="B1809" s="1">
        <v>45366</v>
      </c>
      <c r="C1809" t="s">
        <v>2632</v>
      </c>
      <c r="D1809" t="s">
        <v>2633</v>
      </c>
      <c r="E1809" t="s">
        <v>2</v>
      </c>
      <c r="F1809" t="s">
        <v>2634</v>
      </c>
      <c r="G1809" t="s">
        <v>539</v>
      </c>
      <c r="H1809">
        <v>28645</v>
      </c>
      <c r="I1809" t="s">
        <v>2635</v>
      </c>
      <c r="J1809" t="s">
        <v>2636</v>
      </c>
      <c r="K1809" t="s">
        <v>2</v>
      </c>
      <c r="L1809" t="s">
        <v>2634</v>
      </c>
      <c r="M1809" t="s">
        <v>539</v>
      </c>
      <c r="N1809">
        <v>28645</v>
      </c>
      <c r="O1809" t="s">
        <v>2637</v>
      </c>
      <c r="P1809">
        <v>37428</v>
      </c>
      <c r="Q1809" t="s">
        <v>21</v>
      </c>
      <c r="R1809">
        <v>414938</v>
      </c>
      <c r="S1809" t="s">
        <v>2602</v>
      </c>
      <c r="T1809" s="2">
        <v>23</v>
      </c>
      <c r="U1809">
        <v>0</v>
      </c>
      <c r="V1809" t="s">
        <v>260</v>
      </c>
      <c r="W1809">
        <v>0</v>
      </c>
      <c r="X1809">
        <v>0</v>
      </c>
      <c r="Y1809">
        <v>0</v>
      </c>
      <c r="Z1809" t="s">
        <v>88</v>
      </c>
      <c r="AA1809" t="s">
        <v>131</v>
      </c>
      <c r="AB1809" t="s">
        <v>10</v>
      </c>
      <c r="AC1809">
        <v>0</v>
      </c>
      <c r="AD1809">
        <v>0</v>
      </c>
      <c r="AE1809">
        <v>1278125974</v>
      </c>
      <c r="AF1809">
        <v>2648.21</v>
      </c>
      <c r="AG1809">
        <v>0</v>
      </c>
      <c r="AH1809">
        <v>0</v>
      </c>
      <c r="AI1809">
        <v>2648.21</v>
      </c>
      <c r="AJ1809" t="s">
        <v>2</v>
      </c>
      <c r="AK1809" t="s">
        <v>11</v>
      </c>
    </row>
    <row r="1810" spans="1:37">
      <c r="A1810">
        <v>257861</v>
      </c>
      <c r="B1810" s="1">
        <v>45366</v>
      </c>
      <c r="C1810" t="s">
        <v>2632</v>
      </c>
      <c r="D1810" t="s">
        <v>2633</v>
      </c>
      <c r="E1810" t="s">
        <v>2</v>
      </c>
      <c r="F1810" t="s">
        <v>2634</v>
      </c>
      <c r="G1810" t="s">
        <v>539</v>
      </c>
      <c r="H1810">
        <v>28645</v>
      </c>
      <c r="I1810" t="s">
        <v>2635</v>
      </c>
      <c r="J1810" t="s">
        <v>2636</v>
      </c>
      <c r="K1810" t="s">
        <v>2</v>
      </c>
      <c r="L1810" t="s">
        <v>2634</v>
      </c>
      <c r="M1810" t="s">
        <v>539</v>
      </c>
      <c r="N1810">
        <v>28645</v>
      </c>
      <c r="O1810" t="s">
        <v>2637</v>
      </c>
      <c r="P1810">
        <v>37428</v>
      </c>
      <c r="Q1810" t="s">
        <v>21</v>
      </c>
      <c r="R1810">
        <v>414938</v>
      </c>
      <c r="S1810" t="s">
        <v>2602</v>
      </c>
      <c r="T1810" s="2">
        <v>23</v>
      </c>
      <c r="U1810">
        <v>0</v>
      </c>
      <c r="V1810" t="s">
        <v>260</v>
      </c>
      <c r="W1810">
        <v>1</v>
      </c>
      <c r="X1810">
        <v>1</v>
      </c>
      <c r="Y1810">
        <v>0</v>
      </c>
      <c r="Z1810" t="s">
        <v>2665</v>
      </c>
      <c r="AA1810" t="s">
        <v>2666</v>
      </c>
      <c r="AB1810" t="s">
        <v>14</v>
      </c>
      <c r="AC1810">
        <v>106.92</v>
      </c>
      <c r="AD1810">
        <v>106.92</v>
      </c>
      <c r="AE1810">
        <v>1278125974</v>
      </c>
      <c r="AF1810">
        <v>2648.21</v>
      </c>
      <c r="AG1810">
        <v>0</v>
      </c>
      <c r="AH1810">
        <v>0</v>
      </c>
      <c r="AI1810">
        <v>2648.21</v>
      </c>
      <c r="AJ1810" t="s">
        <v>2</v>
      </c>
      <c r="AK1810" t="s">
        <v>11</v>
      </c>
    </row>
    <row r="1811" spans="1:37">
      <c r="A1811">
        <v>257861</v>
      </c>
      <c r="B1811" s="1">
        <v>45366</v>
      </c>
      <c r="C1811" t="s">
        <v>2632</v>
      </c>
      <c r="D1811" t="s">
        <v>2633</v>
      </c>
      <c r="E1811" t="s">
        <v>2</v>
      </c>
      <c r="F1811" t="s">
        <v>2634</v>
      </c>
      <c r="G1811" t="s">
        <v>539</v>
      </c>
      <c r="H1811">
        <v>28645</v>
      </c>
      <c r="I1811" t="s">
        <v>2635</v>
      </c>
      <c r="J1811" t="s">
        <v>2636</v>
      </c>
      <c r="K1811" t="s">
        <v>2</v>
      </c>
      <c r="L1811" t="s">
        <v>2634</v>
      </c>
      <c r="M1811" t="s">
        <v>539</v>
      </c>
      <c r="N1811">
        <v>28645</v>
      </c>
      <c r="O1811" t="s">
        <v>2637</v>
      </c>
      <c r="P1811">
        <v>37428</v>
      </c>
      <c r="Q1811" t="s">
        <v>21</v>
      </c>
      <c r="R1811">
        <v>414938</v>
      </c>
      <c r="S1811" t="s">
        <v>2602</v>
      </c>
      <c r="T1811" s="2">
        <v>23</v>
      </c>
      <c r="U1811">
        <v>0</v>
      </c>
      <c r="V1811" t="s">
        <v>260</v>
      </c>
      <c r="W1811">
        <v>0</v>
      </c>
      <c r="X1811">
        <v>0</v>
      </c>
      <c r="Y1811">
        <v>0</v>
      </c>
      <c r="Z1811" t="s">
        <v>88</v>
      </c>
      <c r="AA1811" t="s">
        <v>2667</v>
      </c>
      <c r="AB1811" t="s">
        <v>10</v>
      </c>
      <c r="AC1811">
        <v>0</v>
      </c>
      <c r="AD1811">
        <v>0</v>
      </c>
      <c r="AE1811">
        <v>1278125974</v>
      </c>
      <c r="AF1811">
        <v>2648.21</v>
      </c>
      <c r="AG1811">
        <v>0</v>
      </c>
      <c r="AH1811">
        <v>0</v>
      </c>
      <c r="AI1811">
        <v>2648.21</v>
      </c>
      <c r="AJ1811" t="s">
        <v>2</v>
      </c>
      <c r="AK1811" t="s">
        <v>11</v>
      </c>
    </row>
    <row r="1812" spans="1:37">
      <c r="A1812">
        <v>257861</v>
      </c>
      <c r="B1812" s="1">
        <v>45366</v>
      </c>
      <c r="C1812" t="s">
        <v>2632</v>
      </c>
      <c r="D1812" t="s">
        <v>2633</v>
      </c>
      <c r="E1812" t="s">
        <v>2</v>
      </c>
      <c r="F1812" t="s">
        <v>2634</v>
      </c>
      <c r="G1812" t="s">
        <v>539</v>
      </c>
      <c r="H1812">
        <v>28645</v>
      </c>
      <c r="I1812" t="s">
        <v>2635</v>
      </c>
      <c r="J1812" t="s">
        <v>2636</v>
      </c>
      <c r="K1812" t="s">
        <v>2</v>
      </c>
      <c r="L1812" t="s">
        <v>2634</v>
      </c>
      <c r="M1812" t="s">
        <v>539</v>
      </c>
      <c r="N1812">
        <v>28645</v>
      </c>
      <c r="O1812" t="s">
        <v>2637</v>
      </c>
      <c r="P1812">
        <v>37428</v>
      </c>
      <c r="Q1812" t="s">
        <v>21</v>
      </c>
      <c r="R1812">
        <v>414938</v>
      </c>
      <c r="S1812" t="s">
        <v>2602</v>
      </c>
      <c r="T1812" s="2">
        <v>23</v>
      </c>
      <c r="U1812">
        <v>0</v>
      </c>
      <c r="V1812" t="s">
        <v>260</v>
      </c>
      <c r="W1812">
        <v>2</v>
      </c>
      <c r="X1812">
        <v>2</v>
      </c>
      <c r="Y1812">
        <v>0</v>
      </c>
      <c r="Z1812" t="s">
        <v>2668</v>
      </c>
      <c r="AA1812" t="s">
        <v>2669</v>
      </c>
      <c r="AB1812" t="s">
        <v>14</v>
      </c>
      <c r="AC1812">
        <v>141.755</v>
      </c>
      <c r="AD1812">
        <v>283.51</v>
      </c>
      <c r="AE1812">
        <v>1278125974</v>
      </c>
      <c r="AF1812">
        <v>2648.21</v>
      </c>
      <c r="AG1812">
        <v>0</v>
      </c>
      <c r="AH1812">
        <v>0</v>
      </c>
      <c r="AI1812">
        <v>2648.21</v>
      </c>
      <c r="AJ1812" t="s">
        <v>2</v>
      </c>
      <c r="AK1812" t="s">
        <v>11</v>
      </c>
    </row>
    <row r="1813" spans="1:37">
      <c r="A1813">
        <v>257861</v>
      </c>
      <c r="B1813" s="1">
        <v>45366</v>
      </c>
      <c r="C1813" t="s">
        <v>2632</v>
      </c>
      <c r="D1813" t="s">
        <v>2633</v>
      </c>
      <c r="E1813" t="s">
        <v>2</v>
      </c>
      <c r="F1813" t="s">
        <v>2634</v>
      </c>
      <c r="G1813" t="s">
        <v>539</v>
      </c>
      <c r="H1813">
        <v>28645</v>
      </c>
      <c r="I1813" t="s">
        <v>2635</v>
      </c>
      <c r="J1813" t="s">
        <v>2636</v>
      </c>
      <c r="K1813" t="s">
        <v>2</v>
      </c>
      <c r="L1813" t="s">
        <v>2634</v>
      </c>
      <c r="M1813" t="s">
        <v>539</v>
      </c>
      <c r="N1813">
        <v>28645</v>
      </c>
      <c r="O1813" t="s">
        <v>2637</v>
      </c>
      <c r="P1813">
        <v>37428</v>
      </c>
      <c r="Q1813" t="s">
        <v>21</v>
      </c>
      <c r="R1813">
        <v>414938</v>
      </c>
      <c r="S1813" t="s">
        <v>2602</v>
      </c>
      <c r="T1813" s="2">
        <v>23</v>
      </c>
      <c r="U1813">
        <v>0</v>
      </c>
      <c r="V1813" t="s">
        <v>260</v>
      </c>
      <c r="W1813">
        <v>0</v>
      </c>
      <c r="X1813">
        <v>0</v>
      </c>
      <c r="Y1813">
        <v>0</v>
      </c>
      <c r="Z1813" t="s">
        <v>88</v>
      </c>
      <c r="AA1813" t="s">
        <v>2670</v>
      </c>
      <c r="AB1813" t="s">
        <v>10</v>
      </c>
      <c r="AC1813">
        <v>0</v>
      </c>
      <c r="AD1813">
        <v>0</v>
      </c>
      <c r="AE1813">
        <v>1278125974</v>
      </c>
      <c r="AF1813">
        <v>2648.21</v>
      </c>
      <c r="AG1813">
        <v>0</v>
      </c>
      <c r="AH1813">
        <v>0</v>
      </c>
      <c r="AI1813">
        <v>2648.21</v>
      </c>
      <c r="AJ1813" t="s">
        <v>2</v>
      </c>
      <c r="AK1813" t="s">
        <v>11</v>
      </c>
    </row>
    <row r="1814" spans="1:37">
      <c r="A1814">
        <v>257861</v>
      </c>
      <c r="B1814" s="1">
        <v>45366</v>
      </c>
      <c r="C1814" t="s">
        <v>2632</v>
      </c>
      <c r="D1814" t="s">
        <v>2633</v>
      </c>
      <c r="E1814" t="s">
        <v>2</v>
      </c>
      <c r="F1814" t="s">
        <v>2634</v>
      </c>
      <c r="G1814" t="s">
        <v>539</v>
      </c>
      <c r="H1814">
        <v>28645</v>
      </c>
      <c r="I1814" t="s">
        <v>2635</v>
      </c>
      <c r="J1814" t="s">
        <v>2636</v>
      </c>
      <c r="K1814" t="s">
        <v>2</v>
      </c>
      <c r="L1814" t="s">
        <v>2634</v>
      </c>
      <c r="M1814" t="s">
        <v>539</v>
      </c>
      <c r="N1814">
        <v>28645</v>
      </c>
      <c r="O1814" t="s">
        <v>2637</v>
      </c>
      <c r="P1814">
        <v>37428</v>
      </c>
      <c r="Q1814" t="s">
        <v>21</v>
      </c>
      <c r="R1814">
        <v>414938</v>
      </c>
      <c r="S1814" t="s">
        <v>2602</v>
      </c>
      <c r="T1814" s="2">
        <v>23</v>
      </c>
      <c r="U1814">
        <v>0</v>
      </c>
      <c r="V1814" t="s">
        <v>260</v>
      </c>
      <c r="W1814">
        <v>1</v>
      </c>
      <c r="X1814">
        <v>1</v>
      </c>
      <c r="Y1814">
        <v>0</v>
      </c>
      <c r="Z1814" t="s">
        <v>183</v>
      </c>
      <c r="AA1814" t="s">
        <v>184</v>
      </c>
      <c r="AB1814" t="s">
        <v>14</v>
      </c>
      <c r="AC1814">
        <v>25</v>
      </c>
      <c r="AD1814">
        <v>25</v>
      </c>
      <c r="AE1814">
        <v>1278125974</v>
      </c>
      <c r="AF1814">
        <v>2648.21</v>
      </c>
      <c r="AG1814">
        <v>0</v>
      </c>
      <c r="AH1814">
        <v>0</v>
      </c>
      <c r="AI1814">
        <v>2648.21</v>
      </c>
      <c r="AJ1814" t="s">
        <v>2</v>
      </c>
      <c r="AK1814" t="s">
        <v>11</v>
      </c>
    </row>
    <row r="1815" spans="1:37">
      <c r="A1815">
        <v>257862</v>
      </c>
      <c r="B1815" s="1">
        <v>45366</v>
      </c>
      <c r="C1815" t="s">
        <v>1237</v>
      </c>
      <c r="D1815" t="s">
        <v>1238</v>
      </c>
      <c r="E1815" t="s">
        <v>2</v>
      </c>
      <c r="F1815" t="s">
        <v>1239</v>
      </c>
      <c r="G1815" t="s">
        <v>760</v>
      </c>
      <c r="H1815">
        <v>54956</v>
      </c>
      <c r="I1815" t="s">
        <v>1485</v>
      </c>
      <c r="J1815" t="s">
        <v>1486</v>
      </c>
      <c r="K1815" t="s">
        <v>2</v>
      </c>
      <c r="L1815" t="s">
        <v>1239</v>
      </c>
      <c r="M1815" t="s">
        <v>760</v>
      </c>
      <c r="N1815">
        <v>54956</v>
      </c>
      <c r="O1815" t="s">
        <v>1243</v>
      </c>
      <c r="P1815">
        <v>1640</v>
      </c>
      <c r="Q1815" t="s">
        <v>6</v>
      </c>
      <c r="R1815">
        <v>415387</v>
      </c>
      <c r="S1815" t="s">
        <v>2451</v>
      </c>
      <c r="T1815" s="2">
        <v>57</v>
      </c>
      <c r="U1815">
        <v>0</v>
      </c>
      <c r="V1815" t="s">
        <v>260</v>
      </c>
      <c r="W1815">
        <v>0</v>
      </c>
      <c r="X1815">
        <v>0</v>
      </c>
      <c r="Y1815">
        <v>0</v>
      </c>
      <c r="Z1815" t="s">
        <v>9</v>
      </c>
      <c r="AA1815" t="s">
        <v>2</v>
      </c>
      <c r="AB1815" t="s">
        <v>10</v>
      </c>
      <c r="AC1815">
        <v>0</v>
      </c>
      <c r="AD1815">
        <v>0</v>
      </c>
      <c r="AE1815">
        <v>9442820424</v>
      </c>
      <c r="AF1815">
        <v>26096.37</v>
      </c>
      <c r="AG1815">
        <v>0</v>
      </c>
      <c r="AH1815">
        <v>0</v>
      </c>
      <c r="AI1815">
        <v>26096.37</v>
      </c>
      <c r="AJ1815" t="s">
        <v>2</v>
      </c>
      <c r="AK1815" t="s">
        <v>11</v>
      </c>
    </row>
    <row r="1816" spans="1:37">
      <c r="A1816">
        <v>257862</v>
      </c>
      <c r="B1816" s="1">
        <v>45366</v>
      </c>
      <c r="C1816" t="s">
        <v>1237</v>
      </c>
      <c r="D1816" t="s">
        <v>1238</v>
      </c>
      <c r="E1816" t="s">
        <v>2</v>
      </c>
      <c r="F1816" t="s">
        <v>1239</v>
      </c>
      <c r="G1816" t="s">
        <v>760</v>
      </c>
      <c r="H1816">
        <v>54956</v>
      </c>
      <c r="I1816" t="s">
        <v>1485</v>
      </c>
      <c r="J1816" t="s">
        <v>1486</v>
      </c>
      <c r="K1816" t="s">
        <v>2</v>
      </c>
      <c r="L1816" t="s">
        <v>1239</v>
      </c>
      <c r="M1816" t="s">
        <v>760</v>
      </c>
      <c r="N1816">
        <v>54956</v>
      </c>
      <c r="O1816" t="s">
        <v>1243</v>
      </c>
      <c r="P1816">
        <v>1640</v>
      </c>
      <c r="Q1816" t="s">
        <v>6</v>
      </c>
      <c r="R1816">
        <v>415387</v>
      </c>
      <c r="S1816" t="s">
        <v>2451</v>
      </c>
      <c r="T1816" s="2">
        <v>57</v>
      </c>
      <c r="U1816">
        <v>0</v>
      </c>
      <c r="V1816" t="s">
        <v>260</v>
      </c>
      <c r="W1816">
        <v>1</v>
      </c>
      <c r="X1816">
        <v>1</v>
      </c>
      <c r="Y1816">
        <v>0</v>
      </c>
      <c r="Z1816" t="s">
        <v>2671</v>
      </c>
      <c r="AA1816" t="s">
        <v>2672</v>
      </c>
      <c r="AB1816" t="s">
        <v>14</v>
      </c>
      <c r="AC1816">
        <v>254.8107</v>
      </c>
      <c r="AD1816">
        <v>254.81</v>
      </c>
      <c r="AE1816">
        <v>9442820424</v>
      </c>
      <c r="AF1816">
        <v>26096.37</v>
      </c>
      <c r="AG1816">
        <v>0</v>
      </c>
      <c r="AH1816">
        <v>0</v>
      </c>
      <c r="AI1816">
        <v>26096.37</v>
      </c>
      <c r="AJ1816" t="s">
        <v>2</v>
      </c>
      <c r="AK1816" t="s">
        <v>11</v>
      </c>
    </row>
    <row r="1817" spans="1:37">
      <c r="A1817">
        <v>257862</v>
      </c>
      <c r="B1817" s="1">
        <v>45366</v>
      </c>
      <c r="C1817" t="s">
        <v>1237</v>
      </c>
      <c r="D1817" t="s">
        <v>1238</v>
      </c>
      <c r="E1817" t="s">
        <v>2</v>
      </c>
      <c r="F1817" t="s">
        <v>1239</v>
      </c>
      <c r="G1817" t="s">
        <v>760</v>
      </c>
      <c r="H1817">
        <v>54956</v>
      </c>
      <c r="I1817" t="s">
        <v>1485</v>
      </c>
      <c r="J1817" t="s">
        <v>1486</v>
      </c>
      <c r="K1817" t="s">
        <v>2</v>
      </c>
      <c r="L1817" t="s">
        <v>1239</v>
      </c>
      <c r="M1817" t="s">
        <v>760</v>
      </c>
      <c r="N1817">
        <v>54956</v>
      </c>
      <c r="O1817" t="s">
        <v>1243</v>
      </c>
      <c r="P1817">
        <v>1640</v>
      </c>
      <c r="Q1817" t="s">
        <v>6</v>
      </c>
      <c r="R1817">
        <v>415387</v>
      </c>
      <c r="S1817" t="s">
        <v>2451</v>
      </c>
      <c r="T1817" s="2">
        <v>57</v>
      </c>
      <c r="U1817">
        <v>0</v>
      </c>
      <c r="V1817" t="s">
        <v>260</v>
      </c>
      <c r="W1817">
        <v>0</v>
      </c>
      <c r="X1817">
        <v>0</v>
      </c>
      <c r="Y1817">
        <v>0</v>
      </c>
      <c r="Z1817" t="s">
        <v>88</v>
      </c>
      <c r="AA1817" t="s">
        <v>2673</v>
      </c>
      <c r="AB1817" t="s">
        <v>10</v>
      </c>
      <c r="AC1817">
        <v>0</v>
      </c>
      <c r="AD1817">
        <v>0</v>
      </c>
      <c r="AE1817">
        <v>9442820424</v>
      </c>
      <c r="AF1817">
        <v>26096.37</v>
      </c>
      <c r="AG1817">
        <v>0</v>
      </c>
      <c r="AH1817">
        <v>0</v>
      </c>
      <c r="AI1817">
        <v>26096.37</v>
      </c>
      <c r="AJ1817" t="s">
        <v>2</v>
      </c>
      <c r="AK1817" t="s">
        <v>11</v>
      </c>
    </row>
    <row r="1818" spans="1:37">
      <c r="A1818">
        <v>257862</v>
      </c>
      <c r="B1818" s="1">
        <v>45366</v>
      </c>
      <c r="C1818" t="s">
        <v>1237</v>
      </c>
      <c r="D1818" t="s">
        <v>1238</v>
      </c>
      <c r="E1818" t="s">
        <v>2</v>
      </c>
      <c r="F1818" t="s">
        <v>1239</v>
      </c>
      <c r="G1818" t="s">
        <v>760</v>
      </c>
      <c r="H1818">
        <v>54956</v>
      </c>
      <c r="I1818" t="s">
        <v>1485</v>
      </c>
      <c r="J1818" t="s">
        <v>1486</v>
      </c>
      <c r="K1818" t="s">
        <v>2</v>
      </c>
      <c r="L1818" t="s">
        <v>1239</v>
      </c>
      <c r="M1818" t="s">
        <v>760</v>
      </c>
      <c r="N1818">
        <v>54956</v>
      </c>
      <c r="O1818" t="s">
        <v>1243</v>
      </c>
      <c r="P1818">
        <v>1640</v>
      </c>
      <c r="Q1818" t="s">
        <v>6</v>
      </c>
      <c r="R1818">
        <v>415387</v>
      </c>
      <c r="S1818" t="s">
        <v>2451</v>
      </c>
      <c r="T1818" s="2">
        <v>57</v>
      </c>
      <c r="U1818">
        <v>0</v>
      </c>
      <c r="V1818" t="s">
        <v>260</v>
      </c>
      <c r="W1818">
        <v>2</v>
      </c>
      <c r="X1818">
        <v>2</v>
      </c>
      <c r="Y1818">
        <v>0</v>
      </c>
      <c r="Z1818" t="s">
        <v>2674</v>
      </c>
      <c r="AA1818" t="s">
        <v>2675</v>
      </c>
      <c r="AB1818" t="s">
        <v>14</v>
      </c>
      <c r="AC1818">
        <v>25.3659</v>
      </c>
      <c r="AD1818">
        <v>50.73</v>
      </c>
      <c r="AE1818">
        <v>9442820424</v>
      </c>
      <c r="AF1818">
        <v>26096.37</v>
      </c>
      <c r="AG1818">
        <v>0</v>
      </c>
      <c r="AH1818">
        <v>0</v>
      </c>
      <c r="AI1818">
        <v>26096.37</v>
      </c>
      <c r="AJ1818" t="s">
        <v>2</v>
      </c>
      <c r="AK1818" t="s">
        <v>11</v>
      </c>
    </row>
    <row r="1819" spans="1:37">
      <c r="A1819">
        <v>257862</v>
      </c>
      <c r="B1819" s="1">
        <v>45366</v>
      </c>
      <c r="C1819" t="s">
        <v>1237</v>
      </c>
      <c r="D1819" t="s">
        <v>1238</v>
      </c>
      <c r="E1819" t="s">
        <v>2</v>
      </c>
      <c r="F1819" t="s">
        <v>1239</v>
      </c>
      <c r="G1819" t="s">
        <v>760</v>
      </c>
      <c r="H1819">
        <v>54956</v>
      </c>
      <c r="I1819" t="s">
        <v>1485</v>
      </c>
      <c r="J1819" t="s">
        <v>1486</v>
      </c>
      <c r="K1819" t="s">
        <v>2</v>
      </c>
      <c r="L1819" t="s">
        <v>1239</v>
      </c>
      <c r="M1819" t="s">
        <v>760</v>
      </c>
      <c r="N1819">
        <v>54956</v>
      </c>
      <c r="O1819" t="s">
        <v>1243</v>
      </c>
      <c r="P1819">
        <v>1640</v>
      </c>
      <c r="Q1819" t="s">
        <v>6</v>
      </c>
      <c r="R1819">
        <v>415387</v>
      </c>
      <c r="S1819" t="s">
        <v>2451</v>
      </c>
      <c r="T1819" s="2">
        <v>57</v>
      </c>
      <c r="U1819">
        <v>0</v>
      </c>
      <c r="V1819" t="s">
        <v>260</v>
      </c>
      <c r="W1819">
        <v>0</v>
      </c>
      <c r="X1819">
        <v>0</v>
      </c>
      <c r="Y1819">
        <v>0</v>
      </c>
      <c r="Z1819" t="s">
        <v>88</v>
      </c>
      <c r="AA1819" t="s">
        <v>1246</v>
      </c>
      <c r="AB1819" t="s">
        <v>10</v>
      </c>
      <c r="AC1819">
        <v>0</v>
      </c>
      <c r="AD1819">
        <v>0</v>
      </c>
      <c r="AE1819">
        <v>9442820424</v>
      </c>
      <c r="AF1819">
        <v>26096.37</v>
      </c>
      <c r="AG1819">
        <v>0</v>
      </c>
      <c r="AH1819">
        <v>0</v>
      </c>
      <c r="AI1819">
        <v>26096.37</v>
      </c>
      <c r="AJ1819" t="s">
        <v>2</v>
      </c>
      <c r="AK1819" t="s">
        <v>11</v>
      </c>
    </row>
    <row r="1820" spans="1:37">
      <c r="A1820">
        <v>257862</v>
      </c>
      <c r="B1820" s="1">
        <v>45366</v>
      </c>
      <c r="C1820" t="s">
        <v>1237</v>
      </c>
      <c r="D1820" t="s">
        <v>1238</v>
      </c>
      <c r="E1820" t="s">
        <v>2</v>
      </c>
      <c r="F1820" t="s">
        <v>1239</v>
      </c>
      <c r="G1820" t="s">
        <v>760</v>
      </c>
      <c r="H1820">
        <v>54956</v>
      </c>
      <c r="I1820" t="s">
        <v>1485</v>
      </c>
      <c r="J1820" t="s">
        <v>1486</v>
      </c>
      <c r="K1820" t="s">
        <v>2</v>
      </c>
      <c r="L1820" t="s">
        <v>1239</v>
      </c>
      <c r="M1820" t="s">
        <v>760</v>
      </c>
      <c r="N1820">
        <v>54956</v>
      </c>
      <c r="O1820" t="s">
        <v>1243</v>
      </c>
      <c r="P1820">
        <v>1640</v>
      </c>
      <c r="Q1820" t="s">
        <v>6</v>
      </c>
      <c r="R1820">
        <v>415387</v>
      </c>
      <c r="S1820" t="s">
        <v>2451</v>
      </c>
      <c r="T1820" s="2">
        <v>57</v>
      </c>
      <c r="U1820">
        <v>0</v>
      </c>
      <c r="V1820" t="s">
        <v>260</v>
      </c>
      <c r="W1820">
        <v>2</v>
      </c>
      <c r="X1820">
        <v>2</v>
      </c>
      <c r="Y1820">
        <v>0</v>
      </c>
      <c r="Z1820" t="s">
        <v>2676</v>
      </c>
      <c r="AA1820" t="s">
        <v>2677</v>
      </c>
      <c r="AB1820" t="s">
        <v>14</v>
      </c>
      <c r="AC1820">
        <v>16.5855</v>
      </c>
      <c r="AD1820">
        <v>33.17</v>
      </c>
      <c r="AE1820">
        <v>9442820424</v>
      </c>
      <c r="AF1820">
        <v>26096.37</v>
      </c>
      <c r="AG1820">
        <v>0</v>
      </c>
      <c r="AH1820">
        <v>0</v>
      </c>
      <c r="AI1820">
        <v>26096.37</v>
      </c>
      <c r="AJ1820" t="s">
        <v>2</v>
      </c>
      <c r="AK1820" t="s">
        <v>11</v>
      </c>
    </row>
    <row r="1821" spans="1:37">
      <c r="A1821">
        <v>257862</v>
      </c>
      <c r="B1821" s="1">
        <v>45366</v>
      </c>
      <c r="C1821" t="s">
        <v>1237</v>
      </c>
      <c r="D1821" t="s">
        <v>1238</v>
      </c>
      <c r="E1821" t="s">
        <v>2</v>
      </c>
      <c r="F1821" t="s">
        <v>1239</v>
      </c>
      <c r="G1821" t="s">
        <v>760</v>
      </c>
      <c r="H1821">
        <v>54956</v>
      </c>
      <c r="I1821" t="s">
        <v>1485</v>
      </c>
      <c r="J1821" t="s">
        <v>1486</v>
      </c>
      <c r="K1821" t="s">
        <v>2</v>
      </c>
      <c r="L1821" t="s">
        <v>1239</v>
      </c>
      <c r="M1821" t="s">
        <v>760</v>
      </c>
      <c r="N1821">
        <v>54956</v>
      </c>
      <c r="O1821" t="s">
        <v>1243</v>
      </c>
      <c r="P1821">
        <v>1640</v>
      </c>
      <c r="Q1821" t="s">
        <v>6</v>
      </c>
      <c r="R1821">
        <v>415387</v>
      </c>
      <c r="S1821" t="s">
        <v>2451</v>
      </c>
      <c r="T1821" s="2">
        <v>57</v>
      </c>
      <c r="U1821">
        <v>0</v>
      </c>
      <c r="V1821" t="s">
        <v>260</v>
      </c>
      <c r="W1821">
        <v>0</v>
      </c>
      <c r="X1821">
        <v>0</v>
      </c>
      <c r="Y1821">
        <v>0</v>
      </c>
      <c r="Z1821" t="s">
        <v>88</v>
      </c>
      <c r="AA1821" t="s">
        <v>2640</v>
      </c>
      <c r="AB1821" t="s">
        <v>10</v>
      </c>
      <c r="AC1821">
        <v>0</v>
      </c>
      <c r="AD1821">
        <v>0</v>
      </c>
      <c r="AE1821">
        <v>9442820424</v>
      </c>
      <c r="AF1821">
        <v>26096.37</v>
      </c>
      <c r="AG1821">
        <v>0</v>
      </c>
      <c r="AH1821">
        <v>0</v>
      </c>
      <c r="AI1821">
        <v>26096.37</v>
      </c>
      <c r="AJ1821" t="s">
        <v>2</v>
      </c>
      <c r="AK1821" t="s">
        <v>11</v>
      </c>
    </row>
    <row r="1822" spans="1:37">
      <c r="A1822">
        <v>257862</v>
      </c>
      <c r="B1822" s="1">
        <v>45366</v>
      </c>
      <c r="C1822" t="s">
        <v>1237</v>
      </c>
      <c r="D1822" t="s">
        <v>1238</v>
      </c>
      <c r="E1822" t="s">
        <v>2</v>
      </c>
      <c r="F1822" t="s">
        <v>1239</v>
      </c>
      <c r="G1822" t="s">
        <v>760</v>
      </c>
      <c r="H1822">
        <v>54956</v>
      </c>
      <c r="I1822" t="s">
        <v>1485</v>
      </c>
      <c r="J1822" t="s">
        <v>1486</v>
      </c>
      <c r="K1822" t="s">
        <v>2</v>
      </c>
      <c r="L1822" t="s">
        <v>1239</v>
      </c>
      <c r="M1822" t="s">
        <v>760</v>
      </c>
      <c r="N1822">
        <v>54956</v>
      </c>
      <c r="O1822" t="s">
        <v>1243</v>
      </c>
      <c r="P1822">
        <v>1640</v>
      </c>
      <c r="Q1822" t="s">
        <v>6</v>
      </c>
      <c r="R1822">
        <v>415387</v>
      </c>
      <c r="S1822" t="s">
        <v>2451</v>
      </c>
      <c r="T1822" s="2">
        <v>57</v>
      </c>
      <c r="U1822">
        <v>0</v>
      </c>
      <c r="V1822" t="s">
        <v>260</v>
      </c>
      <c r="W1822">
        <v>2</v>
      </c>
      <c r="X1822">
        <v>2</v>
      </c>
      <c r="Y1822">
        <v>0</v>
      </c>
      <c r="Z1822" t="s">
        <v>2678</v>
      </c>
      <c r="AA1822" t="s">
        <v>2679</v>
      </c>
      <c r="AB1822" t="s">
        <v>14</v>
      </c>
      <c r="AC1822">
        <v>33.17</v>
      </c>
      <c r="AD1822">
        <v>66.34</v>
      </c>
      <c r="AE1822">
        <v>9442820424</v>
      </c>
      <c r="AF1822">
        <v>26096.37</v>
      </c>
      <c r="AG1822">
        <v>0</v>
      </c>
      <c r="AH1822">
        <v>0</v>
      </c>
      <c r="AI1822">
        <v>26096.37</v>
      </c>
      <c r="AJ1822" t="s">
        <v>2</v>
      </c>
      <c r="AK1822" t="s">
        <v>11</v>
      </c>
    </row>
    <row r="1823" spans="1:37">
      <c r="A1823">
        <v>257862</v>
      </c>
      <c r="B1823" s="1">
        <v>45366</v>
      </c>
      <c r="C1823" t="s">
        <v>1237</v>
      </c>
      <c r="D1823" t="s">
        <v>1238</v>
      </c>
      <c r="E1823" t="s">
        <v>2</v>
      </c>
      <c r="F1823" t="s">
        <v>1239</v>
      </c>
      <c r="G1823" t="s">
        <v>760</v>
      </c>
      <c r="H1823">
        <v>54956</v>
      </c>
      <c r="I1823" t="s">
        <v>1485</v>
      </c>
      <c r="J1823" t="s">
        <v>1486</v>
      </c>
      <c r="K1823" t="s">
        <v>2</v>
      </c>
      <c r="L1823" t="s">
        <v>1239</v>
      </c>
      <c r="M1823" t="s">
        <v>760</v>
      </c>
      <c r="N1823">
        <v>54956</v>
      </c>
      <c r="O1823" t="s">
        <v>1243</v>
      </c>
      <c r="P1823">
        <v>1640</v>
      </c>
      <c r="Q1823" t="s">
        <v>6</v>
      </c>
      <c r="R1823">
        <v>415387</v>
      </c>
      <c r="S1823" t="s">
        <v>2451</v>
      </c>
      <c r="T1823" s="2">
        <v>57</v>
      </c>
      <c r="U1823">
        <v>0</v>
      </c>
      <c r="V1823" t="s">
        <v>260</v>
      </c>
      <c r="W1823">
        <v>0</v>
      </c>
      <c r="X1823">
        <v>0</v>
      </c>
      <c r="Y1823">
        <v>0</v>
      </c>
      <c r="Z1823" t="s">
        <v>88</v>
      </c>
      <c r="AA1823" t="s">
        <v>1246</v>
      </c>
      <c r="AB1823" t="s">
        <v>10</v>
      </c>
      <c r="AC1823">
        <v>0</v>
      </c>
      <c r="AD1823">
        <v>0</v>
      </c>
      <c r="AE1823">
        <v>9442820424</v>
      </c>
      <c r="AF1823">
        <v>26096.37</v>
      </c>
      <c r="AG1823">
        <v>0</v>
      </c>
      <c r="AH1823">
        <v>0</v>
      </c>
      <c r="AI1823">
        <v>26096.37</v>
      </c>
      <c r="AJ1823" t="s">
        <v>2</v>
      </c>
      <c r="AK1823" t="s">
        <v>11</v>
      </c>
    </row>
    <row r="1824" spans="1:37">
      <c r="A1824">
        <v>257862</v>
      </c>
      <c r="B1824" s="1">
        <v>45366</v>
      </c>
      <c r="C1824" t="s">
        <v>1237</v>
      </c>
      <c r="D1824" t="s">
        <v>1238</v>
      </c>
      <c r="E1824" t="s">
        <v>2</v>
      </c>
      <c r="F1824" t="s">
        <v>1239</v>
      </c>
      <c r="G1824" t="s">
        <v>760</v>
      </c>
      <c r="H1824">
        <v>54956</v>
      </c>
      <c r="I1824" t="s">
        <v>1485</v>
      </c>
      <c r="J1824" t="s">
        <v>1486</v>
      </c>
      <c r="K1824" t="s">
        <v>2</v>
      </c>
      <c r="L1824" t="s">
        <v>1239</v>
      </c>
      <c r="M1824" t="s">
        <v>760</v>
      </c>
      <c r="N1824">
        <v>54956</v>
      </c>
      <c r="O1824" t="s">
        <v>1243</v>
      </c>
      <c r="P1824">
        <v>1640</v>
      </c>
      <c r="Q1824" t="s">
        <v>6</v>
      </c>
      <c r="R1824">
        <v>415387</v>
      </c>
      <c r="S1824" t="s">
        <v>2451</v>
      </c>
      <c r="T1824" s="2">
        <v>57</v>
      </c>
      <c r="U1824">
        <v>0</v>
      </c>
      <c r="V1824" t="s">
        <v>260</v>
      </c>
      <c r="W1824">
        <v>3</v>
      </c>
      <c r="X1824">
        <v>3</v>
      </c>
      <c r="Y1824">
        <v>0</v>
      </c>
      <c r="Z1824" t="s">
        <v>1244</v>
      </c>
      <c r="AA1824" t="s">
        <v>1245</v>
      </c>
      <c r="AB1824" t="s">
        <v>14</v>
      </c>
      <c r="AC1824">
        <v>54.634500000000003</v>
      </c>
      <c r="AD1824">
        <v>163.9</v>
      </c>
      <c r="AE1824">
        <v>9442820424</v>
      </c>
      <c r="AF1824">
        <v>26096.37</v>
      </c>
      <c r="AG1824">
        <v>0</v>
      </c>
      <c r="AH1824">
        <v>0</v>
      </c>
      <c r="AI1824">
        <v>26096.37</v>
      </c>
      <c r="AJ1824" t="s">
        <v>2</v>
      </c>
      <c r="AK1824" t="s">
        <v>11</v>
      </c>
    </row>
    <row r="1825" spans="1:37">
      <c r="A1825">
        <v>257862</v>
      </c>
      <c r="B1825" s="1">
        <v>45366</v>
      </c>
      <c r="C1825" t="s">
        <v>1237</v>
      </c>
      <c r="D1825" t="s">
        <v>1238</v>
      </c>
      <c r="E1825" t="s">
        <v>2</v>
      </c>
      <c r="F1825" t="s">
        <v>1239</v>
      </c>
      <c r="G1825" t="s">
        <v>760</v>
      </c>
      <c r="H1825">
        <v>54956</v>
      </c>
      <c r="I1825" t="s">
        <v>1485</v>
      </c>
      <c r="J1825" t="s">
        <v>1486</v>
      </c>
      <c r="K1825" t="s">
        <v>2</v>
      </c>
      <c r="L1825" t="s">
        <v>1239</v>
      </c>
      <c r="M1825" t="s">
        <v>760</v>
      </c>
      <c r="N1825">
        <v>54956</v>
      </c>
      <c r="O1825" t="s">
        <v>1243</v>
      </c>
      <c r="P1825">
        <v>1640</v>
      </c>
      <c r="Q1825" t="s">
        <v>6</v>
      </c>
      <c r="R1825">
        <v>415387</v>
      </c>
      <c r="S1825" t="s">
        <v>2451</v>
      </c>
      <c r="T1825" s="2">
        <v>57</v>
      </c>
      <c r="U1825">
        <v>0</v>
      </c>
      <c r="V1825" t="s">
        <v>260</v>
      </c>
      <c r="W1825">
        <v>0</v>
      </c>
      <c r="X1825">
        <v>0</v>
      </c>
      <c r="Y1825">
        <v>0</v>
      </c>
      <c r="Z1825" t="s">
        <v>88</v>
      </c>
      <c r="AA1825" t="s">
        <v>1246</v>
      </c>
      <c r="AB1825" t="s">
        <v>10</v>
      </c>
      <c r="AC1825">
        <v>0</v>
      </c>
      <c r="AD1825">
        <v>0</v>
      </c>
      <c r="AE1825">
        <v>9442820424</v>
      </c>
      <c r="AF1825">
        <v>26096.37</v>
      </c>
      <c r="AG1825">
        <v>0</v>
      </c>
      <c r="AH1825">
        <v>0</v>
      </c>
      <c r="AI1825">
        <v>26096.37</v>
      </c>
      <c r="AJ1825" t="s">
        <v>2</v>
      </c>
      <c r="AK1825" t="s">
        <v>11</v>
      </c>
    </row>
    <row r="1826" spans="1:37">
      <c r="A1826">
        <v>257862</v>
      </c>
      <c r="B1826" s="1">
        <v>45366</v>
      </c>
      <c r="C1826" t="s">
        <v>1237</v>
      </c>
      <c r="D1826" t="s">
        <v>1238</v>
      </c>
      <c r="E1826" t="s">
        <v>2</v>
      </c>
      <c r="F1826" t="s">
        <v>1239</v>
      </c>
      <c r="G1826" t="s">
        <v>760</v>
      </c>
      <c r="H1826">
        <v>54956</v>
      </c>
      <c r="I1826" t="s">
        <v>1485</v>
      </c>
      <c r="J1826" t="s">
        <v>1486</v>
      </c>
      <c r="K1826" t="s">
        <v>2</v>
      </c>
      <c r="L1826" t="s">
        <v>1239</v>
      </c>
      <c r="M1826" t="s">
        <v>760</v>
      </c>
      <c r="N1826">
        <v>54956</v>
      </c>
      <c r="O1826" t="s">
        <v>1243</v>
      </c>
      <c r="P1826">
        <v>1640</v>
      </c>
      <c r="Q1826" t="s">
        <v>6</v>
      </c>
      <c r="R1826">
        <v>415387</v>
      </c>
      <c r="S1826" t="s">
        <v>2451</v>
      </c>
      <c r="T1826" s="2">
        <v>57</v>
      </c>
      <c r="U1826">
        <v>0</v>
      </c>
      <c r="V1826" t="s">
        <v>260</v>
      </c>
      <c r="W1826">
        <v>1</v>
      </c>
      <c r="X1826">
        <v>1</v>
      </c>
      <c r="Y1826">
        <v>0</v>
      </c>
      <c r="Z1826" t="s">
        <v>2680</v>
      </c>
      <c r="AA1826" t="s">
        <v>673</v>
      </c>
      <c r="AB1826" t="s">
        <v>14</v>
      </c>
      <c r="AC1826">
        <v>125.77</v>
      </c>
      <c r="AD1826">
        <v>125.77</v>
      </c>
      <c r="AE1826">
        <v>9442820424</v>
      </c>
      <c r="AF1826">
        <v>26096.37</v>
      </c>
      <c r="AG1826">
        <v>0</v>
      </c>
      <c r="AH1826">
        <v>0</v>
      </c>
      <c r="AI1826">
        <v>26096.37</v>
      </c>
      <c r="AJ1826" t="s">
        <v>2</v>
      </c>
      <c r="AK1826" t="s">
        <v>11</v>
      </c>
    </row>
    <row r="1827" spans="1:37">
      <c r="A1827">
        <v>257862</v>
      </c>
      <c r="B1827" s="1">
        <v>45366</v>
      </c>
      <c r="C1827" t="s">
        <v>1237</v>
      </c>
      <c r="D1827" t="s">
        <v>1238</v>
      </c>
      <c r="E1827" t="s">
        <v>2</v>
      </c>
      <c r="F1827" t="s">
        <v>1239</v>
      </c>
      <c r="G1827" t="s">
        <v>760</v>
      </c>
      <c r="H1827">
        <v>54956</v>
      </c>
      <c r="I1827" t="s">
        <v>1485</v>
      </c>
      <c r="J1827" t="s">
        <v>1486</v>
      </c>
      <c r="K1827" t="s">
        <v>2</v>
      </c>
      <c r="L1827" t="s">
        <v>1239</v>
      </c>
      <c r="M1827" t="s">
        <v>760</v>
      </c>
      <c r="N1827">
        <v>54956</v>
      </c>
      <c r="O1827" t="s">
        <v>1243</v>
      </c>
      <c r="P1827">
        <v>1640</v>
      </c>
      <c r="Q1827" t="s">
        <v>6</v>
      </c>
      <c r="R1827">
        <v>415387</v>
      </c>
      <c r="S1827" t="s">
        <v>2451</v>
      </c>
      <c r="T1827" s="2">
        <v>57</v>
      </c>
      <c r="U1827">
        <v>0</v>
      </c>
      <c r="V1827" t="s">
        <v>260</v>
      </c>
      <c r="W1827">
        <v>0</v>
      </c>
      <c r="X1827">
        <v>0</v>
      </c>
      <c r="Y1827">
        <v>0</v>
      </c>
      <c r="Z1827" t="s">
        <v>88</v>
      </c>
      <c r="AA1827" t="s">
        <v>2681</v>
      </c>
      <c r="AB1827" t="s">
        <v>10</v>
      </c>
      <c r="AC1827">
        <v>0</v>
      </c>
      <c r="AD1827">
        <v>0</v>
      </c>
      <c r="AE1827">
        <v>9442820424</v>
      </c>
      <c r="AF1827">
        <v>26096.37</v>
      </c>
      <c r="AG1827">
        <v>0</v>
      </c>
      <c r="AH1827">
        <v>0</v>
      </c>
      <c r="AI1827">
        <v>26096.37</v>
      </c>
      <c r="AJ1827" t="s">
        <v>2</v>
      </c>
      <c r="AK1827" t="s">
        <v>11</v>
      </c>
    </row>
    <row r="1828" spans="1:37">
      <c r="A1828">
        <v>257862</v>
      </c>
      <c r="B1828" s="1">
        <v>45366</v>
      </c>
      <c r="C1828" t="s">
        <v>1237</v>
      </c>
      <c r="D1828" t="s">
        <v>1238</v>
      </c>
      <c r="E1828" t="s">
        <v>2</v>
      </c>
      <c r="F1828" t="s">
        <v>1239</v>
      </c>
      <c r="G1828" t="s">
        <v>760</v>
      </c>
      <c r="H1828">
        <v>54956</v>
      </c>
      <c r="I1828" t="s">
        <v>1485</v>
      </c>
      <c r="J1828" t="s">
        <v>1486</v>
      </c>
      <c r="K1828" t="s">
        <v>2</v>
      </c>
      <c r="L1828" t="s">
        <v>1239</v>
      </c>
      <c r="M1828" t="s">
        <v>760</v>
      </c>
      <c r="N1828">
        <v>54956</v>
      </c>
      <c r="O1828" t="s">
        <v>1243</v>
      </c>
      <c r="P1828">
        <v>1640</v>
      </c>
      <c r="Q1828" t="s">
        <v>6</v>
      </c>
      <c r="R1828">
        <v>415387</v>
      </c>
      <c r="S1828" t="s">
        <v>2451</v>
      </c>
      <c r="T1828" s="2">
        <v>57</v>
      </c>
      <c r="U1828">
        <v>0</v>
      </c>
      <c r="V1828" t="s">
        <v>260</v>
      </c>
      <c r="W1828">
        <v>1</v>
      </c>
      <c r="X1828">
        <v>0</v>
      </c>
      <c r="Y1828">
        <v>1</v>
      </c>
      <c r="Z1828" t="s">
        <v>2493</v>
      </c>
      <c r="AA1828" t="s">
        <v>2494</v>
      </c>
      <c r="AB1828" t="s">
        <v>14</v>
      </c>
      <c r="AC1828">
        <v>83.002499999999998</v>
      </c>
      <c r="AD1828">
        <v>0</v>
      </c>
      <c r="AE1828">
        <v>9442820424</v>
      </c>
      <c r="AF1828">
        <v>26096.37</v>
      </c>
      <c r="AG1828">
        <v>0</v>
      </c>
      <c r="AH1828">
        <v>0</v>
      </c>
      <c r="AI1828">
        <v>26096.37</v>
      </c>
      <c r="AJ1828" t="s">
        <v>2</v>
      </c>
      <c r="AK1828" t="s">
        <v>11</v>
      </c>
    </row>
    <row r="1829" spans="1:37">
      <c r="A1829">
        <v>257862</v>
      </c>
      <c r="B1829" s="1">
        <v>45366</v>
      </c>
      <c r="C1829" t="s">
        <v>1237</v>
      </c>
      <c r="D1829" t="s">
        <v>1238</v>
      </c>
      <c r="E1829" t="s">
        <v>2</v>
      </c>
      <c r="F1829" t="s">
        <v>1239</v>
      </c>
      <c r="G1829" t="s">
        <v>760</v>
      </c>
      <c r="H1829">
        <v>54956</v>
      </c>
      <c r="I1829" t="s">
        <v>1485</v>
      </c>
      <c r="J1829" t="s">
        <v>1486</v>
      </c>
      <c r="K1829" t="s">
        <v>2</v>
      </c>
      <c r="L1829" t="s">
        <v>1239</v>
      </c>
      <c r="M1829" t="s">
        <v>760</v>
      </c>
      <c r="N1829">
        <v>54956</v>
      </c>
      <c r="O1829" t="s">
        <v>1243</v>
      </c>
      <c r="P1829">
        <v>1640</v>
      </c>
      <c r="Q1829" t="s">
        <v>6</v>
      </c>
      <c r="R1829">
        <v>415387</v>
      </c>
      <c r="S1829" t="s">
        <v>2451</v>
      </c>
      <c r="T1829" s="2">
        <v>57</v>
      </c>
      <c r="U1829">
        <v>0</v>
      </c>
      <c r="V1829" t="s">
        <v>260</v>
      </c>
      <c r="W1829">
        <v>0</v>
      </c>
      <c r="X1829">
        <v>0</v>
      </c>
      <c r="Y1829">
        <v>0</v>
      </c>
      <c r="Z1829" t="s">
        <v>88</v>
      </c>
      <c r="AA1829" t="s">
        <v>2492</v>
      </c>
      <c r="AB1829" t="s">
        <v>10</v>
      </c>
      <c r="AC1829">
        <v>0</v>
      </c>
      <c r="AD1829">
        <v>0</v>
      </c>
      <c r="AE1829">
        <v>9442820424</v>
      </c>
      <c r="AF1829">
        <v>26096.37</v>
      </c>
      <c r="AG1829">
        <v>0</v>
      </c>
      <c r="AH1829">
        <v>0</v>
      </c>
      <c r="AI1829">
        <v>26096.37</v>
      </c>
      <c r="AJ1829" t="s">
        <v>2</v>
      </c>
      <c r="AK1829" t="s">
        <v>11</v>
      </c>
    </row>
    <row r="1830" spans="1:37">
      <c r="A1830">
        <v>257862</v>
      </c>
      <c r="B1830" s="1">
        <v>45366</v>
      </c>
      <c r="C1830" t="s">
        <v>1237</v>
      </c>
      <c r="D1830" t="s">
        <v>1238</v>
      </c>
      <c r="E1830" t="s">
        <v>2</v>
      </c>
      <c r="F1830" t="s">
        <v>1239</v>
      </c>
      <c r="G1830" t="s">
        <v>760</v>
      </c>
      <c r="H1830">
        <v>54956</v>
      </c>
      <c r="I1830" t="s">
        <v>1485</v>
      </c>
      <c r="J1830" t="s">
        <v>1486</v>
      </c>
      <c r="K1830" t="s">
        <v>2</v>
      </c>
      <c r="L1830" t="s">
        <v>1239</v>
      </c>
      <c r="M1830" t="s">
        <v>760</v>
      </c>
      <c r="N1830">
        <v>54956</v>
      </c>
      <c r="O1830" t="s">
        <v>1243</v>
      </c>
      <c r="P1830">
        <v>1640</v>
      </c>
      <c r="Q1830" t="s">
        <v>6</v>
      </c>
      <c r="R1830">
        <v>415387</v>
      </c>
      <c r="S1830" t="s">
        <v>2451</v>
      </c>
      <c r="T1830" s="2">
        <v>57</v>
      </c>
      <c r="U1830">
        <v>0</v>
      </c>
      <c r="V1830" t="s">
        <v>260</v>
      </c>
      <c r="W1830">
        <v>1</v>
      </c>
      <c r="X1830">
        <v>1</v>
      </c>
      <c r="Y1830">
        <v>0</v>
      </c>
      <c r="Z1830" t="s">
        <v>2682</v>
      </c>
      <c r="AA1830" t="s">
        <v>2662</v>
      </c>
      <c r="AB1830" t="s">
        <v>14</v>
      </c>
      <c r="AC1830">
        <v>101.15179999999999</v>
      </c>
      <c r="AD1830">
        <v>101.15</v>
      </c>
      <c r="AE1830">
        <v>9442820424</v>
      </c>
      <c r="AF1830">
        <v>26096.37</v>
      </c>
      <c r="AG1830">
        <v>0</v>
      </c>
      <c r="AH1830">
        <v>0</v>
      </c>
      <c r="AI1830">
        <v>26096.37</v>
      </c>
      <c r="AJ1830" t="s">
        <v>2</v>
      </c>
      <c r="AK1830" t="s">
        <v>11</v>
      </c>
    </row>
    <row r="1831" spans="1:37">
      <c r="A1831">
        <v>257862</v>
      </c>
      <c r="B1831" s="1">
        <v>45366</v>
      </c>
      <c r="C1831" t="s">
        <v>1237</v>
      </c>
      <c r="D1831" t="s">
        <v>1238</v>
      </c>
      <c r="E1831" t="s">
        <v>2</v>
      </c>
      <c r="F1831" t="s">
        <v>1239</v>
      </c>
      <c r="G1831" t="s">
        <v>760</v>
      </c>
      <c r="H1831">
        <v>54956</v>
      </c>
      <c r="I1831" t="s">
        <v>1485</v>
      </c>
      <c r="J1831" t="s">
        <v>1486</v>
      </c>
      <c r="K1831" t="s">
        <v>2</v>
      </c>
      <c r="L1831" t="s">
        <v>1239</v>
      </c>
      <c r="M1831" t="s">
        <v>760</v>
      </c>
      <c r="N1831">
        <v>54956</v>
      </c>
      <c r="O1831" t="s">
        <v>1243</v>
      </c>
      <c r="P1831">
        <v>1640</v>
      </c>
      <c r="Q1831" t="s">
        <v>6</v>
      </c>
      <c r="R1831">
        <v>415387</v>
      </c>
      <c r="S1831" t="s">
        <v>2451</v>
      </c>
      <c r="T1831" s="2">
        <v>57</v>
      </c>
      <c r="U1831">
        <v>0</v>
      </c>
      <c r="V1831" t="s">
        <v>260</v>
      </c>
      <c r="W1831">
        <v>0</v>
      </c>
      <c r="X1831">
        <v>0</v>
      </c>
      <c r="Y1831">
        <v>0</v>
      </c>
      <c r="Z1831" t="s">
        <v>88</v>
      </c>
      <c r="AA1831" t="s">
        <v>2683</v>
      </c>
      <c r="AB1831" t="s">
        <v>10</v>
      </c>
      <c r="AC1831">
        <v>0</v>
      </c>
      <c r="AD1831">
        <v>0</v>
      </c>
      <c r="AE1831">
        <v>9442820424</v>
      </c>
      <c r="AF1831">
        <v>26096.37</v>
      </c>
      <c r="AG1831">
        <v>0</v>
      </c>
      <c r="AH1831">
        <v>0</v>
      </c>
      <c r="AI1831">
        <v>26096.37</v>
      </c>
      <c r="AJ1831" t="s">
        <v>2</v>
      </c>
      <c r="AK1831" t="s">
        <v>11</v>
      </c>
    </row>
    <row r="1832" spans="1:37">
      <c r="A1832">
        <v>257862</v>
      </c>
      <c r="B1832" s="1">
        <v>45366</v>
      </c>
      <c r="C1832" t="s">
        <v>1237</v>
      </c>
      <c r="D1832" t="s">
        <v>1238</v>
      </c>
      <c r="E1832" t="s">
        <v>2</v>
      </c>
      <c r="F1832" t="s">
        <v>1239</v>
      </c>
      <c r="G1832" t="s">
        <v>760</v>
      </c>
      <c r="H1832">
        <v>54956</v>
      </c>
      <c r="I1832" t="s">
        <v>1485</v>
      </c>
      <c r="J1832" t="s">
        <v>1486</v>
      </c>
      <c r="K1832" t="s">
        <v>2</v>
      </c>
      <c r="L1832" t="s">
        <v>1239</v>
      </c>
      <c r="M1832" t="s">
        <v>760</v>
      </c>
      <c r="N1832">
        <v>54956</v>
      </c>
      <c r="O1832" t="s">
        <v>1243</v>
      </c>
      <c r="P1832">
        <v>1640</v>
      </c>
      <c r="Q1832" t="s">
        <v>6</v>
      </c>
      <c r="R1832">
        <v>415387</v>
      </c>
      <c r="S1832" t="s">
        <v>2451</v>
      </c>
      <c r="T1832" s="2">
        <v>57</v>
      </c>
      <c r="U1832">
        <v>0</v>
      </c>
      <c r="V1832" t="s">
        <v>260</v>
      </c>
      <c r="W1832">
        <v>1</v>
      </c>
      <c r="X1832">
        <v>1</v>
      </c>
      <c r="Y1832">
        <v>0</v>
      </c>
      <c r="Z1832" t="s">
        <v>2684</v>
      </c>
      <c r="AA1832" t="s">
        <v>2685</v>
      </c>
      <c r="AB1832" t="s">
        <v>14</v>
      </c>
      <c r="AC1832">
        <v>229.96350000000001</v>
      </c>
      <c r="AD1832">
        <v>229.96</v>
      </c>
      <c r="AE1832">
        <v>9442820424</v>
      </c>
      <c r="AF1832">
        <v>26096.37</v>
      </c>
      <c r="AG1832">
        <v>0</v>
      </c>
      <c r="AH1832">
        <v>0</v>
      </c>
      <c r="AI1832">
        <v>26096.37</v>
      </c>
      <c r="AJ1832" t="s">
        <v>2</v>
      </c>
      <c r="AK1832" t="s">
        <v>11</v>
      </c>
    </row>
    <row r="1833" spans="1:37">
      <c r="A1833">
        <v>257862</v>
      </c>
      <c r="B1833" s="1">
        <v>45366</v>
      </c>
      <c r="C1833" t="s">
        <v>1237</v>
      </c>
      <c r="D1833" t="s">
        <v>1238</v>
      </c>
      <c r="E1833" t="s">
        <v>2</v>
      </c>
      <c r="F1833" t="s">
        <v>1239</v>
      </c>
      <c r="G1833" t="s">
        <v>760</v>
      </c>
      <c r="H1833">
        <v>54956</v>
      </c>
      <c r="I1833" t="s">
        <v>1485</v>
      </c>
      <c r="J1833" t="s">
        <v>1486</v>
      </c>
      <c r="K1833" t="s">
        <v>2</v>
      </c>
      <c r="L1833" t="s">
        <v>1239</v>
      </c>
      <c r="M1833" t="s">
        <v>760</v>
      </c>
      <c r="N1833">
        <v>54956</v>
      </c>
      <c r="O1833" t="s">
        <v>1243</v>
      </c>
      <c r="P1833">
        <v>1640</v>
      </c>
      <c r="Q1833" t="s">
        <v>6</v>
      </c>
      <c r="R1833">
        <v>415387</v>
      </c>
      <c r="S1833" t="s">
        <v>2451</v>
      </c>
      <c r="T1833" s="2">
        <v>57</v>
      </c>
      <c r="U1833">
        <v>0</v>
      </c>
      <c r="V1833" t="s">
        <v>260</v>
      </c>
      <c r="W1833">
        <v>0</v>
      </c>
      <c r="X1833">
        <v>0</v>
      </c>
      <c r="Y1833">
        <v>0</v>
      </c>
      <c r="Z1833" t="s">
        <v>88</v>
      </c>
      <c r="AA1833" t="s">
        <v>89</v>
      </c>
      <c r="AB1833" t="s">
        <v>10</v>
      </c>
      <c r="AC1833">
        <v>0</v>
      </c>
      <c r="AD1833">
        <v>0</v>
      </c>
      <c r="AE1833">
        <v>9442820424</v>
      </c>
      <c r="AF1833">
        <v>26096.37</v>
      </c>
      <c r="AG1833">
        <v>0</v>
      </c>
      <c r="AH1833">
        <v>0</v>
      </c>
      <c r="AI1833">
        <v>26096.37</v>
      </c>
      <c r="AJ1833" t="s">
        <v>2</v>
      </c>
      <c r="AK1833" t="s">
        <v>11</v>
      </c>
    </row>
    <row r="1834" spans="1:37">
      <c r="A1834">
        <v>257862</v>
      </c>
      <c r="B1834" s="1">
        <v>45366</v>
      </c>
      <c r="C1834" t="s">
        <v>1237</v>
      </c>
      <c r="D1834" t="s">
        <v>1238</v>
      </c>
      <c r="E1834" t="s">
        <v>2</v>
      </c>
      <c r="F1834" t="s">
        <v>1239</v>
      </c>
      <c r="G1834" t="s">
        <v>760</v>
      </c>
      <c r="H1834">
        <v>54956</v>
      </c>
      <c r="I1834" t="s">
        <v>1485</v>
      </c>
      <c r="J1834" t="s">
        <v>1486</v>
      </c>
      <c r="K1834" t="s">
        <v>2</v>
      </c>
      <c r="L1834" t="s">
        <v>1239</v>
      </c>
      <c r="M1834" t="s">
        <v>760</v>
      </c>
      <c r="N1834">
        <v>54956</v>
      </c>
      <c r="O1834" t="s">
        <v>1243</v>
      </c>
      <c r="P1834">
        <v>1640</v>
      </c>
      <c r="Q1834" t="s">
        <v>6</v>
      </c>
      <c r="R1834">
        <v>415387</v>
      </c>
      <c r="S1834" t="s">
        <v>2451</v>
      </c>
      <c r="T1834" s="2">
        <v>57</v>
      </c>
      <c r="U1834">
        <v>0</v>
      </c>
      <c r="V1834" t="s">
        <v>260</v>
      </c>
      <c r="W1834">
        <v>1</v>
      </c>
      <c r="X1834">
        <v>1</v>
      </c>
      <c r="Y1834">
        <v>0</v>
      </c>
      <c r="Z1834" t="s">
        <v>2622</v>
      </c>
      <c r="AA1834" t="s">
        <v>2623</v>
      </c>
      <c r="AB1834" t="s">
        <v>14</v>
      </c>
      <c r="AC1834">
        <v>95.493099999999998</v>
      </c>
      <c r="AD1834">
        <v>95.49</v>
      </c>
      <c r="AE1834">
        <v>9442820424</v>
      </c>
      <c r="AF1834">
        <v>26096.37</v>
      </c>
      <c r="AG1834">
        <v>0</v>
      </c>
      <c r="AH1834">
        <v>0</v>
      </c>
      <c r="AI1834">
        <v>26096.37</v>
      </c>
      <c r="AJ1834" t="s">
        <v>2</v>
      </c>
      <c r="AK1834" t="s">
        <v>11</v>
      </c>
    </row>
    <row r="1835" spans="1:37">
      <c r="A1835">
        <v>257862</v>
      </c>
      <c r="B1835" s="1">
        <v>45366</v>
      </c>
      <c r="C1835" t="s">
        <v>1237</v>
      </c>
      <c r="D1835" t="s">
        <v>1238</v>
      </c>
      <c r="E1835" t="s">
        <v>2</v>
      </c>
      <c r="F1835" t="s">
        <v>1239</v>
      </c>
      <c r="G1835" t="s">
        <v>760</v>
      </c>
      <c r="H1835">
        <v>54956</v>
      </c>
      <c r="I1835" t="s">
        <v>1485</v>
      </c>
      <c r="J1835" t="s">
        <v>1486</v>
      </c>
      <c r="K1835" t="s">
        <v>2</v>
      </c>
      <c r="L1835" t="s">
        <v>1239</v>
      </c>
      <c r="M1835" t="s">
        <v>760</v>
      </c>
      <c r="N1835">
        <v>54956</v>
      </c>
      <c r="O1835" t="s">
        <v>1243</v>
      </c>
      <c r="P1835">
        <v>1640</v>
      </c>
      <c r="Q1835" t="s">
        <v>6</v>
      </c>
      <c r="R1835">
        <v>415387</v>
      </c>
      <c r="S1835" t="s">
        <v>2451</v>
      </c>
      <c r="T1835" s="2">
        <v>57</v>
      </c>
      <c r="U1835">
        <v>0</v>
      </c>
      <c r="V1835" t="s">
        <v>260</v>
      </c>
      <c r="W1835">
        <v>0</v>
      </c>
      <c r="X1835">
        <v>0</v>
      </c>
      <c r="Y1835">
        <v>0</v>
      </c>
      <c r="Z1835" t="s">
        <v>88</v>
      </c>
      <c r="AA1835" t="s">
        <v>1041</v>
      </c>
      <c r="AB1835" t="s">
        <v>10</v>
      </c>
      <c r="AC1835">
        <v>0</v>
      </c>
      <c r="AD1835">
        <v>0</v>
      </c>
      <c r="AE1835">
        <v>9442820424</v>
      </c>
      <c r="AF1835">
        <v>26096.37</v>
      </c>
      <c r="AG1835">
        <v>0</v>
      </c>
      <c r="AH1835">
        <v>0</v>
      </c>
      <c r="AI1835">
        <v>26096.37</v>
      </c>
      <c r="AJ1835" t="s">
        <v>2</v>
      </c>
      <c r="AK1835" t="s">
        <v>11</v>
      </c>
    </row>
    <row r="1836" spans="1:37">
      <c r="A1836">
        <v>257862</v>
      </c>
      <c r="B1836" s="1">
        <v>45366</v>
      </c>
      <c r="C1836" t="s">
        <v>1237</v>
      </c>
      <c r="D1836" t="s">
        <v>1238</v>
      </c>
      <c r="E1836" t="s">
        <v>2</v>
      </c>
      <c r="F1836" t="s">
        <v>1239</v>
      </c>
      <c r="G1836" t="s">
        <v>760</v>
      </c>
      <c r="H1836">
        <v>54956</v>
      </c>
      <c r="I1836" t="s">
        <v>1485</v>
      </c>
      <c r="J1836" t="s">
        <v>1486</v>
      </c>
      <c r="K1836" t="s">
        <v>2</v>
      </c>
      <c r="L1836" t="s">
        <v>1239</v>
      </c>
      <c r="M1836" t="s">
        <v>760</v>
      </c>
      <c r="N1836">
        <v>54956</v>
      </c>
      <c r="O1836" t="s">
        <v>1243</v>
      </c>
      <c r="P1836">
        <v>1640</v>
      </c>
      <c r="Q1836" t="s">
        <v>6</v>
      </c>
      <c r="R1836">
        <v>415387</v>
      </c>
      <c r="S1836" t="s">
        <v>2451</v>
      </c>
      <c r="T1836" s="2">
        <v>57</v>
      </c>
      <c r="U1836">
        <v>0</v>
      </c>
      <c r="V1836" t="s">
        <v>260</v>
      </c>
      <c r="W1836">
        <v>1</v>
      </c>
      <c r="X1836">
        <v>1</v>
      </c>
      <c r="Y1836">
        <v>0</v>
      </c>
      <c r="Z1836" t="s">
        <v>672</v>
      </c>
      <c r="AA1836" t="s">
        <v>673</v>
      </c>
      <c r="AB1836" t="s">
        <v>14</v>
      </c>
      <c r="AC1836">
        <v>147.62299999999999</v>
      </c>
      <c r="AD1836">
        <v>147.62</v>
      </c>
      <c r="AE1836">
        <v>9442820424</v>
      </c>
      <c r="AF1836">
        <v>26096.37</v>
      </c>
      <c r="AG1836">
        <v>0</v>
      </c>
      <c r="AH1836">
        <v>0</v>
      </c>
      <c r="AI1836">
        <v>26096.37</v>
      </c>
      <c r="AJ1836" t="s">
        <v>2</v>
      </c>
      <c r="AK1836" t="s">
        <v>11</v>
      </c>
    </row>
    <row r="1837" spans="1:37">
      <c r="A1837">
        <v>257862</v>
      </c>
      <c r="B1837" s="1">
        <v>45366</v>
      </c>
      <c r="C1837" t="s">
        <v>1237</v>
      </c>
      <c r="D1837" t="s">
        <v>1238</v>
      </c>
      <c r="E1837" t="s">
        <v>2</v>
      </c>
      <c r="F1837" t="s">
        <v>1239</v>
      </c>
      <c r="G1837" t="s">
        <v>760</v>
      </c>
      <c r="H1837">
        <v>54956</v>
      </c>
      <c r="I1837" t="s">
        <v>1485</v>
      </c>
      <c r="J1837" t="s">
        <v>1486</v>
      </c>
      <c r="K1837" t="s">
        <v>2</v>
      </c>
      <c r="L1837" t="s">
        <v>1239</v>
      </c>
      <c r="M1837" t="s">
        <v>760</v>
      </c>
      <c r="N1837">
        <v>54956</v>
      </c>
      <c r="O1837" t="s">
        <v>1243</v>
      </c>
      <c r="P1837">
        <v>1640</v>
      </c>
      <c r="Q1837" t="s">
        <v>6</v>
      </c>
      <c r="R1837">
        <v>415387</v>
      </c>
      <c r="S1837" t="s">
        <v>2451</v>
      </c>
      <c r="T1837" s="2">
        <v>57</v>
      </c>
      <c r="U1837">
        <v>0</v>
      </c>
      <c r="V1837" t="s">
        <v>260</v>
      </c>
      <c r="W1837">
        <v>0</v>
      </c>
      <c r="X1837">
        <v>0</v>
      </c>
      <c r="Y1837">
        <v>0</v>
      </c>
      <c r="Z1837" t="s">
        <v>88</v>
      </c>
      <c r="AA1837" t="s">
        <v>674</v>
      </c>
      <c r="AB1837" t="s">
        <v>10</v>
      </c>
      <c r="AC1837">
        <v>0</v>
      </c>
      <c r="AD1837">
        <v>0</v>
      </c>
      <c r="AE1837">
        <v>9442820424</v>
      </c>
      <c r="AF1837">
        <v>26096.37</v>
      </c>
      <c r="AG1837">
        <v>0</v>
      </c>
      <c r="AH1837">
        <v>0</v>
      </c>
      <c r="AI1837">
        <v>26096.37</v>
      </c>
      <c r="AJ1837" t="s">
        <v>2</v>
      </c>
      <c r="AK1837" t="s">
        <v>11</v>
      </c>
    </row>
    <row r="1838" spans="1:37">
      <c r="A1838">
        <v>257862</v>
      </c>
      <c r="B1838" s="1">
        <v>45366</v>
      </c>
      <c r="C1838" t="s">
        <v>1237</v>
      </c>
      <c r="D1838" t="s">
        <v>1238</v>
      </c>
      <c r="E1838" t="s">
        <v>2</v>
      </c>
      <c r="F1838" t="s">
        <v>1239</v>
      </c>
      <c r="G1838" t="s">
        <v>760</v>
      </c>
      <c r="H1838">
        <v>54956</v>
      </c>
      <c r="I1838" t="s">
        <v>1485</v>
      </c>
      <c r="J1838" t="s">
        <v>1486</v>
      </c>
      <c r="K1838" t="s">
        <v>2</v>
      </c>
      <c r="L1838" t="s">
        <v>1239</v>
      </c>
      <c r="M1838" t="s">
        <v>760</v>
      </c>
      <c r="N1838">
        <v>54956</v>
      </c>
      <c r="O1838" t="s">
        <v>1243</v>
      </c>
      <c r="P1838">
        <v>1640</v>
      </c>
      <c r="Q1838" t="s">
        <v>6</v>
      </c>
      <c r="R1838">
        <v>415387</v>
      </c>
      <c r="S1838" t="s">
        <v>2451</v>
      </c>
      <c r="T1838" s="2">
        <v>57</v>
      </c>
      <c r="U1838">
        <v>0</v>
      </c>
      <c r="V1838" t="s">
        <v>260</v>
      </c>
      <c r="W1838">
        <v>1</v>
      </c>
      <c r="X1838">
        <v>1</v>
      </c>
      <c r="Y1838">
        <v>0</v>
      </c>
      <c r="Z1838" t="s">
        <v>1600</v>
      </c>
      <c r="AA1838" t="s">
        <v>1601</v>
      </c>
      <c r="AB1838" t="s">
        <v>14</v>
      </c>
      <c r="AC1838">
        <v>139.4803</v>
      </c>
      <c r="AD1838">
        <v>139.47999999999999</v>
      </c>
      <c r="AE1838">
        <v>9442820424</v>
      </c>
      <c r="AF1838">
        <v>26096.37</v>
      </c>
      <c r="AG1838">
        <v>0</v>
      </c>
      <c r="AH1838">
        <v>0</v>
      </c>
      <c r="AI1838">
        <v>26096.37</v>
      </c>
      <c r="AJ1838" t="s">
        <v>2</v>
      </c>
      <c r="AK1838" t="s">
        <v>11</v>
      </c>
    </row>
    <row r="1839" spans="1:37">
      <c r="A1839">
        <v>257862</v>
      </c>
      <c r="B1839" s="1">
        <v>45366</v>
      </c>
      <c r="C1839" t="s">
        <v>1237</v>
      </c>
      <c r="D1839" t="s">
        <v>1238</v>
      </c>
      <c r="E1839" t="s">
        <v>2</v>
      </c>
      <c r="F1839" t="s">
        <v>1239</v>
      </c>
      <c r="G1839" t="s">
        <v>760</v>
      </c>
      <c r="H1839">
        <v>54956</v>
      </c>
      <c r="I1839" t="s">
        <v>1485</v>
      </c>
      <c r="J1839" t="s">
        <v>1486</v>
      </c>
      <c r="K1839" t="s">
        <v>2</v>
      </c>
      <c r="L1839" t="s">
        <v>1239</v>
      </c>
      <c r="M1839" t="s">
        <v>760</v>
      </c>
      <c r="N1839">
        <v>54956</v>
      </c>
      <c r="O1839" t="s">
        <v>1243</v>
      </c>
      <c r="P1839">
        <v>1640</v>
      </c>
      <c r="Q1839" t="s">
        <v>6</v>
      </c>
      <c r="R1839">
        <v>415387</v>
      </c>
      <c r="S1839" t="s">
        <v>2451</v>
      </c>
      <c r="T1839" s="2">
        <v>57</v>
      </c>
      <c r="U1839">
        <v>0</v>
      </c>
      <c r="V1839" t="s">
        <v>260</v>
      </c>
      <c r="W1839">
        <v>0</v>
      </c>
      <c r="X1839">
        <v>0</v>
      </c>
      <c r="Y1839">
        <v>0</v>
      </c>
      <c r="Z1839" t="s">
        <v>88</v>
      </c>
      <c r="AA1839" t="s">
        <v>717</v>
      </c>
      <c r="AB1839" t="s">
        <v>10</v>
      </c>
      <c r="AC1839">
        <v>0</v>
      </c>
      <c r="AD1839">
        <v>0</v>
      </c>
      <c r="AE1839">
        <v>9442820424</v>
      </c>
      <c r="AF1839">
        <v>26096.37</v>
      </c>
      <c r="AG1839">
        <v>0</v>
      </c>
      <c r="AH1839">
        <v>0</v>
      </c>
      <c r="AI1839">
        <v>26096.37</v>
      </c>
      <c r="AJ1839" t="s">
        <v>2</v>
      </c>
      <c r="AK1839" t="s">
        <v>11</v>
      </c>
    </row>
    <row r="1840" spans="1:37">
      <c r="A1840">
        <v>257862</v>
      </c>
      <c r="B1840" s="1">
        <v>45366</v>
      </c>
      <c r="C1840" t="s">
        <v>1237</v>
      </c>
      <c r="D1840" t="s">
        <v>1238</v>
      </c>
      <c r="E1840" t="s">
        <v>2</v>
      </c>
      <c r="F1840" t="s">
        <v>1239</v>
      </c>
      <c r="G1840" t="s">
        <v>760</v>
      </c>
      <c r="H1840">
        <v>54956</v>
      </c>
      <c r="I1840" t="s">
        <v>1485</v>
      </c>
      <c r="J1840" t="s">
        <v>1486</v>
      </c>
      <c r="K1840" t="s">
        <v>2</v>
      </c>
      <c r="L1840" t="s">
        <v>1239</v>
      </c>
      <c r="M1840" t="s">
        <v>760</v>
      </c>
      <c r="N1840">
        <v>54956</v>
      </c>
      <c r="O1840" t="s">
        <v>1243</v>
      </c>
      <c r="P1840">
        <v>1640</v>
      </c>
      <c r="Q1840" t="s">
        <v>6</v>
      </c>
      <c r="R1840">
        <v>415387</v>
      </c>
      <c r="S1840" t="s">
        <v>2451</v>
      </c>
      <c r="T1840" s="2">
        <v>57</v>
      </c>
      <c r="U1840">
        <v>0</v>
      </c>
      <c r="V1840" t="s">
        <v>260</v>
      </c>
      <c r="W1840">
        <v>1</v>
      </c>
      <c r="X1840">
        <v>1</v>
      </c>
      <c r="Y1840">
        <v>0</v>
      </c>
      <c r="Z1840" t="s">
        <v>1020</v>
      </c>
      <c r="AA1840" t="s">
        <v>716</v>
      </c>
      <c r="AB1840" t="s">
        <v>14</v>
      </c>
      <c r="AC1840">
        <v>125.7694</v>
      </c>
      <c r="AD1840">
        <v>125.77</v>
      </c>
      <c r="AE1840">
        <v>9442820424</v>
      </c>
      <c r="AF1840">
        <v>26096.37</v>
      </c>
      <c r="AG1840">
        <v>0</v>
      </c>
      <c r="AH1840">
        <v>0</v>
      </c>
      <c r="AI1840">
        <v>26096.37</v>
      </c>
      <c r="AJ1840" t="s">
        <v>2</v>
      </c>
      <c r="AK1840" t="s">
        <v>11</v>
      </c>
    </row>
    <row r="1841" spans="1:37">
      <c r="A1841">
        <v>257862</v>
      </c>
      <c r="B1841" s="1">
        <v>45366</v>
      </c>
      <c r="C1841" t="s">
        <v>1237</v>
      </c>
      <c r="D1841" t="s">
        <v>1238</v>
      </c>
      <c r="E1841" t="s">
        <v>2</v>
      </c>
      <c r="F1841" t="s">
        <v>1239</v>
      </c>
      <c r="G1841" t="s">
        <v>760</v>
      </c>
      <c r="H1841">
        <v>54956</v>
      </c>
      <c r="I1841" t="s">
        <v>1485</v>
      </c>
      <c r="J1841" t="s">
        <v>1486</v>
      </c>
      <c r="K1841" t="s">
        <v>2</v>
      </c>
      <c r="L1841" t="s">
        <v>1239</v>
      </c>
      <c r="M1841" t="s">
        <v>760</v>
      </c>
      <c r="N1841">
        <v>54956</v>
      </c>
      <c r="O1841" t="s">
        <v>1243</v>
      </c>
      <c r="P1841">
        <v>1640</v>
      </c>
      <c r="Q1841" t="s">
        <v>6</v>
      </c>
      <c r="R1841">
        <v>415387</v>
      </c>
      <c r="S1841" t="s">
        <v>2451</v>
      </c>
      <c r="T1841" s="2">
        <v>57</v>
      </c>
      <c r="U1841">
        <v>0</v>
      </c>
      <c r="V1841" t="s">
        <v>260</v>
      </c>
      <c r="W1841">
        <v>0</v>
      </c>
      <c r="X1841">
        <v>0</v>
      </c>
      <c r="Y1841">
        <v>0</v>
      </c>
      <c r="Z1841" t="s">
        <v>88</v>
      </c>
      <c r="AA1841" t="s">
        <v>1021</v>
      </c>
      <c r="AB1841" t="s">
        <v>10</v>
      </c>
      <c r="AC1841">
        <v>0</v>
      </c>
      <c r="AD1841">
        <v>0</v>
      </c>
      <c r="AE1841">
        <v>9442820424</v>
      </c>
      <c r="AF1841">
        <v>26096.37</v>
      </c>
      <c r="AG1841">
        <v>0</v>
      </c>
      <c r="AH1841">
        <v>0</v>
      </c>
      <c r="AI1841">
        <v>26096.37</v>
      </c>
      <c r="AJ1841" t="s">
        <v>2</v>
      </c>
      <c r="AK1841" t="s">
        <v>11</v>
      </c>
    </row>
    <row r="1842" spans="1:37">
      <c r="A1842">
        <v>257862</v>
      </c>
      <c r="B1842" s="1">
        <v>45366</v>
      </c>
      <c r="C1842" t="s">
        <v>1237</v>
      </c>
      <c r="D1842" t="s">
        <v>1238</v>
      </c>
      <c r="E1842" t="s">
        <v>2</v>
      </c>
      <c r="F1842" t="s">
        <v>1239</v>
      </c>
      <c r="G1842" t="s">
        <v>760</v>
      </c>
      <c r="H1842">
        <v>54956</v>
      </c>
      <c r="I1842" t="s">
        <v>1485</v>
      </c>
      <c r="J1842" t="s">
        <v>1486</v>
      </c>
      <c r="K1842" t="s">
        <v>2</v>
      </c>
      <c r="L1842" t="s">
        <v>1239</v>
      </c>
      <c r="M1842" t="s">
        <v>760</v>
      </c>
      <c r="N1842">
        <v>54956</v>
      </c>
      <c r="O1842" t="s">
        <v>1243</v>
      </c>
      <c r="P1842">
        <v>1640</v>
      </c>
      <c r="Q1842" t="s">
        <v>6</v>
      </c>
      <c r="R1842">
        <v>415387</v>
      </c>
      <c r="S1842" t="s">
        <v>2451</v>
      </c>
      <c r="T1842" s="2">
        <v>57</v>
      </c>
      <c r="U1842">
        <v>0</v>
      </c>
      <c r="V1842" t="s">
        <v>260</v>
      </c>
      <c r="W1842">
        <v>1</v>
      </c>
      <c r="X1842">
        <v>1</v>
      </c>
      <c r="Y1842">
        <v>0</v>
      </c>
      <c r="Z1842" t="s">
        <v>1581</v>
      </c>
      <c r="AA1842" t="s">
        <v>1582</v>
      </c>
      <c r="AB1842" t="s">
        <v>14</v>
      </c>
      <c r="AC1842">
        <v>248.4939</v>
      </c>
      <c r="AD1842">
        <v>248.49</v>
      </c>
      <c r="AE1842">
        <v>9442820424</v>
      </c>
      <c r="AF1842">
        <v>26096.37</v>
      </c>
      <c r="AG1842">
        <v>0</v>
      </c>
      <c r="AH1842">
        <v>0</v>
      </c>
      <c r="AI1842">
        <v>26096.37</v>
      </c>
      <c r="AJ1842" t="s">
        <v>2</v>
      </c>
      <c r="AK1842" t="s">
        <v>11</v>
      </c>
    </row>
    <row r="1843" spans="1:37">
      <c r="A1843">
        <v>257862</v>
      </c>
      <c r="B1843" s="1">
        <v>45366</v>
      </c>
      <c r="C1843" t="s">
        <v>1237</v>
      </c>
      <c r="D1843" t="s">
        <v>1238</v>
      </c>
      <c r="E1843" t="s">
        <v>2</v>
      </c>
      <c r="F1843" t="s">
        <v>1239</v>
      </c>
      <c r="G1843" t="s">
        <v>760</v>
      </c>
      <c r="H1843">
        <v>54956</v>
      </c>
      <c r="I1843" t="s">
        <v>1485</v>
      </c>
      <c r="J1843" t="s">
        <v>1486</v>
      </c>
      <c r="K1843" t="s">
        <v>2</v>
      </c>
      <c r="L1843" t="s">
        <v>1239</v>
      </c>
      <c r="M1843" t="s">
        <v>760</v>
      </c>
      <c r="N1843">
        <v>54956</v>
      </c>
      <c r="O1843" t="s">
        <v>1243</v>
      </c>
      <c r="P1843">
        <v>1640</v>
      </c>
      <c r="Q1843" t="s">
        <v>6</v>
      </c>
      <c r="R1843">
        <v>415387</v>
      </c>
      <c r="S1843" t="s">
        <v>2451</v>
      </c>
      <c r="T1843" s="2">
        <v>57</v>
      </c>
      <c r="U1843">
        <v>0</v>
      </c>
      <c r="V1843" t="s">
        <v>260</v>
      </c>
      <c r="W1843">
        <v>0</v>
      </c>
      <c r="X1843">
        <v>0</v>
      </c>
      <c r="Y1843">
        <v>0</v>
      </c>
      <c r="Z1843" t="s">
        <v>88</v>
      </c>
      <c r="AA1843" t="s">
        <v>116</v>
      </c>
      <c r="AB1843" t="s">
        <v>10</v>
      </c>
      <c r="AC1843">
        <v>0</v>
      </c>
      <c r="AD1843">
        <v>0</v>
      </c>
      <c r="AE1843">
        <v>9442820424</v>
      </c>
      <c r="AF1843">
        <v>26096.37</v>
      </c>
      <c r="AG1843">
        <v>0</v>
      </c>
      <c r="AH1843">
        <v>0</v>
      </c>
      <c r="AI1843">
        <v>26096.37</v>
      </c>
      <c r="AJ1843" t="s">
        <v>2</v>
      </c>
      <c r="AK1843" t="s">
        <v>11</v>
      </c>
    </row>
    <row r="1844" spans="1:37">
      <c r="A1844">
        <v>257862</v>
      </c>
      <c r="B1844" s="1">
        <v>45366</v>
      </c>
      <c r="C1844" t="s">
        <v>1237</v>
      </c>
      <c r="D1844" t="s">
        <v>1238</v>
      </c>
      <c r="E1844" t="s">
        <v>2</v>
      </c>
      <c r="F1844" t="s">
        <v>1239</v>
      </c>
      <c r="G1844" t="s">
        <v>760</v>
      </c>
      <c r="H1844">
        <v>54956</v>
      </c>
      <c r="I1844" t="s">
        <v>1485</v>
      </c>
      <c r="J1844" t="s">
        <v>1486</v>
      </c>
      <c r="K1844" t="s">
        <v>2</v>
      </c>
      <c r="L1844" t="s">
        <v>1239</v>
      </c>
      <c r="M1844" t="s">
        <v>760</v>
      </c>
      <c r="N1844">
        <v>54956</v>
      </c>
      <c r="O1844" t="s">
        <v>1243</v>
      </c>
      <c r="P1844">
        <v>1640</v>
      </c>
      <c r="Q1844" t="s">
        <v>6</v>
      </c>
      <c r="R1844">
        <v>415387</v>
      </c>
      <c r="S1844" t="s">
        <v>2451</v>
      </c>
      <c r="T1844" s="2">
        <v>57</v>
      </c>
      <c r="U1844">
        <v>0</v>
      </c>
      <c r="V1844" t="s">
        <v>260</v>
      </c>
      <c r="W1844">
        <v>1</v>
      </c>
      <c r="X1844">
        <v>1</v>
      </c>
      <c r="Y1844">
        <v>0</v>
      </c>
      <c r="Z1844" t="s">
        <v>715</v>
      </c>
      <c r="AA1844" t="s">
        <v>716</v>
      </c>
      <c r="AB1844" t="s">
        <v>14</v>
      </c>
      <c r="AC1844">
        <v>111.5843</v>
      </c>
      <c r="AD1844">
        <v>111.58</v>
      </c>
      <c r="AE1844">
        <v>9442820424</v>
      </c>
      <c r="AF1844">
        <v>26096.37</v>
      </c>
      <c r="AG1844">
        <v>0</v>
      </c>
      <c r="AH1844">
        <v>0</v>
      </c>
      <c r="AI1844">
        <v>26096.37</v>
      </c>
      <c r="AJ1844" t="s">
        <v>2</v>
      </c>
      <c r="AK1844" t="s">
        <v>11</v>
      </c>
    </row>
    <row r="1845" spans="1:37">
      <c r="A1845">
        <v>257862</v>
      </c>
      <c r="B1845" s="1">
        <v>45366</v>
      </c>
      <c r="C1845" t="s">
        <v>1237</v>
      </c>
      <c r="D1845" t="s">
        <v>1238</v>
      </c>
      <c r="E1845" t="s">
        <v>2</v>
      </c>
      <c r="F1845" t="s">
        <v>1239</v>
      </c>
      <c r="G1845" t="s">
        <v>760</v>
      </c>
      <c r="H1845">
        <v>54956</v>
      </c>
      <c r="I1845" t="s">
        <v>1485</v>
      </c>
      <c r="J1845" t="s">
        <v>1486</v>
      </c>
      <c r="K1845" t="s">
        <v>2</v>
      </c>
      <c r="L1845" t="s">
        <v>1239</v>
      </c>
      <c r="M1845" t="s">
        <v>760</v>
      </c>
      <c r="N1845">
        <v>54956</v>
      </c>
      <c r="O1845" t="s">
        <v>1243</v>
      </c>
      <c r="P1845">
        <v>1640</v>
      </c>
      <c r="Q1845" t="s">
        <v>6</v>
      </c>
      <c r="R1845">
        <v>415387</v>
      </c>
      <c r="S1845" t="s">
        <v>2451</v>
      </c>
      <c r="T1845" s="2">
        <v>57</v>
      </c>
      <c r="U1845">
        <v>0</v>
      </c>
      <c r="V1845" t="s">
        <v>260</v>
      </c>
      <c r="W1845">
        <v>0</v>
      </c>
      <c r="X1845">
        <v>0</v>
      </c>
      <c r="Y1845">
        <v>0</v>
      </c>
      <c r="Z1845" t="s">
        <v>88</v>
      </c>
      <c r="AA1845" t="s">
        <v>717</v>
      </c>
      <c r="AB1845" t="s">
        <v>10</v>
      </c>
      <c r="AC1845">
        <v>0</v>
      </c>
      <c r="AD1845">
        <v>0</v>
      </c>
      <c r="AE1845">
        <v>9442820424</v>
      </c>
      <c r="AF1845">
        <v>26096.37</v>
      </c>
      <c r="AG1845">
        <v>0</v>
      </c>
      <c r="AH1845">
        <v>0</v>
      </c>
      <c r="AI1845">
        <v>26096.37</v>
      </c>
      <c r="AJ1845" t="s">
        <v>2</v>
      </c>
      <c r="AK1845" t="s">
        <v>11</v>
      </c>
    </row>
    <row r="1846" spans="1:37">
      <c r="A1846">
        <v>257862</v>
      </c>
      <c r="B1846" s="1">
        <v>45366</v>
      </c>
      <c r="C1846" t="s">
        <v>1237</v>
      </c>
      <c r="D1846" t="s">
        <v>1238</v>
      </c>
      <c r="E1846" t="s">
        <v>2</v>
      </c>
      <c r="F1846" t="s">
        <v>1239</v>
      </c>
      <c r="G1846" t="s">
        <v>760</v>
      </c>
      <c r="H1846">
        <v>54956</v>
      </c>
      <c r="I1846" t="s">
        <v>1485</v>
      </c>
      <c r="J1846" t="s">
        <v>1486</v>
      </c>
      <c r="K1846" t="s">
        <v>2</v>
      </c>
      <c r="L1846" t="s">
        <v>1239</v>
      </c>
      <c r="M1846" t="s">
        <v>760</v>
      </c>
      <c r="N1846">
        <v>54956</v>
      </c>
      <c r="O1846" t="s">
        <v>1243</v>
      </c>
      <c r="P1846">
        <v>1640</v>
      </c>
      <c r="Q1846" t="s">
        <v>6</v>
      </c>
      <c r="R1846">
        <v>415387</v>
      </c>
      <c r="S1846" t="s">
        <v>2451</v>
      </c>
      <c r="T1846" s="2">
        <v>57</v>
      </c>
      <c r="U1846">
        <v>0</v>
      </c>
      <c r="V1846" t="s">
        <v>260</v>
      </c>
      <c r="W1846">
        <v>3</v>
      </c>
      <c r="X1846">
        <v>3</v>
      </c>
      <c r="Y1846">
        <v>0</v>
      </c>
      <c r="Z1846" t="s">
        <v>2686</v>
      </c>
      <c r="AA1846" t="s">
        <v>2687</v>
      </c>
      <c r="AB1846" t="s">
        <v>14</v>
      </c>
      <c r="AC1846">
        <v>71.144999999999996</v>
      </c>
      <c r="AD1846">
        <v>213.44</v>
      </c>
      <c r="AE1846">
        <v>9442820424</v>
      </c>
      <c r="AF1846">
        <v>26096.37</v>
      </c>
      <c r="AG1846">
        <v>0</v>
      </c>
      <c r="AH1846">
        <v>0</v>
      </c>
      <c r="AI1846">
        <v>26096.37</v>
      </c>
      <c r="AJ1846" t="s">
        <v>2</v>
      </c>
      <c r="AK1846" t="s">
        <v>11</v>
      </c>
    </row>
    <row r="1847" spans="1:37">
      <c r="A1847">
        <v>257862</v>
      </c>
      <c r="B1847" s="1">
        <v>45366</v>
      </c>
      <c r="C1847" t="s">
        <v>1237</v>
      </c>
      <c r="D1847" t="s">
        <v>1238</v>
      </c>
      <c r="E1847" t="s">
        <v>2</v>
      </c>
      <c r="F1847" t="s">
        <v>1239</v>
      </c>
      <c r="G1847" t="s">
        <v>760</v>
      </c>
      <c r="H1847">
        <v>54956</v>
      </c>
      <c r="I1847" t="s">
        <v>1485</v>
      </c>
      <c r="J1847" t="s">
        <v>1486</v>
      </c>
      <c r="K1847" t="s">
        <v>2</v>
      </c>
      <c r="L1847" t="s">
        <v>1239</v>
      </c>
      <c r="M1847" t="s">
        <v>760</v>
      </c>
      <c r="N1847">
        <v>54956</v>
      </c>
      <c r="O1847" t="s">
        <v>1243</v>
      </c>
      <c r="P1847">
        <v>1640</v>
      </c>
      <c r="Q1847" t="s">
        <v>6</v>
      </c>
      <c r="R1847">
        <v>415387</v>
      </c>
      <c r="S1847" t="s">
        <v>2451</v>
      </c>
      <c r="T1847" s="2">
        <v>57</v>
      </c>
      <c r="U1847">
        <v>0</v>
      </c>
      <c r="V1847" t="s">
        <v>260</v>
      </c>
      <c r="W1847">
        <v>0</v>
      </c>
      <c r="X1847">
        <v>0</v>
      </c>
      <c r="Y1847">
        <v>0</v>
      </c>
      <c r="Z1847" t="s">
        <v>88</v>
      </c>
      <c r="AA1847" t="s">
        <v>2492</v>
      </c>
      <c r="AB1847" t="s">
        <v>10</v>
      </c>
      <c r="AC1847">
        <v>0</v>
      </c>
      <c r="AD1847">
        <v>0</v>
      </c>
      <c r="AE1847">
        <v>9442820424</v>
      </c>
      <c r="AF1847">
        <v>26096.37</v>
      </c>
      <c r="AG1847">
        <v>0</v>
      </c>
      <c r="AH1847">
        <v>0</v>
      </c>
      <c r="AI1847">
        <v>26096.37</v>
      </c>
      <c r="AJ1847" t="s">
        <v>2</v>
      </c>
      <c r="AK1847" t="s">
        <v>11</v>
      </c>
    </row>
    <row r="1848" spans="1:37">
      <c r="A1848">
        <v>257862</v>
      </c>
      <c r="B1848" s="1">
        <v>45366</v>
      </c>
      <c r="C1848" t="s">
        <v>1237</v>
      </c>
      <c r="D1848" t="s">
        <v>1238</v>
      </c>
      <c r="E1848" t="s">
        <v>2</v>
      </c>
      <c r="F1848" t="s">
        <v>1239</v>
      </c>
      <c r="G1848" t="s">
        <v>760</v>
      </c>
      <c r="H1848">
        <v>54956</v>
      </c>
      <c r="I1848" t="s">
        <v>1485</v>
      </c>
      <c r="J1848" t="s">
        <v>1486</v>
      </c>
      <c r="K1848" t="s">
        <v>2</v>
      </c>
      <c r="L1848" t="s">
        <v>1239</v>
      </c>
      <c r="M1848" t="s">
        <v>760</v>
      </c>
      <c r="N1848">
        <v>54956</v>
      </c>
      <c r="O1848" t="s">
        <v>1243</v>
      </c>
      <c r="P1848">
        <v>1640</v>
      </c>
      <c r="Q1848" t="s">
        <v>6</v>
      </c>
      <c r="R1848">
        <v>415387</v>
      </c>
      <c r="S1848" t="s">
        <v>2451</v>
      </c>
      <c r="T1848" s="2">
        <v>57</v>
      </c>
      <c r="U1848">
        <v>0</v>
      </c>
      <c r="V1848" t="s">
        <v>260</v>
      </c>
      <c r="W1848">
        <v>5</v>
      </c>
      <c r="X1848">
        <v>5</v>
      </c>
      <c r="Y1848">
        <v>0</v>
      </c>
      <c r="Z1848" t="s">
        <v>2688</v>
      </c>
      <c r="AA1848" t="s">
        <v>2689</v>
      </c>
      <c r="AB1848" t="s">
        <v>14</v>
      </c>
      <c r="AC1848">
        <v>203.34059999999999</v>
      </c>
      <c r="AD1848">
        <v>1016.7</v>
      </c>
      <c r="AE1848">
        <v>9442820424</v>
      </c>
      <c r="AF1848">
        <v>26096.37</v>
      </c>
      <c r="AG1848">
        <v>0</v>
      </c>
      <c r="AH1848">
        <v>0</v>
      </c>
      <c r="AI1848">
        <v>26096.37</v>
      </c>
      <c r="AJ1848" t="s">
        <v>2</v>
      </c>
      <c r="AK1848" t="s">
        <v>11</v>
      </c>
    </row>
    <row r="1849" spans="1:37">
      <c r="A1849">
        <v>257862</v>
      </c>
      <c r="B1849" s="1">
        <v>45366</v>
      </c>
      <c r="C1849" t="s">
        <v>1237</v>
      </c>
      <c r="D1849" t="s">
        <v>1238</v>
      </c>
      <c r="E1849" t="s">
        <v>2</v>
      </c>
      <c r="F1849" t="s">
        <v>1239</v>
      </c>
      <c r="G1849" t="s">
        <v>760</v>
      </c>
      <c r="H1849">
        <v>54956</v>
      </c>
      <c r="I1849" t="s">
        <v>1485</v>
      </c>
      <c r="J1849" t="s">
        <v>1486</v>
      </c>
      <c r="K1849" t="s">
        <v>2</v>
      </c>
      <c r="L1849" t="s">
        <v>1239</v>
      </c>
      <c r="M1849" t="s">
        <v>760</v>
      </c>
      <c r="N1849">
        <v>54956</v>
      </c>
      <c r="O1849" t="s">
        <v>1243</v>
      </c>
      <c r="P1849">
        <v>1640</v>
      </c>
      <c r="Q1849" t="s">
        <v>6</v>
      </c>
      <c r="R1849">
        <v>415387</v>
      </c>
      <c r="S1849" t="s">
        <v>2451</v>
      </c>
      <c r="T1849" s="2">
        <v>57</v>
      </c>
      <c r="U1849">
        <v>0</v>
      </c>
      <c r="V1849" t="s">
        <v>260</v>
      </c>
      <c r="W1849">
        <v>0</v>
      </c>
      <c r="X1849">
        <v>0</v>
      </c>
      <c r="Y1849">
        <v>0</v>
      </c>
      <c r="Z1849" t="s">
        <v>88</v>
      </c>
      <c r="AA1849" t="s">
        <v>144</v>
      </c>
      <c r="AB1849" t="s">
        <v>10</v>
      </c>
      <c r="AC1849">
        <v>0</v>
      </c>
      <c r="AD1849">
        <v>0</v>
      </c>
      <c r="AE1849">
        <v>9442820424</v>
      </c>
      <c r="AF1849">
        <v>26096.37</v>
      </c>
      <c r="AG1849">
        <v>0</v>
      </c>
      <c r="AH1849">
        <v>0</v>
      </c>
      <c r="AI1849">
        <v>26096.37</v>
      </c>
      <c r="AJ1849" t="s">
        <v>2</v>
      </c>
      <c r="AK1849" t="s">
        <v>11</v>
      </c>
    </row>
    <row r="1850" spans="1:37">
      <c r="A1850">
        <v>257862</v>
      </c>
      <c r="B1850" s="1">
        <v>45366</v>
      </c>
      <c r="C1850" t="s">
        <v>1237</v>
      </c>
      <c r="D1850" t="s">
        <v>1238</v>
      </c>
      <c r="E1850" t="s">
        <v>2</v>
      </c>
      <c r="F1850" t="s">
        <v>1239</v>
      </c>
      <c r="G1850" t="s">
        <v>760</v>
      </c>
      <c r="H1850">
        <v>54956</v>
      </c>
      <c r="I1850" t="s">
        <v>1485</v>
      </c>
      <c r="J1850" t="s">
        <v>1486</v>
      </c>
      <c r="K1850" t="s">
        <v>2</v>
      </c>
      <c r="L1850" t="s">
        <v>1239</v>
      </c>
      <c r="M1850" t="s">
        <v>760</v>
      </c>
      <c r="N1850">
        <v>54956</v>
      </c>
      <c r="O1850" t="s">
        <v>1243</v>
      </c>
      <c r="P1850">
        <v>1640</v>
      </c>
      <c r="Q1850" t="s">
        <v>6</v>
      </c>
      <c r="R1850">
        <v>415387</v>
      </c>
      <c r="S1850" t="s">
        <v>2451</v>
      </c>
      <c r="T1850" s="2">
        <v>57</v>
      </c>
      <c r="U1850">
        <v>0</v>
      </c>
      <c r="V1850" t="s">
        <v>260</v>
      </c>
      <c r="W1850">
        <v>1</v>
      </c>
      <c r="X1850">
        <v>1</v>
      </c>
      <c r="Y1850">
        <v>0</v>
      </c>
      <c r="Z1850" t="s">
        <v>726</v>
      </c>
      <c r="AA1850" t="s">
        <v>727</v>
      </c>
      <c r="AB1850" t="s">
        <v>14</v>
      </c>
      <c r="AC1850">
        <v>203.34059999999999</v>
      </c>
      <c r="AD1850">
        <v>203.34</v>
      </c>
      <c r="AE1850">
        <v>9442820424</v>
      </c>
      <c r="AF1850">
        <v>26096.37</v>
      </c>
      <c r="AG1850">
        <v>0</v>
      </c>
      <c r="AH1850">
        <v>0</v>
      </c>
      <c r="AI1850">
        <v>26096.37</v>
      </c>
      <c r="AJ1850" t="s">
        <v>2</v>
      </c>
      <c r="AK1850" t="s">
        <v>11</v>
      </c>
    </row>
    <row r="1851" spans="1:37">
      <c r="A1851">
        <v>257862</v>
      </c>
      <c r="B1851" s="1">
        <v>45366</v>
      </c>
      <c r="C1851" t="s">
        <v>1237</v>
      </c>
      <c r="D1851" t="s">
        <v>1238</v>
      </c>
      <c r="E1851" t="s">
        <v>2</v>
      </c>
      <c r="F1851" t="s">
        <v>1239</v>
      </c>
      <c r="G1851" t="s">
        <v>760</v>
      </c>
      <c r="H1851">
        <v>54956</v>
      </c>
      <c r="I1851" t="s">
        <v>1485</v>
      </c>
      <c r="J1851" t="s">
        <v>1486</v>
      </c>
      <c r="K1851" t="s">
        <v>2</v>
      </c>
      <c r="L1851" t="s">
        <v>1239</v>
      </c>
      <c r="M1851" t="s">
        <v>760</v>
      </c>
      <c r="N1851">
        <v>54956</v>
      </c>
      <c r="O1851" t="s">
        <v>1243</v>
      </c>
      <c r="P1851">
        <v>1640</v>
      </c>
      <c r="Q1851" t="s">
        <v>6</v>
      </c>
      <c r="R1851">
        <v>415387</v>
      </c>
      <c r="S1851" t="s">
        <v>2451</v>
      </c>
      <c r="T1851" s="2">
        <v>57</v>
      </c>
      <c r="U1851">
        <v>0</v>
      </c>
      <c r="V1851" t="s">
        <v>260</v>
      </c>
      <c r="W1851">
        <v>0</v>
      </c>
      <c r="X1851">
        <v>0</v>
      </c>
      <c r="Y1851">
        <v>0</v>
      </c>
      <c r="Z1851" t="s">
        <v>88</v>
      </c>
      <c r="AA1851" t="s">
        <v>144</v>
      </c>
      <c r="AB1851" t="s">
        <v>10</v>
      </c>
      <c r="AC1851">
        <v>0</v>
      </c>
      <c r="AD1851">
        <v>0</v>
      </c>
      <c r="AE1851">
        <v>9442820424</v>
      </c>
      <c r="AF1851">
        <v>26096.37</v>
      </c>
      <c r="AG1851">
        <v>0</v>
      </c>
      <c r="AH1851">
        <v>0</v>
      </c>
      <c r="AI1851">
        <v>26096.37</v>
      </c>
      <c r="AJ1851" t="s">
        <v>2</v>
      </c>
      <c r="AK1851" t="s">
        <v>11</v>
      </c>
    </row>
    <row r="1852" spans="1:37">
      <c r="A1852">
        <v>257862</v>
      </c>
      <c r="B1852" s="1">
        <v>45366</v>
      </c>
      <c r="C1852" t="s">
        <v>1237</v>
      </c>
      <c r="D1852" t="s">
        <v>1238</v>
      </c>
      <c r="E1852" t="s">
        <v>2</v>
      </c>
      <c r="F1852" t="s">
        <v>1239</v>
      </c>
      <c r="G1852" t="s">
        <v>760</v>
      </c>
      <c r="H1852">
        <v>54956</v>
      </c>
      <c r="I1852" t="s">
        <v>1485</v>
      </c>
      <c r="J1852" t="s">
        <v>1486</v>
      </c>
      <c r="K1852" t="s">
        <v>2</v>
      </c>
      <c r="L1852" t="s">
        <v>1239</v>
      </c>
      <c r="M1852" t="s">
        <v>760</v>
      </c>
      <c r="N1852">
        <v>54956</v>
      </c>
      <c r="O1852" t="s">
        <v>1243</v>
      </c>
      <c r="P1852">
        <v>1640</v>
      </c>
      <c r="Q1852" t="s">
        <v>6</v>
      </c>
      <c r="R1852">
        <v>415387</v>
      </c>
      <c r="S1852" t="s">
        <v>2451</v>
      </c>
      <c r="T1852" s="2">
        <v>57</v>
      </c>
      <c r="U1852">
        <v>0</v>
      </c>
      <c r="V1852" t="s">
        <v>260</v>
      </c>
      <c r="W1852">
        <v>1</v>
      </c>
      <c r="X1852">
        <v>1</v>
      </c>
      <c r="Y1852">
        <v>0</v>
      </c>
      <c r="Z1852" t="s">
        <v>2690</v>
      </c>
      <c r="AA1852" t="s">
        <v>2691</v>
      </c>
      <c r="AB1852" t="s">
        <v>14</v>
      </c>
      <c r="AC1852">
        <v>503.20580000000001</v>
      </c>
      <c r="AD1852">
        <v>503.21</v>
      </c>
      <c r="AE1852">
        <v>9442820424</v>
      </c>
      <c r="AF1852">
        <v>26096.37</v>
      </c>
      <c r="AG1852">
        <v>0</v>
      </c>
      <c r="AH1852">
        <v>0</v>
      </c>
      <c r="AI1852">
        <v>26096.37</v>
      </c>
      <c r="AJ1852" t="s">
        <v>2</v>
      </c>
      <c r="AK1852" t="s">
        <v>11</v>
      </c>
    </row>
    <row r="1853" spans="1:37">
      <c r="A1853">
        <v>257862</v>
      </c>
      <c r="B1853" s="1">
        <v>45366</v>
      </c>
      <c r="C1853" t="s">
        <v>1237</v>
      </c>
      <c r="D1853" t="s">
        <v>1238</v>
      </c>
      <c r="E1853" t="s">
        <v>2</v>
      </c>
      <c r="F1853" t="s">
        <v>1239</v>
      </c>
      <c r="G1853" t="s">
        <v>760</v>
      </c>
      <c r="H1853">
        <v>54956</v>
      </c>
      <c r="I1853" t="s">
        <v>1485</v>
      </c>
      <c r="J1853" t="s">
        <v>1486</v>
      </c>
      <c r="K1853" t="s">
        <v>2</v>
      </c>
      <c r="L1853" t="s">
        <v>1239</v>
      </c>
      <c r="M1853" t="s">
        <v>760</v>
      </c>
      <c r="N1853">
        <v>54956</v>
      </c>
      <c r="O1853" t="s">
        <v>1243</v>
      </c>
      <c r="P1853">
        <v>1640</v>
      </c>
      <c r="Q1853" t="s">
        <v>6</v>
      </c>
      <c r="R1853">
        <v>415387</v>
      </c>
      <c r="S1853" t="s">
        <v>2451</v>
      </c>
      <c r="T1853" s="2">
        <v>57</v>
      </c>
      <c r="U1853">
        <v>0</v>
      </c>
      <c r="V1853" t="s">
        <v>260</v>
      </c>
      <c r="W1853">
        <v>0</v>
      </c>
      <c r="X1853">
        <v>0</v>
      </c>
      <c r="Y1853">
        <v>0</v>
      </c>
      <c r="Z1853" t="s">
        <v>88</v>
      </c>
      <c r="AA1853" t="s">
        <v>2692</v>
      </c>
      <c r="AB1853" t="s">
        <v>10</v>
      </c>
      <c r="AC1853">
        <v>0</v>
      </c>
      <c r="AD1853">
        <v>0</v>
      </c>
      <c r="AE1853">
        <v>9442820424</v>
      </c>
      <c r="AF1853">
        <v>26096.37</v>
      </c>
      <c r="AG1853">
        <v>0</v>
      </c>
      <c r="AH1853">
        <v>0</v>
      </c>
      <c r="AI1853">
        <v>26096.37</v>
      </c>
      <c r="AJ1853" t="s">
        <v>2</v>
      </c>
      <c r="AK1853" t="s">
        <v>11</v>
      </c>
    </row>
    <row r="1854" spans="1:37">
      <c r="A1854">
        <v>257862</v>
      </c>
      <c r="B1854" s="1">
        <v>45366</v>
      </c>
      <c r="C1854" t="s">
        <v>1237</v>
      </c>
      <c r="D1854" t="s">
        <v>1238</v>
      </c>
      <c r="E1854" t="s">
        <v>2</v>
      </c>
      <c r="F1854" t="s">
        <v>1239</v>
      </c>
      <c r="G1854" t="s">
        <v>760</v>
      </c>
      <c r="H1854">
        <v>54956</v>
      </c>
      <c r="I1854" t="s">
        <v>1485</v>
      </c>
      <c r="J1854" t="s">
        <v>1486</v>
      </c>
      <c r="K1854" t="s">
        <v>2</v>
      </c>
      <c r="L1854" t="s">
        <v>1239</v>
      </c>
      <c r="M1854" t="s">
        <v>760</v>
      </c>
      <c r="N1854">
        <v>54956</v>
      </c>
      <c r="O1854" t="s">
        <v>1243</v>
      </c>
      <c r="P1854">
        <v>1640</v>
      </c>
      <c r="Q1854" t="s">
        <v>6</v>
      </c>
      <c r="R1854">
        <v>415387</v>
      </c>
      <c r="S1854" t="s">
        <v>2451</v>
      </c>
      <c r="T1854" s="2">
        <v>57</v>
      </c>
      <c r="U1854">
        <v>0</v>
      </c>
      <c r="V1854" t="s">
        <v>260</v>
      </c>
      <c r="W1854">
        <v>6</v>
      </c>
      <c r="X1854">
        <v>6</v>
      </c>
      <c r="Y1854">
        <v>0</v>
      </c>
      <c r="Z1854" t="s">
        <v>1160</v>
      </c>
      <c r="AA1854" t="s">
        <v>1161</v>
      </c>
      <c r="AB1854" t="s">
        <v>14</v>
      </c>
      <c r="AC1854">
        <v>729.19719999999995</v>
      </c>
      <c r="AD1854">
        <v>4375.18</v>
      </c>
      <c r="AE1854">
        <v>9442820424</v>
      </c>
      <c r="AF1854">
        <v>26096.37</v>
      </c>
      <c r="AG1854">
        <v>0</v>
      </c>
      <c r="AH1854">
        <v>0</v>
      </c>
      <c r="AI1854">
        <v>26096.37</v>
      </c>
      <c r="AJ1854" t="s">
        <v>2</v>
      </c>
      <c r="AK1854" t="s">
        <v>11</v>
      </c>
    </row>
    <row r="1855" spans="1:37">
      <c r="A1855">
        <v>257862</v>
      </c>
      <c r="B1855" s="1">
        <v>45366</v>
      </c>
      <c r="C1855" t="s">
        <v>1237</v>
      </c>
      <c r="D1855" t="s">
        <v>1238</v>
      </c>
      <c r="E1855" t="s">
        <v>2</v>
      </c>
      <c r="F1855" t="s">
        <v>1239</v>
      </c>
      <c r="G1855" t="s">
        <v>760</v>
      </c>
      <c r="H1855">
        <v>54956</v>
      </c>
      <c r="I1855" t="s">
        <v>1485</v>
      </c>
      <c r="J1855" t="s">
        <v>1486</v>
      </c>
      <c r="K1855" t="s">
        <v>2</v>
      </c>
      <c r="L1855" t="s">
        <v>1239</v>
      </c>
      <c r="M1855" t="s">
        <v>760</v>
      </c>
      <c r="N1855">
        <v>54956</v>
      </c>
      <c r="O1855" t="s">
        <v>1243</v>
      </c>
      <c r="P1855">
        <v>1640</v>
      </c>
      <c r="Q1855" t="s">
        <v>6</v>
      </c>
      <c r="R1855">
        <v>415387</v>
      </c>
      <c r="S1855" t="s">
        <v>2451</v>
      </c>
      <c r="T1855" s="2">
        <v>57</v>
      </c>
      <c r="U1855">
        <v>0</v>
      </c>
      <c r="V1855" t="s">
        <v>260</v>
      </c>
      <c r="W1855">
        <v>0</v>
      </c>
      <c r="X1855">
        <v>0</v>
      </c>
      <c r="Y1855">
        <v>0</v>
      </c>
      <c r="Z1855" t="s">
        <v>88</v>
      </c>
      <c r="AA1855" t="s">
        <v>116</v>
      </c>
      <c r="AB1855" t="s">
        <v>10</v>
      </c>
      <c r="AC1855">
        <v>0</v>
      </c>
      <c r="AD1855">
        <v>0</v>
      </c>
      <c r="AE1855">
        <v>9442820424</v>
      </c>
      <c r="AF1855">
        <v>26096.37</v>
      </c>
      <c r="AG1855">
        <v>0</v>
      </c>
      <c r="AH1855">
        <v>0</v>
      </c>
      <c r="AI1855">
        <v>26096.37</v>
      </c>
      <c r="AJ1855" t="s">
        <v>2</v>
      </c>
      <c r="AK1855" t="s">
        <v>11</v>
      </c>
    </row>
    <row r="1856" spans="1:37">
      <c r="A1856">
        <v>257862</v>
      </c>
      <c r="B1856" s="1">
        <v>45366</v>
      </c>
      <c r="C1856" t="s">
        <v>1237</v>
      </c>
      <c r="D1856" t="s">
        <v>1238</v>
      </c>
      <c r="E1856" t="s">
        <v>2</v>
      </c>
      <c r="F1856" t="s">
        <v>1239</v>
      </c>
      <c r="G1856" t="s">
        <v>760</v>
      </c>
      <c r="H1856">
        <v>54956</v>
      </c>
      <c r="I1856" t="s">
        <v>1485</v>
      </c>
      <c r="J1856" t="s">
        <v>1486</v>
      </c>
      <c r="K1856" t="s">
        <v>2</v>
      </c>
      <c r="L1856" t="s">
        <v>1239</v>
      </c>
      <c r="M1856" t="s">
        <v>760</v>
      </c>
      <c r="N1856">
        <v>54956</v>
      </c>
      <c r="O1856" t="s">
        <v>1243</v>
      </c>
      <c r="P1856">
        <v>1640</v>
      </c>
      <c r="Q1856" t="s">
        <v>6</v>
      </c>
      <c r="R1856">
        <v>415387</v>
      </c>
      <c r="S1856" t="s">
        <v>2451</v>
      </c>
      <c r="T1856" s="2">
        <v>57</v>
      </c>
      <c r="U1856">
        <v>0</v>
      </c>
      <c r="V1856" t="s">
        <v>260</v>
      </c>
      <c r="W1856">
        <v>4</v>
      </c>
      <c r="X1856">
        <v>4</v>
      </c>
      <c r="Y1856">
        <v>0</v>
      </c>
      <c r="Z1856" t="s">
        <v>2693</v>
      </c>
      <c r="AA1856" t="s">
        <v>2694</v>
      </c>
      <c r="AB1856" t="s">
        <v>14</v>
      </c>
      <c r="AC1856">
        <v>783.66</v>
      </c>
      <c r="AD1856">
        <v>3134.64</v>
      </c>
      <c r="AE1856">
        <v>9442820424</v>
      </c>
      <c r="AF1856">
        <v>26096.37</v>
      </c>
      <c r="AG1856">
        <v>0</v>
      </c>
      <c r="AH1856">
        <v>0</v>
      </c>
      <c r="AI1856">
        <v>26096.37</v>
      </c>
      <c r="AJ1856" t="s">
        <v>2</v>
      </c>
      <c r="AK1856" t="s">
        <v>11</v>
      </c>
    </row>
    <row r="1857" spans="1:37">
      <c r="A1857">
        <v>257862</v>
      </c>
      <c r="B1857" s="1">
        <v>45366</v>
      </c>
      <c r="C1857" t="s">
        <v>1237</v>
      </c>
      <c r="D1857" t="s">
        <v>1238</v>
      </c>
      <c r="E1857" t="s">
        <v>2</v>
      </c>
      <c r="F1857" t="s">
        <v>1239</v>
      </c>
      <c r="G1857" t="s">
        <v>760</v>
      </c>
      <c r="H1857">
        <v>54956</v>
      </c>
      <c r="I1857" t="s">
        <v>1485</v>
      </c>
      <c r="J1857" t="s">
        <v>1486</v>
      </c>
      <c r="K1857" t="s">
        <v>2</v>
      </c>
      <c r="L1857" t="s">
        <v>1239</v>
      </c>
      <c r="M1857" t="s">
        <v>760</v>
      </c>
      <c r="N1857">
        <v>54956</v>
      </c>
      <c r="O1857" t="s">
        <v>1243</v>
      </c>
      <c r="P1857">
        <v>1640</v>
      </c>
      <c r="Q1857" t="s">
        <v>6</v>
      </c>
      <c r="R1857">
        <v>415387</v>
      </c>
      <c r="S1857" t="s">
        <v>2451</v>
      </c>
      <c r="T1857" s="2">
        <v>57</v>
      </c>
      <c r="U1857">
        <v>0</v>
      </c>
      <c r="V1857" t="s">
        <v>260</v>
      </c>
      <c r="W1857">
        <v>0</v>
      </c>
      <c r="X1857">
        <v>0</v>
      </c>
      <c r="Y1857">
        <v>0</v>
      </c>
      <c r="Z1857" t="s">
        <v>88</v>
      </c>
      <c r="AA1857" t="s">
        <v>116</v>
      </c>
      <c r="AB1857" t="s">
        <v>10</v>
      </c>
      <c r="AC1857">
        <v>0</v>
      </c>
      <c r="AD1857">
        <v>0</v>
      </c>
      <c r="AE1857">
        <v>9442820424</v>
      </c>
      <c r="AF1857">
        <v>26096.37</v>
      </c>
      <c r="AG1857">
        <v>0</v>
      </c>
      <c r="AH1857">
        <v>0</v>
      </c>
      <c r="AI1857">
        <v>26096.37</v>
      </c>
      <c r="AJ1857" t="s">
        <v>2</v>
      </c>
      <c r="AK1857" t="s">
        <v>11</v>
      </c>
    </row>
    <row r="1858" spans="1:37">
      <c r="A1858">
        <v>257862</v>
      </c>
      <c r="B1858" s="1">
        <v>45366</v>
      </c>
      <c r="C1858" t="s">
        <v>1237</v>
      </c>
      <c r="D1858" t="s">
        <v>1238</v>
      </c>
      <c r="E1858" t="s">
        <v>2</v>
      </c>
      <c r="F1858" t="s">
        <v>1239</v>
      </c>
      <c r="G1858" t="s">
        <v>760</v>
      </c>
      <c r="H1858">
        <v>54956</v>
      </c>
      <c r="I1858" t="s">
        <v>1485</v>
      </c>
      <c r="J1858" t="s">
        <v>1486</v>
      </c>
      <c r="K1858" t="s">
        <v>2</v>
      </c>
      <c r="L1858" t="s">
        <v>1239</v>
      </c>
      <c r="M1858" t="s">
        <v>760</v>
      </c>
      <c r="N1858">
        <v>54956</v>
      </c>
      <c r="O1858" t="s">
        <v>1243</v>
      </c>
      <c r="P1858">
        <v>1640</v>
      </c>
      <c r="Q1858" t="s">
        <v>6</v>
      </c>
      <c r="R1858">
        <v>415387</v>
      </c>
      <c r="S1858" t="s">
        <v>2451</v>
      </c>
      <c r="T1858" s="2">
        <v>57</v>
      </c>
      <c r="U1858">
        <v>0</v>
      </c>
      <c r="V1858" t="s">
        <v>260</v>
      </c>
      <c r="W1858">
        <v>4</v>
      </c>
      <c r="X1858">
        <v>4</v>
      </c>
      <c r="Y1858">
        <v>0</v>
      </c>
      <c r="Z1858" t="s">
        <v>2695</v>
      </c>
      <c r="AA1858" t="s">
        <v>2696</v>
      </c>
      <c r="AB1858" t="s">
        <v>14</v>
      </c>
      <c r="AC1858">
        <v>783.66</v>
      </c>
      <c r="AD1858">
        <v>3134.64</v>
      </c>
      <c r="AE1858">
        <v>9442820424</v>
      </c>
      <c r="AF1858">
        <v>26096.37</v>
      </c>
      <c r="AG1858">
        <v>0</v>
      </c>
      <c r="AH1858">
        <v>0</v>
      </c>
      <c r="AI1858">
        <v>26096.37</v>
      </c>
      <c r="AJ1858" t="s">
        <v>2</v>
      </c>
      <c r="AK1858" t="s">
        <v>11</v>
      </c>
    </row>
    <row r="1859" spans="1:37">
      <c r="A1859">
        <v>257862</v>
      </c>
      <c r="B1859" s="1">
        <v>45366</v>
      </c>
      <c r="C1859" t="s">
        <v>1237</v>
      </c>
      <c r="D1859" t="s">
        <v>1238</v>
      </c>
      <c r="E1859" t="s">
        <v>2</v>
      </c>
      <c r="F1859" t="s">
        <v>1239</v>
      </c>
      <c r="G1859" t="s">
        <v>760</v>
      </c>
      <c r="H1859">
        <v>54956</v>
      </c>
      <c r="I1859" t="s">
        <v>1485</v>
      </c>
      <c r="J1859" t="s">
        <v>1486</v>
      </c>
      <c r="K1859" t="s">
        <v>2</v>
      </c>
      <c r="L1859" t="s">
        <v>1239</v>
      </c>
      <c r="M1859" t="s">
        <v>760</v>
      </c>
      <c r="N1859">
        <v>54956</v>
      </c>
      <c r="O1859" t="s">
        <v>1243</v>
      </c>
      <c r="P1859">
        <v>1640</v>
      </c>
      <c r="Q1859" t="s">
        <v>6</v>
      </c>
      <c r="R1859">
        <v>415387</v>
      </c>
      <c r="S1859" t="s">
        <v>2451</v>
      </c>
      <c r="T1859" s="2">
        <v>57</v>
      </c>
      <c r="U1859">
        <v>0</v>
      </c>
      <c r="V1859" t="s">
        <v>260</v>
      </c>
      <c r="W1859">
        <v>0</v>
      </c>
      <c r="X1859">
        <v>0</v>
      </c>
      <c r="Y1859">
        <v>0</v>
      </c>
      <c r="Z1859" t="s">
        <v>88</v>
      </c>
      <c r="AA1859" t="s">
        <v>116</v>
      </c>
      <c r="AB1859" t="s">
        <v>10</v>
      </c>
      <c r="AC1859">
        <v>0</v>
      </c>
      <c r="AD1859">
        <v>0</v>
      </c>
      <c r="AE1859">
        <v>9442820424</v>
      </c>
      <c r="AF1859">
        <v>26096.37</v>
      </c>
      <c r="AG1859">
        <v>0</v>
      </c>
      <c r="AH1859">
        <v>0</v>
      </c>
      <c r="AI1859">
        <v>26096.37</v>
      </c>
      <c r="AJ1859" t="s">
        <v>2</v>
      </c>
      <c r="AK1859" t="s">
        <v>11</v>
      </c>
    </row>
    <row r="1860" spans="1:37">
      <c r="A1860">
        <v>257862</v>
      </c>
      <c r="B1860" s="1">
        <v>45366</v>
      </c>
      <c r="C1860" t="s">
        <v>1237</v>
      </c>
      <c r="D1860" t="s">
        <v>1238</v>
      </c>
      <c r="E1860" t="s">
        <v>2</v>
      </c>
      <c r="F1860" t="s">
        <v>1239</v>
      </c>
      <c r="G1860" t="s">
        <v>760</v>
      </c>
      <c r="H1860">
        <v>54956</v>
      </c>
      <c r="I1860" t="s">
        <v>1485</v>
      </c>
      <c r="J1860" t="s">
        <v>1486</v>
      </c>
      <c r="K1860" t="s">
        <v>2</v>
      </c>
      <c r="L1860" t="s">
        <v>1239</v>
      </c>
      <c r="M1860" t="s">
        <v>760</v>
      </c>
      <c r="N1860">
        <v>54956</v>
      </c>
      <c r="O1860" t="s">
        <v>1243</v>
      </c>
      <c r="P1860">
        <v>1640</v>
      </c>
      <c r="Q1860" t="s">
        <v>6</v>
      </c>
      <c r="R1860">
        <v>415387</v>
      </c>
      <c r="S1860" t="s">
        <v>2451</v>
      </c>
      <c r="T1860" s="2">
        <v>57</v>
      </c>
      <c r="U1860">
        <v>0</v>
      </c>
      <c r="V1860" t="s">
        <v>260</v>
      </c>
      <c r="W1860">
        <v>3</v>
      </c>
      <c r="X1860">
        <v>3</v>
      </c>
      <c r="Y1860">
        <v>0</v>
      </c>
      <c r="Z1860" t="s">
        <v>2697</v>
      </c>
      <c r="AA1860" t="s">
        <v>2698</v>
      </c>
      <c r="AB1860" t="s">
        <v>14</v>
      </c>
      <c r="AC1860">
        <v>783.66</v>
      </c>
      <c r="AD1860">
        <v>2350.98</v>
      </c>
      <c r="AE1860">
        <v>9442820424</v>
      </c>
      <c r="AF1860">
        <v>26096.37</v>
      </c>
      <c r="AG1860">
        <v>0</v>
      </c>
      <c r="AH1860">
        <v>0</v>
      </c>
      <c r="AI1860">
        <v>26096.37</v>
      </c>
      <c r="AJ1860" t="s">
        <v>2</v>
      </c>
      <c r="AK1860" t="s">
        <v>11</v>
      </c>
    </row>
    <row r="1861" spans="1:37">
      <c r="A1861">
        <v>257862</v>
      </c>
      <c r="B1861" s="1">
        <v>45366</v>
      </c>
      <c r="C1861" t="s">
        <v>1237</v>
      </c>
      <c r="D1861" t="s">
        <v>1238</v>
      </c>
      <c r="E1861" t="s">
        <v>2</v>
      </c>
      <c r="F1861" t="s">
        <v>1239</v>
      </c>
      <c r="G1861" t="s">
        <v>760</v>
      </c>
      <c r="H1861">
        <v>54956</v>
      </c>
      <c r="I1861" t="s">
        <v>1485</v>
      </c>
      <c r="J1861" t="s">
        <v>1486</v>
      </c>
      <c r="K1861" t="s">
        <v>2</v>
      </c>
      <c r="L1861" t="s">
        <v>1239</v>
      </c>
      <c r="M1861" t="s">
        <v>760</v>
      </c>
      <c r="N1861">
        <v>54956</v>
      </c>
      <c r="O1861" t="s">
        <v>1243</v>
      </c>
      <c r="P1861">
        <v>1640</v>
      </c>
      <c r="Q1861" t="s">
        <v>6</v>
      </c>
      <c r="R1861">
        <v>415387</v>
      </c>
      <c r="S1861" t="s">
        <v>2451</v>
      </c>
      <c r="T1861" s="2">
        <v>57</v>
      </c>
      <c r="U1861">
        <v>0</v>
      </c>
      <c r="V1861" t="s">
        <v>260</v>
      </c>
      <c r="W1861">
        <v>0</v>
      </c>
      <c r="X1861">
        <v>0</v>
      </c>
      <c r="Y1861">
        <v>0</v>
      </c>
      <c r="Z1861" t="s">
        <v>88</v>
      </c>
      <c r="AA1861" t="s">
        <v>116</v>
      </c>
      <c r="AB1861" t="s">
        <v>10</v>
      </c>
      <c r="AC1861">
        <v>0</v>
      </c>
      <c r="AD1861">
        <v>0</v>
      </c>
      <c r="AE1861">
        <v>9442820424</v>
      </c>
      <c r="AF1861">
        <v>26096.37</v>
      </c>
      <c r="AG1861">
        <v>0</v>
      </c>
      <c r="AH1861">
        <v>0</v>
      </c>
      <c r="AI1861">
        <v>26096.37</v>
      </c>
      <c r="AJ1861" t="s">
        <v>2</v>
      </c>
      <c r="AK1861" t="s">
        <v>11</v>
      </c>
    </row>
    <row r="1862" spans="1:37">
      <c r="A1862">
        <v>257862</v>
      </c>
      <c r="B1862" s="1">
        <v>45366</v>
      </c>
      <c r="C1862" t="s">
        <v>1237</v>
      </c>
      <c r="D1862" t="s">
        <v>1238</v>
      </c>
      <c r="E1862" t="s">
        <v>2</v>
      </c>
      <c r="F1862" t="s">
        <v>1239</v>
      </c>
      <c r="G1862" t="s">
        <v>760</v>
      </c>
      <c r="H1862">
        <v>54956</v>
      </c>
      <c r="I1862" t="s">
        <v>1485</v>
      </c>
      <c r="J1862" t="s">
        <v>1486</v>
      </c>
      <c r="K1862" t="s">
        <v>2</v>
      </c>
      <c r="L1862" t="s">
        <v>1239</v>
      </c>
      <c r="M1862" t="s">
        <v>760</v>
      </c>
      <c r="N1862">
        <v>54956</v>
      </c>
      <c r="O1862" t="s">
        <v>1243</v>
      </c>
      <c r="P1862">
        <v>1640</v>
      </c>
      <c r="Q1862" t="s">
        <v>6</v>
      </c>
      <c r="R1862">
        <v>415387</v>
      </c>
      <c r="S1862" t="s">
        <v>2451</v>
      </c>
      <c r="T1862" s="2">
        <v>57</v>
      </c>
      <c r="U1862">
        <v>0</v>
      </c>
      <c r="V1862" t="s">
        <v>260</v>
      </c>
      <c r="W1862">
        <v>6</v>
      </c>
      <c r="X1862">
        <v>6</v>
      </c>
      <c r="Y1862">
        <v>0</v>
      </c>
      <c r="Z1862" t="s">
        <v>2535</v>
      </c>
      <c r="AA1862" t="s">
        <v>2536</v>
      </c>
      <c r="AB1862" t="s">
        <v>14</v>
      </c>
      <c r="AC1862">
        <v>1402.3024</v>
      </c>
      <c r="AD1862">
        <v>8413.81</v>
      </c>
      <c r="AE1862">
        <v>9442820424</v>
      </c>
      <c r="AF1862">
        <v>26096.37</v>
      </c>
      <c r="AG1862">
        <v>0</v>
      </c>
      <c r="AH1862">
        <v>0</v>
      </c>
      <c r="AI1862">
        <v>26096.37</v>
      </c>
      <c r="AJ1862" t="s">
        <v>2</v>
      </c>
      <c r="AK1862" t="s">
        <v>11</v>
      </c>
    </row>
    <row r="1863" spans="1:37">
      <c r="A1863">
        <v>257862</v>
      </c>
      <c r="B1863" s="1">
        <v>45366</v>
      </c>
      <c r="C1863" t="s">
        <v>1237</v>
      </c>
      <c r="D1863" t="s">
        <v>1238</v>
      </c>
      <c r="E1863" t="s">
        <v>2</v>
      </c>
      <c r="F1863" t="s">
        <v>1239</v>
      </c>
      <c r="G1863" t="s">
        <v>760</v>
      </c>
      <c r="H1863">
        <v>54956</v>
      </c>
      <c r="I1863" t="s">
        <v>1485</v>
      </c>
      <c r="J1863" t="s">
        <v>1486</v>
      </c>
      <c r="K1863" t="s">
        <v>2</v>
      </c>
      <c r="L1863" t="s">
        <v>1239</v>
      </c>
      <c r="M1863" t="s">
        <v>760</v>
      </c>
      <c r="N1863">
        <v>54956</v>
      </c>
      <c r="O1863" t="s">
        <v>1243</v>
      </c>
      <c r="P1863">
        <v>1640</v>
      </c>
      <c r="Q1863" t="s">
        <v>6</v>
      </c>
      <c r="R1863">
        <v>415387</v>
      </c>
      <c r="S1863" t="s">
        <v>2451</v>
      </c>
      <c r="T1863" s="2">
        <v>57</v>
      </c>
      <c r="U1863">
        <v>0</v>
      </c>
      <c r="V1863" t="s">
        <v>260</v>
      </c>
      <c r="W1863">
        <v>0</v>
      </c>
      <c r="X1863">
        <v>0</v>
      </c>
      <c r="Y1863">
        <v>0</v>
      </c>
      <c r="Z1863" t="s">
        <v>88</v>
      </c>
      <c r="AA1863" t="s">
        <v>116</v>
      </c>
      <c r="AB1863" t="s">
        <v>10</v>
      </c>
      <c r="AC1863">
        <v>0</v>
      </c>
      <c r="AD1863">
        <v>0</v>
      </c>
      <c r="AE1863">
        <v>9442820424</v>
      </c>
      <c r="AF1863">
        <v>26096.37</v>
      </c>
      <c r="AG1863">
        <v>0</v>
      </c>
      <c r="AH1863">
        <v>0</v>
      </c>
      <c r="AI1863">
        <v>26096.37</v>
      </c>
      <c r="AJ1863" t="s">
        <v>2</v>
      </c>
      <c r="AK1863" t="s">
        <v>11</v>
      </c>
    </row>
    <row r="1864" spans="1:37">
      <c r="A1864">
        <v>257862</v>
      </c>
      <c r="B1864" s="1">
        <v>45366</v>
      </c>
      <c r="C1864" t="s">
        <v>1237</v>
      </c>
      <c r="D1864" t="s">
        <v>1238</v>
      </c>
      <c r="E1864" t="s">
        <v>2</v>
      </c>
      <c r="F1864" t="s">
        <v>1239</v>
      </c>
      <c r="G1864" t="s">
        <v>760</v>
      </c>
      <c r="H1864">
        <v>54956</v>
      </c>
      <c r="I1864" t="s">
        <v>1485</v>
      </c>
      <c r="J1864" t="s">
        <v>1486</v>
      </c>
      <c r="K1864" t="s">
        <v>2</v>
      </c>
      <c r="L1864" t="s">
        <v>1239</v>
      </c>
      <c r="M1864" t="s">
        <v>760</v>
      </c>
      <c r="N1864">
        <v>54956</v>
      </c>
      <c r="O1864" t="s">
        <v>1243</v>
      </c>
      <c r="P1864">
        <v>1640</v>
      </c>
      <c r="Q1864" t="s">
        <v>6</v>
      </c>
      <c r="R1864">
        <v>415387</v>
      </c>
      <c r="S1864" t="s">
        <v>2451</v>
      </c>
      <c r="T1864" s="2">
        <v>57</v>
      </c>
      <c r="U1864">
        <v>0</v>
      </c>
      <c r="V1864" t="s">
        <v>260</v>
      </c>
      <c r="W1864">
        <v>1</v>
      </c>
      <c r="X1864">
        <v>1</v>
      </c>
      <c r="Y1864">
        <v>0</v>
      </c>
      <c r="Z1864" t="s">
        <v>2699</v>
      </c>
      <c r="AA1864" t="s">
        <v>2700</v>
      </c>
      <c r="AB1864" t="s">
        <v>14</v>
      </c>
      <c r="AC1864">
        <v>253.90799999999999</v>
      </c>
      <c r="AD1864">
        <v>253.91</v>
      </c>
      <c r="AE1864">
        <v>9442820424</v>
      </c>
      <c r="AF1864">
        <v>26096.37</v>
      </c>
      <c r="AG1864">
        <v>0</v>
      </c>
      <c r="AH1864">
        <v>0</v>
      </c>
      <c r="AI1864">
        <v>26096.37</v>
      </c>
      <c r="AJ1864" t="s">
        <v>2</v>
      </c>
      <c r="AK1864" t="s">
        <v>11</v>
      </c>
    </row>
    <row r="1865" spans="1:37">
      <c r="A1865">
        <v>257862</v>
      </c>
      <c r="B1865" s="1">
        <v>45366</v>
      </c>
      <c r="C1865" t="s">
        <v>1237</v>
      </c>
      <c r="D1865" t="s">
        <v>1238</v>
      </c>
      <c r="E1865" t="s">
        <v>2</v>
      </c>
      <c r="F1865" t="s">
        <v>1239</v>
      </c>
      <c r="G1865" t="s">
        <v>760</v>
      </c>
      <c r="H1865">
        <v>54956</v>
      </c>
      <c r="I1865" t="s">
        <v>1485</v>
      </c>
      <c r="J1865" t="s">
        <v>1486</v>
      </c>
      <c r="K1865" t="s">
        <v>2</v>
      </c>
      <c r="L1865" t="s">
        <v>1239</v>
      </c>
      <c r="M1865" t="s">
        <v>760</v>
      </c>
      <c r="N1865">
        <v>54956</v>
      </c>
      <c r="O1865" t="s">
        <v>1243</v>
      </c>
      <c r="P1865">
        <v>1640</v>
      </c>
      <c r="Q1865" t="s">
        <v>6</v>
      </c>
      <c r="R1865">
        <v>415387</v>
      </c>
      <c r="S1865" t="s">
        <v>2451</v>
      </c>
      <c r="T1865" s="2">
        <v>57</v>
      </c>
      <c r="U1865">
        <v>0</v>
      </c>
      <c r="V1865" t="s">
        <v>260</v>
      </c>
      <c r="W1865">
        <v>0</v>
      </c>
      <c r="X1865">
        <v>0</v>
      </c>
      <c r="Y1865">
        <v>0</v>
      </c>
      <c r="Z1865" t="s">
        <v>88</v>
      </c>
      <c r="AA1865" t="s">
        <v>144</v>
      </c>
      <c r="AB1865" t="s">
        <v>10</v>
      </c>
      <c r="AC1865">
        <v>0</v>
      </c>
      <c r="AD1865">
        <v>0</v>
      </c>
      <c r="AE1865">
        <v>9442820424</v>
      </c>
      <c r="AF1865">
        <v>26096.37</v>
      </c>
      <c r="AG1865">
        <v>0</v>
      </c>
      <c r="AH1865">
        <v>0</v>
      </c>
      <c r="AI1865">
        <v>26096.37</v>
      </c>
      <c r="AJ1865" t="s">
        <v>2</v>
      </c>
      <c r="AK1865" t="s">
        <v>11</v>
      </c>
    </row>
    <row r="1866" spans="1:37">
      <c r="A1866">
        <v>257862</v>
      </c>
      <c r="B1866" s="1">
        <v>45366</v>
      </c>
      <c r="C1866" t="s">
        <v>1237</v>
      </c>
      <c r="D1866" t="s">
        <v>1238</v>
      </c>
      <c r="E1866" t="s">
        <v>2</v>
      </c>
      <c r="F1866" t="s">
        <v>1239</v>
      </c>
      <c r="G1866" t="s">
        <v>760</v>
      </c>
      <c r="H1866">
        <v>54956</v>
      </c>
      <c r="I1866" t="s">
        <v>1485</v>
      </c>
      <c r="J1866" t="s">
        <v>1486</v>
      </c>
      <c r="K1866" t="s">
        <v>2</v>
      </c>
      <c r="L1866" t="s">
        <v>1239</v>
      </c>
      <c r="M1866" t="s">
        <v>760</v>
      </c>
      <c r="N1866">
        <v>54956</v>
      </c>
      <c r="O1866" t="s">
        <v>1243</v>
      </c>
      <c r="P1866">
        <v>1640</v>
      </c>
      <c r="Q1866" t="s">
        <v>6</v>
      </c>
      <c r="R1866">
        <v>415387</v>
      </c>
      <c r="S1866" t="s">
        <v>2451</v>
      </c>
      <c r="T1866" s="2">
        <v>57</v>
      </c>
      <c r="U1866">
        <v>0</v>
      </c>
      <c r="V1866" t="s">
        <v>260</v>
      </c>
      <c r="W1866">
        <v>1</v>
      </c>
      <c r="X1866">
        <v>1</v>
      </c>
      <c r="Y1866">
        <v>0</v>
      </c>
      <c r="Z1866" t="s">
        <v>2701</v>
      </c>
      <c r="AA1866" t="s">
        <v>2702</v>
      </c>
      <c r="AB1866" t="s">
        <v>14</v>
      </c>
      <c r="AC1866">
        <v>192.42</v>
      </c>
      <c r="AD1866">
        <v>192.42</v>
      </c>
      <c r="AE1866">
        <v>9442820424</v>
      </c>
      <c r="AF1866">
        <v>26096.37</v>
      </c>
      <c r="AG1866">
        <v>0</v>
      </c>
      <c r="AH1866">
        <v>0</v>
      </c>
      <c r="AI1866">
        <v>26096.37</v>
      </c>
      <c r="AJ1866" t="s">
        <v>2</v>
      </c>
      <c r="AK1866" t="s">
        <v>11</v>
      </c>
    </row>
    <row r="1867" spans="1:37">
      <c r="A1867">
        <v>257862</v>
      </c>
      <c r="B1867" s="1">
        <v>45366</v>
      </c>
      <c r="C1867" t="s">
        <v>1237</v>
      </c>
      <c r="D1867" t="s">
        <v>1238</v>
      </c>
      <c r="E1867" t="s">
        <v>2</v>
      </c>
      <c r="F1867" t="s">
        <v>1239</v>
      </c>
      <c r="G1867" t="s">
        <v>760</v>
      </c>
      <c r="H1867">
        <v>54956</v>
      </c>
      <c r="I1867" t="s">
        <v>1485</v>
      </c>
      <c r="J1867" t="s">
        <v>1486</v>
      </c>
      <c r="K1867" t="s">
        <v>2</v>
      </c>
      <c r="L1867" t="s">
        <v>1239</v>
      </c>
      <c r="M1867" t="s">
        <v>760</v>
      </c>
      <c r="N1867">
        <v>54956</v>
      </c>
      <c r="O1867" t="s">
        <v>1243</v>
      </c>
      <c r="P1867">
        <v>1640</v>
      </c>
      <c r="Q1867" t="s">
        <v>6</v>
      </c>
      <c r="R1867">
        <v>415387</v>
      </c>
      <c r="S1867" t="s">
        <v>2451</v>
      </c>
      <c r="T1867" s="2">
        <v>57</v>
      </c>
      <c r="U1867">
        <v>0</v>
      </c>
      <c r="V1867" t="s">
        <v>260</v>
      </c>
      <c r="W1867">
        <v>0</v>
      </c>
      <c r="X1867">
        <v>0</v>
      </c>
      <c r="Y1867">
        <v>0</v>
      </c>
      <c r="Z1867" t="s">
        <v>88</v>
      </c>
      <c r="AA1867" t="s">
        <v>2703</v>
      </c>
      <c r="AB1867" t="s">
        <v>10</v>
      </c>
      <c r="AC1867">
        <v>0</v>
      </c>
      <c r="AD1867">
        <v>0</v>
      </c>
      <c r="AE1867">
        <v>9442820424</v>
      </c>
      <c r="AF1867">
        <v>26096.37</v>
      </c>
      <c r="AG1867">
        <v>0</v>
      </c>
      <c r="AH1867">
        <v>0</v>
      </c>
      <c r="AI1867">
        <v>26096.37</v>
      </c>
      <c r="AJ1867" t="s">
        <v>2</v>
      </c>
      <c r="AK1867" t="s">
        <v>11</v>
      </c>
    </row>
    <row r="1868" spans="1:37">
      <c r="A1868">
        <v>257862</v>
      </c>
      <c r="B1868" s="1">
        <v>45366</v>
      </c>
      <c r="C1868" t="s">
        <v>1237</v>
      </c>
      <c r="D1868" t="s">
        <v>1238</v>
      </c>
      <c r="E1868" t="s">
        <v>2</v>
      </c>
      <c r="F1868" t="s">
        <v>1239</v>
      </c>
      <c r="G1868" t="s">
        <v>760</v>
      </c>
      <c r="H1868">
        <v>54956</v>
      </c>
      <c r="I1868" t="s">
        <v>1485</v>
      </c>
      <c r="J1868" t="s">
        <v>1486</v>
      </c>
      <c r="K1868" t="s">
        <v>2</v>
      </c>
      <c r="L1868" t="s">
        <v>1239</v>
      </c>
      <c r="M1868" t="s">
        <v>760</v>
      </c>
      <c r="N1868">
        <v>54956</v>
      </c>
      <c r="O1868" t="s">
        <v>1243</v>
      </c>
      <c r="P1868">
        <v>1640</v>
      </c>
      <c r="Q1868" t="s">
        <v>6</v>
      </c>
      <c r="R1868">
        <v>415387</v>
      </c>
      <c r="S1868" t="s">
        <v>2451</v>
      </c>
      <c r="T1868" s="2">
        <v>57</v>
      </c>
      <c r="U1868">
        <v>0</v>
      </c>
      <c r="V1868" t="s">
        <v>260</v>
      </c>
      <c r="W1868">
        <v>2</v>
      </c>
      <c r="X1868">
        <v>2</v>
      </c>
      <c r="Y1868">
        <v>0</v>
      </c>
      <c r="Z1868" t="s">
        <v>2704</v>
      </c>
      <c r="AA1868" t="s">
        <v>2705</v>
      </c>
      <c r="AB1868" t="s">
        <v>14</v>
      </c>
      <c r="AC1868">
        <v>192.42</v>
      </c>
      <c r="AD1868">
        <v>384.84</v>
      </c>
      <c r="AE1868">
        <v>9442820424</v>
      </c>
      <c r="AF1868">
        <v>26096.37</v>
      </c>
      <c r="AG1868">
        <v>0</v>
      </c>
      <c r="AH1868">
        <v>0</v>
      </c>
      <c r="AI1868">
        <v>26096.37</v>
      </c>
      <c r="AJ1868" t="s">
        <v>2</v>
      </c>
      <c r="AK1868" t="s">
        <v>11</v>
      </c>
    </row>
    <row r="1869" spans="1:37">
      <c r="A1869">
        <v>257862</v>
      </c>
      <c r="B1869" s="1">
        <v>45366</v>
      </c>
      <c r="C1869" t="s">
        <v>1237</v>
      </c>
      <c r="D1869" t="s">
        <v>1238</v>
      </c>
      <c r="E1869" t="s">
        <v>2</v>
      </c>
      <c r="F1869" t="s">
        <v>1239</v>
      </c>
      <c r="G1869" t="s">
        <v>760</v>
      </c>
      <c r="H1869">
        <v>54956</v>
      </c>
      <c r="I1869" t="s">
        <v>1485</v>
      </c>
      <c r="J1869" t="s">
        <v>1486</v>
      </c>
      <c r="K1869" t="s">
        <v>2</v>
      </c>
      <c r="L1869" t="s">
        <v>1239</v>
      </c>
      <c r="M1869" t="s">
        <v>760</v>
      </c>
      <c r="N1869">
        <v>54956</v>
      </c>
      <c r="O1869" t="s">
        <v>1243</v>
      </c>
      <c r="P1869">
        <v>1640</v>
      </c>
      <c r="Q1869" t="s">
        <v>6</v>
      </c>
      <c r="R1869">
        <v>415387</v>
      </c>
      <c r="S1869" t="s">
        <v>2451</v>
      </c>
      <c r="T1869" s="2">
        <v>57</v>
      </c>
      <c r="U1869">
        <v>0</v>
      </c>
      <c r="V1869" t="s">
        <v>260</v>
      </c>
      <c r="W1869">
        <v>0</v>
      </c>
      <c r="X1869">
        <v>0</v>
      </c>
      <c r="Y1869">
        <v>0</v>
      </c>
      <c r="Z1869" t="s">
        <v>88</v>
      </c>
      <c r="AA1869" t="s">
        <v>89</v>
      </c>
      <c r="AB1869" t="s">
        <v>10</v>
      </c>
      <c r="AC1869">
        <v>0</v>
      </c>
      <c r="AD1869">
        <v>0</v>
      </c>
      <c r="AE1869">
        <v>9442820424</v>
      </c>
      <c r="AF1869">
        <v>26096.37</v>
      </c>
      <c r="AG1869">
        <v>0</v>
      </c>
      <c r="AH1869">
        <v>0</v>
      </c>
      <c r="AI1869">
        <v>26096.37</v>
      </c>
      <c r="AJ1869" t="s">
        <v>2</v>
      </c>
      <c r="AK1869" t="s">
        <v>11</v>
      </c>
    </row>
    <row r="1870" spans="1:37">
      <c r="A1870">
        <v>257862</v>
      </c>
      <c r="B1870" s="1">
        <v>45366</v>
      </c>
      <c r="C1870" t="s">
        <v>1237</v>
      </c>
      <c r="D1870" t="s">
        <v>1238</v>
      </c>
      <c r="E1870" t="s">
        <v>2</v>
      </c>
      <c r="F1870" t="s">
        <v>1239</v>
      </c>
      <c r="G1870" t="s">
        <v>760</v>
      </c>
      <c r="H1870">
        <v>54956</v>
      </c>
      <c r="I1870" t="s">
        <v>1485</v>
      </c>
      <c r="J1870" t="s">
        <v>1486</v>
      </c>
      <c r="K1870" t="s">
        <v>2</v>
      </c>
      <c r="L1870" t="s">
        <v>1239</v>
      </c>
      <c r="M1870" t="s">
        <v>760</v>
      </c>
      <c r="N1870">
        <v>54956</v>
      </c>
      <c r="O1870" t="s">
        <v>1243</v>
      </c>
      <c r="P1870">
        <v>1640</v>
      </c>
      <c r="Q1870" t="s">
        <v>6</v>
      </c>
      <c r="R1870">
        <v>415387</v>
      </c>
      <c r="S1870" t="s">
        <v>2451</v>
      </c>
      <c r="T1870" s="2">
        <v>57</v>
      </c>
      <c r="U1870">
        <v>0</v>
      </c>
      <c r="V1870" t="s">
        <v>260</v>
      </c>
      <c r="W1870">
        <v>1</v>
      </c>
      <c r="X1870">
        <v>1</v>
      </c>
      <c r="Y1870">
        <v>0</v>
      </c>
      <c r="Z1870" t="s">
        <v>183</v>
      </c>
      <c r="AA1870" t="s">
        <v>184</v>
      </c>
      <c r="AB1870" t="s">
        <v>14</v>
      </c>
      <c r="AC1870">
        <v>25</v>
      </c>
      <c r="AD1870">
        <v>25</v>
      </c>
      <c r="AE1870">
        <v>9442820424</v>
      </c>
      <c r="AF1870">
        <v>26096.37</v>
      </c>
      <c r="AG1870">
        <v>0</v>
      </c>
      <c r="AH1870">
        <v>0</v>
      </c>
      <c r="AI1870">
        <v>26096.37</v>
      </c>
      <c r="AJ1870" t="s">
        <v>2</v>
      </c>
      <c r="AK1870" t="s">
        <v>11</v>
      </c>
    </row>
    <row r="1871" spans="1:37">
      <c r="A1871">
        <v>257862</v>
      </c>
      <c r="B1871" s="1">
        <v>45366</v>
      </c>
      <c r="C1871" t="s">
        <v>1237</v>
      </c>
      <c r="D1871" t="s">
        <v>1238</v>
      </c>
      <c r="E1871" t="s">
        <v>2</v>
      </c>
      <c r="F1871" t="s">
        <v>1239</v>
      </c>
      <c r="G1871" t="s">
        <v>760</v>
      </c>
      <c r="H1871">
        <v>54956</v>
      </c>
      <c r="I1871" t="s">
        <v>1485</v>
      </c>
      <c r="J1871" t="s">
        <v>1486</v>
      </c>
      <c r="K1871" t="s">
        <v>2</v>
      </c>
      <c r="L1871" t="s">
        <v>1239</v>
      </c>
      <c r="M1871" t="s">
        <v>760</v>
      </c>
      <c r="N1871">
        <v>54956</v>
      </c>
      <c r="O1871" t="s">
        <v>1243</v>
      </c>
      <c r="P1871">
        <v>1640</v>
      </c>
      <c r="Q1871" t="s">
        <v>6</v>
      </c>
      <c r="R1871">
        <v>415387</v>
      </c>
      <c r="S1871" t="s">
        <v>2451</v>
      </c>
      <c r="T1871" s="2">
        <v>57</v>
      </c>
      <c r="U1871">
        <v>0</v>
      </c>
      <c r="V1871" t="s">
        <v>260</v>
      </c>
      <c r="W1871">
        <v>0</v>
      </c>
      <c r="X1871">
        <v>0</v>
      </c>
      <c r="Y1871">
        <v>0</v>
      </c>
      <c r="Z1871" t="s">
        <v>88</v>
      </c>
      <c r="AA1871" t="s">
        <v>90</v>
      </c>
      <c r="AB1871" t="s">
        <v>10</v>
      </c>
      <c r="AC1871">
        <v>0</v>
      </c>
      <c r="AD1871">
        <v>0</v>
      </c>
      <c r="AE1871">
        <v>9442820424</v>
      </c>
      <c r="AF1871">
        <v>26096.37</v>
      </c>
      <c r="AG1871">
        <v>0</v>
      </c>
      <c r="AH1871">
        <v>0</v>
      </c>
      <c r="AI1871">
        <v>26096.37</v>
      </c>
      <c r="AJ1871" t="s">
        <v>2</v>
      </c>
      <c r="AK1871" t="s">
        <v>11</v>
      </c>
    </row>
    <row r="1872" spans="1:37">
      <c r="A1872">
        <v>257862</v>
      </c>
      <c r="B1872" s="1">
        <v>45366</v>
      </c>
      <c r="C1872" t="s">
        <v>1237</v>
      </c>
      <c r="D1872" t="s">
        <v>1238</v>
      </c>
      <c r="E1872" t="s">
        <v>2</v>
      </c>
      <c r="F1872" t="s">
        <v>1239</v>
      </c>
      <c r="G1872" t="s">
        <v>760</v>
      </c>
      <c r="H1872">
        <v>54956</v>
      </c>
      <c r="I1872" t="s">
        <v>1485</v>
      </c>
      <c r="J1872" t="s">
        <v>1486</v>
      </c>
      <c r="K1872" t="s">
        <v>2</v>
      </c>
      <c r="L1872" t="s">
        <v>1239</v>
      </c>
      <c r="M1872" t="s">
        <v>760</v>
      </c>
      <c r="N1872">
        <v>54956</v>
      </c>
      <c r="O1872" t="s">
        <v>1243</v>
      </c>
      <c r="P1872">
        <v>1640</v>
      </c>
      <c r="Q1872" t="s">
        <v>6</v>
      </c>
      <c r="R1872">
        <v>415387</v>
      </c>
      <c r="S1872" t="s">
        <v>2451</v>
      </c>
      <c r="T1872" s="2">
        <v>57</v>
      </c>
      <c r="U1872">
        <v>0</v>
      </c>
      <c r="V1872" t="s">
        <v>260</v>
      </c>
      <c r="W1872">
        <v>0</v>
      </c>
      <c r="X1872">
        <v>0</v>
      </c>
      <c r="Y1872">
        <v>0</v>
      </c>
      <c r="Z1872" t="s">
        <v>88</v>
      </c>
      <c r="AA1872" t="s">
        <v>1490</v>
      </c>
      <c r="AB1872" t="s">
        <v>10</v>
      </c>
      <c r="AC1872">
        <v>0</v>
      </c>
      <c r="AD1872">
        <v>0</v>
      </c>
      <c r="AE1872">
        <v>9442820424</v>
      </c>
      <c r="AF1872">
        <v>26096.37</v>
      </c>
      <c r="AG1872">
        <v>0</v>
      </c>
      <c r="AH1872">
        <v>0</v>
      </c>
      <c r="AI1872">
        <v>26096.37</v>
      </c>
      <c r="AJ1872" t="s">
        <v>2</v>
      </c>
      <c r="AK1872" t="s">
        <v>11</v>
      </c>
    </row>
    <row r="1873" spans="1:37">
      <c r="A1873">
        <v>257862</v>
      </c>
      <c r="B1873" s="1">
        <v>45366</v>
      </c>
      <c r="C1873" t="s">
        <v>1237</v>
      </c>
      <c r="D1873" t="s">
        <v>1238</v>
      </c>
      <c r="E1873" t="s">
        <v>2</v>
      </c>
      <c r="F1873" t="s">
        <v>1239</v>
      </c>
      <c r="G1873" t="s">
        <v>760</v>
      </c>
      <c r="H1873">
        <v>54956</v>
      </c>
      <c r="I1873" t="s">
        <v>1485</v>
      </c>
      <c r="J1873" t="s">
        <v>1486</v>
      </c>
      <c r="K1873" t="s">
        <v>2</v>
      </c>
      <c r="L1873" t="s">
        <v>1239</v>
      </c>
      <c r="M1873" t="s">
        <v>760</v>
      </c>
      <c r="N1873">
        <v>54956</v>
      </c>
      <c r="O1873" t="s">
        <v>1243</v>
      </c>
      <c r="P1873">
        <v>1640</v>
      </c>
      <c r="Q1873" t="s">
        <v>6</v>
      </c>
      <c r="R1873">
        <v>415387</v>
      </c>
      <c r="S1873" t="s">
        <v>2451</v>
      </c>
      <c r="T1873" s="2">
        <v>57</v>
      </c>
      <c r="U1873">
        <v>0</v>
      </c>
      <c r="V1873" t="s">
        <v>260</v>
      </c>
      <c r="W1873">
        <v>0</v>
      </c>
      <c r="X1873">
        <v>0</v>
      </c>
      <c r="Y1873">
        <v>0</v>
      </c>
      <c r="Z1873" t="s">
        <v>88</v>
      </c>
      <c r="AA1873" t="e">
        <f>-SPLICE FREE REQUIRED</f>
        <v>#NAME?</v>
      </c>
      <c r="AB1873" t="s">
        <v>10</v>
      </c>
      <c r="AC1873">
        <v>0</v>
      </c>
      <c r="AD1873">
        <v>0</v>
      </c>
      <c r="AE1873">
        <v>9442820424</v>
      </c>
      <c r="AF1873">
        <v>26096.37</v>
      </c>
      <c r="AG1873">
        <v>0</v>
      </c>
      <c r="AH1873">
        <v>0</v>
      </c>
      <c r="AI1873">
        <v>26096.37</v>
      </c>
      <c r="AJ1873" t="s">
        <v>2</v>
      </c>
      <c r="AK1873" t="s">
        <v>11</v>
      </c>
    </row>
    <row r="1874" spans="1:37">
      <c r="A1874">
        <v>257862</v>
      </c>
      <c r="B1874" s="1">
        <v>45366</v>
      </c>
      <c r="C1874" t="s">
        <v>1237</v>
      </c>
      <c r="D1874" t="s">
        <v>1238</v>
      </c>
      <c r="E1874" t="s">
        <v>2</v>
      </c>
      <c r="F1874" t="s">
        <v>1239</v>
      </c>
      <c r="G1874" t="s">
        <v>760</v>
      </c>
      <c r="H1874">
        <v>54956</v>
      </c>
      <c r="I1874" t="s">
        <v>1485</v>
      </c>
      <c r="J1874" t="s">
        <v>1486</v>
      </c>
      <c r="K1874" t="s">
        <v>2</v>
      </c>
      <c r="L1874" t="s">
        <v>1239</v>
      </c>
      <c r="M1874" t="s">
        <v>760</v>
      </c>
      <c r="N1874">
        <v>54956</v>
      </c>
      <c r="O1874" t="s">
        <v>1243</v>
      </c>
      <c r="P1874">
        <v>1640</v>
      </c>
      <c r="Q1874" t="s">
        <v>6</v>
      </c>
      <c r="R1874">
        <v>415387</v>
      </c>
      <c r="S1874" t="s">
        <v>2451</v>
      </c>
      <c r="T1874" s="2">
        <v>57</v>
      </c>
      <c r="U1874">
        <v>0</v>
      </c>
      <c r="V1874" t="s">
        <v>260</v>
      </c>
      <c r="W1874">
        <v>0</v>
      </c>
      <c r="X1874">
        <v>0</v>
      </c>
      <c r="Y1874">
        <v>0</v>
      </c>
      <c r="Z1874" t="s">
        <v>88</v>
      </c>
      <c r="AA1874" t="s">
        <v>1491</v>
      </c>
      <c r="AB1874" t="s">
        <v>10</v>
      </c>
      <c r="AC1874">
        <v>0</v>
      </c>
      <c r="AD1874">
        <v>0</v>
      </c>
      <c r="AE1874">
        <v>9442820424</v>
      </c>
      <c r="AF1874">
        <v>26096.37</v>
      </c>
      <c r="AG1874">
        <v>0</v>
      </c>
      <c r="AH1874">
        <v>0</v>
      </c>
      <c r="AI1874">
        <v>26096.37</v>
      </c>
      <c r="AJ1874" t="s">
        <v>2</v>
      </c>
      <c r="AK1874" t="s">
        <v>11</v>
      </c>
    </row>
    <row r="1875" spans="1:37">
      <c r="A1875">
        <v>257862</v>
      </c>
      <c r="B1875" s="1">
        <v>45366</v>
      </c>
      <c r="C1875" t="s">
        <v>1237</v>
      </c>
      <c r="D1875" t="s">
        <v>1238</v>
      </c>
      <c r="E1875" t="s">
        <v>2</v>
      </c>
      <c r="F1875" t="s">
        <v>1239</v>
      </c>
      <c r="G1875" t="s">
        <v>760</v>
      </c>
      <c r="H1875">
        <v>54956</v>
      </c>
      <c r="I1875" t="s">
        <v>1485</v>
      </c>
      <c r="J1875" t="s">
        <v>1486</v>
      </c>
      <c r="K1875" t="s">
        <v>2</v>
      </c>
      <c r="L1875" t="s">
        <v>1239</v>
      </c>
      <c r="M1875" t="s">
        <v>760</v>
      </c>
      <c r="N1875">
        <v>54956</v>
      </c>
      <c r="O1875" t="s">
        <v>1243</v>
      </c>
      <c r="P1875">
        <v>1640</v>
      </c>
      <c r="Q1875" t="s">
        <v>6</v>
      </c>
      <c r="R1875">
        <v>415387</v>
      </c>
      <c r="S1875" t="s">
        <v>2451</v>
      </c>
      <c r="T1875" s="2">
        <v>57</v>
      </c>
      <c r="U1875">
        <v>0</v>
      </c>
      <c r="V1875" t="s">
        <v>260</v>
      </c>
      <c r="W1875">
        <v>0</v>
      </c>
      <c r="X1875">
        <v>0</v>
      </c>
      <c r="Y1875">
        <v>0</v>
      </c>
      <c r="Z1875" t="s">
        <v>88</v>
      </c>
      <c r="AA1875" t="e">
        <f>-SPLICE-FREE PREFERRED</f>
        <v>#NAME?</v>
      </c>
      <c r="AB1875" t="s">
        <v>10</v>
      </c>
      <c r="AC1875">
        <v>0</v>
      </c>
      <c r="AD1875">
        <v>0</v>
      </c>
      <c r="AE1875">
        <v>9442820424</v>
      </c>
      <c r="AF1875">
        <v>26096.37</v>
      </c>
      <c r="AG1875">
        <v>0</v>
      </c>
      <c r="AH1875">
        <v>0</v>
      </c>
      <c r="AI1875">
        <v>26096.37</v>
      </c>
      <c r="AJ1875" t="s">
        <v>2</v>
      </c>
      <c r="AK1875" t="s">
        <v>11</v>
      </c>
    </row>
    <row r="1876" spans="1:37">
      <c r="A1876">
        <v>257862</v>
      </c>
      <c r="B1876" s="1">
        <v>45366</v>
      </c>
      <c r="C1876" t="s">
        <v>1237</v>
      </c>
      <c r="D1876" t="s">
        <v>1238</v>
      </c>
      <c r="E1876" t="s">
        <v>2</v>
      </c>
      <c r="F1876" t="s">
        <v>1239</v>
      </c>
      <c r="G1876" t="s">
        <v>760</v>
      </c>
      <c r="H1876">
        <v>54956</v>
      </c>
      <c r="I1876" t="s">
        <v>1485</v>
      </c>
      <c r="J1876" t="s">
        <v>1486</v>
      </c>
      <c r="K1876" t="s">
        <v>2</v>
      </c>
      <c r="L1876" t="s">
        <v>1239</v>
      </c>
      <c r="M1876" t="s">
        <v>760</v>
      </c>
      <c r="N1876">
        <v>54956</v>
      </c>
      <c r="O1876" t="s">
        <v>1243</v>
      </c>
      <c r="P1876">
        <v>1640</v>
      </c>
      <c r="Q1876" t="s">
        <v>6</v>
      </c>
      <c r="R1876">
        <v>415387</v>
      </c>
      <c r="S1876" t="s">
        <v>2451</v>
      </c>
      <c r="T1876" s="2">
        <v>57</v>
      </c>
      <c r="U1876">
        <v>0</v>
      </c>
      <c r="V1876" t="s">
        <v>260</v>
      </c>
      <c r="W1876">
        <v>0</v>
      </c>
      <c r="X1876">
        <v>0</v>
      </c>
      <c r="Y1876">
        <v>0</v>
      </c>
      <c r="Z1876" t="s">
        <v>88</v>
      </c>
      <c r="AA1876" t="s">
        <v>90</v>
      </c>
      <c r="AB1876" t="s">
        <v>10</v>
      </c>
      <c r="AC1876">
        <v>0</v>
      </c>
      <c r="AD1876">
        <v>0</v>
      </c>
      <c r="AE1876">
        <v>9442820424</v>
      </c>
      <c r="AF1876">
        <v>26096.37</v>
      </c>
      <c r="AG1876">
        <v>0</v>
      </c>
      <c r="AH1876">
        <v>0</v>
      </c>
      <c r="AI1876">
        <v>26096.37</v>
      </c>
      <c r="AJ1876" t="s">
        <v>2</v>
      </c>
      <c r="AK1876" t="s">
        <v>11</v>
      </c>
    </row>
    <row r="1877" spans="1:37">
      <c r="A1877">
        <v>257862</v>
      </c>
      <c r="B1877" s="1">
        <v>45366</v>
      </c>
      <c r="C1877" t="s">
        <v>1237</v>
      </c>
      <c r="D1877" t="s">
        <v>1238</v>
      </c>
      <c r="E1877" t="s">
        <v>2</v>
      </c>
      <c r="F1877" t="s">
        <v>1239</v>
      </c>
      <c r="G1877" t="s">
        <v>760</v>
      </c>
      <c r="H1877">
        <v>54956</v>
      </c>
      <c r="I1877" t="s">
        <v>1485</v>
      </c>
      <c r="J1877" t="s">
        <v>1486</v>
      </c>
      <c r="K1877" t="s">
        <v>2</v>
      </c>
      <c r="L1877" t="s">
        <v>1239</v>
      </c>
      <c r="M1877" t="s">
        <v>760</v>
      </c>
      <c r="N1877">
        <v>54956</v>
      </c>
      <c r="O1877" t="s">
        <v>1243</v>
      </c>
      <c r="P1877">
        <v>1640</v>
      </c>
      <c r="Q1877" t="s">
        <v>6</v>
      </c>
      <c r="R1877">
        <v>415387</v>
      </c>
      <c r="S1877" t="s">
        <v>2451</v>
      </c>
      <c r="T1877" s="2">
        <v>57</v>
      </c>
      <c r="U1877">
        <v>0</v>
      </c>
      <c r="V1877" t="s">
        <v>260</v>
      </c>
      <c r="W1877">
        <v>0</v>
      </c>
      <c r="X1877">
        <v>0</v>
      </c>
      <c r="Y1877">
        <v>0</v>
      </c>
      <c r="Z1877" t="s">
        <v>88</v>
      </c>
      <c r="AA1877" t="e">
        <f>-MOTION MUST SHIP NEXT DAY</f>
        <v>#NAME?</v>
      </c>
      <c r="AB1877" t="s">
        <v>10</v>
      </c>
      <c r="AC1877">
        <v>0</v>
      </c>
      <c r="AD1877">
        <v>0</v>
      </c>
      <c r="AE1877">
        <v>9442820424</v>
      </c>
      <c r="AF1877">
        <v>26096.37</v>
      </c>
      <c r="AG1877">
        <v>0</v>
      </c>
      <c r="AH1877">
        <v>0</v>
      </c>
      <c r="AI1877">
        <v>26096.37</v>
      </c>
      <c r="AJ1877" t="s">
        <v>2</v>
      </c>
      <c r="AK1877" t="s">
        <v>11</v>
      </c>
    </row>
    <row r="1878" spans="1:37">
      <c r="A1878">
        <v>257862</v>
      </c>
      <c r="B1878" s="1">
        <v>45366</v>
      </c>
      <c r="C1878" t="s">
        <v>1237</v>
      </c>
      <c r="D1878" t="s">
        <v>1238</v>
      </c>
      <c r="E1878" t="s">
        <v>2</v>
      </c>
      <c r="F1878" t="s">
        <v>1239</v>
      </c>
      <c r="G1878" t="s">
        <v>760</v>
      </c>
      <c r="H1878">
        <v>54956</v>
      </c>
      <c r="I1878" t="s">
        <v>1485</v>
      </c>
      <c r="J1878" t="s">
        <v>1486</v>
      </c>
      <c r="K1878" t="s">
        <v>2</v>
      </c>
      <c r="L1878" t="s">
        <v>1239</v>
      </c>
      <c r="M1878" t="s">
        <v>760</v>
      </c>
      <c r="N1878">
        <v>54956</v>
      </c>
      <c r="O1878" t="s">
        <v>1243</v>
      </c>
      <c r="P1878">
        <v>1640</v>
      </c>
      <c r="Q1878" t="s">
        <v>6</v>
      </c>
      <c r="R1878">
        <v>415387</v>
      </c>
      <c r="S1878" t="s">
        <v>2451</v>
      </c>
      <c r="T1878" s="2">
        <v>57</v>
      </c>
      <c r="U1878">
        <v>0</v>
      </c>
      <c r="V1878" t="s">
        <v>260</v>
      </c>
      <c r="W1878">
        <v>0</v>
      </c>
      <c r="X1878">
        <v>0</v>
      </c>
      <c r="Y1878">
        <v>0</v>
      </c>
      <c r="Z1878" t="s">
        <v>88</v>
      </c>
      <c r="AA1878" t="s">
        <v>90</v>
      </c>
      <c r="AB1878" t="s">
        <v>10</v>
      </c>
      <c r="AC1878">
        <v>0</v>
      </c>
      <c r="AD1878">
        <v>0</v>
      </c>
      <c r="AE1878">
        <v>9442820424</v>
      </c>
      <c r="AF1878">
        <v>26096.37</v>
      </c>
      <c r="AG1878">
        <v>0</v>
      </c>
      <c r="AH1878">
        <v>0</v>
      </c>
      <c r="AI1878">
        <v>26096.37</v>
      </c>
      <c r="AJ1878" t="s">
        <v>2</v>
      </c>
      <c r="AK1878" t="s">
        <v>11</v>
      </c>
    </row>
    <row r="1879" spans="1:37">
      <c r="A1879">
        <v>257862</v>
      </c>
      <c r="B1879" s="1">
        <v>45366</v>
      </c>
      <c r="C1879" t="s">
        <v>1237</v>
      </c>
      <c r="D1879" t="s">
        <v>1238</v>
      </c>
      <c r="E1879" t="s">
        <v>2</v>
      </c>
      <c r="F1879" t="s">
        <v>1239</v>
      </c>
      <c r="G1879" t="s">
        <v>760</v>
      </c>
      <c r="H1879">
        <v>54956</v>
      </c>
      <c r="I1879" t="s">
        <v>1485</v>
      </c>
      <c r="J1879" t="s">
        <v>1486</v>
      </c>
      <c r="K1879" t="s">
        <v>2</v>
      </c>
      <c r="L1879" t="s">
        <v>1239</v>
      </c>
      <c r="M1879" t="s">
        <v>760</v>
      </c>
      <c r="N1879">
        <v>54956</v>
      </c>
      <c r="O1879" t="s">
        <v>1243</v>
      </c>
      <c r="P1879">
        <v>1640</v>
      </c>
      <c r="Q1879" t="s">
        <v>6</v>
      </c>
      <c r="R1879">
        <v>415387</v>
      </c>
      <c r="S1879" t="s">
        <v>2451</v>
      </c>
      <c r="T1879" s="2">
        <v>57</v>
      </c>
      <c r="U1879">
        <v>0</v>
      </c>
      <c r="V1879" t="s">
        <v>260</v>
      </c>
      <c r="W1879">
        <v>0</v>
      </c>
      <c r="X1879">
        <v>0</v>
      </c>
      <c r="Y1879">
        <v>0</v>
      </c>
      <c r="Z1879" t="s">
        <v>88</v>
      </c>
      <c r="AA1879" t="s">
        <v>1492</v>
      </c>
      <c r="AB1879" t="s">
        <v>10</v>
      </c>
      <c r="AC1879">
        <v>0</v>
      </c>
      <c r="AD1879">
        <v>0</v>
      </c>
      <c r="AE1879">
        <v>9442820424</v>
      </c>
      <c r="AF1879">
        <v>26096.37</v>
      </c>
      <c r="AG1879">
        <v>0</v>
      </c>
      <c r="AH1879">
        <v>0</v>
      </c>
      <c r="AI1879">
        <v>26096.37</v>
      </c>
      <c r="AJ1879" t="s">
        <v>2</v>
      </c>
      <c r="AK1879" t="s">
        <v>11</v>
      </c>
    </row>
    <row r="1880" spans="1:37">
      <c r="A1880">
        <v>257875</v>
      </c>
      <c r="B1880" s="1">
        <v>45366</v>
      </c>
      <c r="C1880" t="s">
        <v>531</v>
      </c>
      <c r="D1880" t="s">
        <v>532</v>
      </c>
      <c r="E1880" t="s">
        <v>533</v>
      </c>
      <c r="F1880" t="s">
        <v>534</v>
      </c>
      <c r="G1880" t="s">
        <v>535</v>
      </c>
      <c r="H1880">
        <v>30144</v>
      </c>
      <c r="I1880" t="s">
        <v>2706</v>
      </c>
      <c r="J1880" t="s">
        <v>2707</v>
      </c>
      <c r="K1880" t="s">
        <v>2</v>
      </c>
      <c r="L1880" t="s">
        <v>856</v>
      </c>
      <c r="M1880" t="s">
        <v>539</v>
      </c>
      <c r="N1880" t="s">
        <v>2708</v>
      </c>
      <c r="O1880" t="s">
        <v>541</v>
      </c>
      <c r="P1880">
        <v>2277603</v>
      </c>
      <c r="Q1880" t="s">
        <v>38</v>
      </c>
      <c r="R1880">
        <v>415151</v>
      </c>
      <c r="S1880" t="s">
        <v>2451</v>
      </c>
      <c r="T1880" s="2">
        <v>3</v>
      </c>
      <c r="U1880">
        <v>0</v>
      </c>
      <c r="V1880" t="s">
        <v>153</v>
      </c>
      <c r="W1880">
        <v>0</v>
      </c>
      <c r="X1880">
        <v>0</v>
      </c>
      <c r="Y1880">
        <v>0</v>
      </c>
      <c r="Z1880" t="s">
        <v>9</v>
      </c>
      <c r="AA1880" t="s">
        <v>2</v>
      </c>
      <c r="AB1880" t="s">
        <v>10</v>
      </c>
      <c r="AC1880">
        <v>0</v>
      </c>
      <c r="AD1880">
        <v>0</v>
      </c>
      <c r="AE1880">
        <v>9442813063</v>
      </c>
      <c r="AF1880">
        <v>4738.16</v>
      </c>
      <c r="AG1880">
        <v>0</v>
      </c>
      <c r="AH1880">
        <v>0</v>
      </c>
      <c r="AI1880">
        <v>4738.16</v>
      </c>
      <c r="AJ1880" t="s">
        <v>2</v>
      </c>
      <c r="AK1880" t="s">
        <v>11</v>
      </c>
    </row>
    <row r="1881" spans="1:37">
      <c r="A1881">
        <v>257875</v>
      </c>
      <c r="B1881" s="1">
        <v>45366</v>
      </c>
      <c r="C1881" t="s">
        <v>531</v>
      </c>
      <c r="D1881" t="s">
        <v>532</v>
      </c>
      <c r="E1881" t="s">
        <v>533</v>
      </c>
      <c r="F1881" t="s">
        <v>534</v>
      </c>
      <c r="G1881" t="s">
        <v>535</v>
      </c>
      <c r="H1881">
        <v>30144</v>
      </c>
      <c r="I1881" t="s">
        <v>2706</v>
      </c>
      <c r="J1881" t="s">
        <v>2707</v>
      </c>
      <c r="K1881" t="s">
        <v>2</v>
      </c>
      <c r="L1881" t="s">
        <v>856</v>
      </c>
      <c r="M1881" t="s">
        <v>539</v>
      </c>
      <c r="N1881" t="s">
        <v>2708</v>
      </c>
      <c r="O1881" t="s">
        <v>541</v>
      </c>
      <c r="P1881">
        <v>2277603</v>
      </c>
      <c r="Q1881" t="s">
        <v>38</v>
      </c>
      <c r="R1881">
        <v>415151</v>
      </c>
      <c r="S1881" t="s">
        <v>2451</v>
      </c>
      <c r="T1881" s="2">
        <v>3</v>
      </c>
      <c r="U1881">
        <v>0</v>
      </c>
      <c r="V1881" t="s">
        <v>153</v>
      </c>
      <c r="W1881">
        <v>2</v>
      </c>
      <c r="X1881">
        <v>2</v>
      </c>
      <c r="Y1881">
        <v>0</v>
      </c>
      <c r="Z1881" t="s">
        <v>2709</v>
      </c>
      <c r="AA1881" t="s">
        <v>2551</v>
      </c>
      <c r="AB1881" t="s">
        <v>14</v>
      </c>
      <c r="AC1881">
        <v>2356.58</v>
      </c>
      <c r="AD1881">
        <v>4713.16</v>
      </c>
      <c r="AE1881">
        <v>9442813063</v>
      </c>
      <c r="AF1881">
        <v>4738.16</v>
      </c>
      <c r="AG1881">
        <v>0</v>
      </c>
      <c r="AH1881">
        <v>0</v>
      </c>
      <c r="AI1881">
        <v>4738.16</v>
      </c>
      <c r="AJ1881" t="s">
        <v>2</v>
      </c>
      <c r="AK1881" t="s">
        <v>11</v>
      </c>
    </row>
    <row r="1882" spans="1:37">
      <c r="A1882">
        <v>257875</v>
      </c>
      <c r="B1882" s="1">
        <v>45366</v>
      </c>
      <c r="C1882" t="s">
        <v>531</v>
      </c>
      <c r="D1882" t="s">
        <v>532</v>
      </c>
      <c r="E1882" t="s">
        <v>533</v>
      </c>
      <c r="F1882" t="s">
        <v>534</v>
      </c>
      <c r="G1882" t="s">
        <v>535</v>
      </c>
      <c r="H1882">
        <v>30144</v>
      </c>
      <c r="I1882" t="s">
        <v>2706</v>
      </c>
      <c r="J1882" t="s">
        <v>2707</v>
      </c>
      <c r="K1882" t="s">
        <v>2</v>
      </c>
      <c r="L1882" t="s">
        <v>856</v>
      </c>
      <c r="M1882" t="s">
        <v>539</v>
      </c>
      <c r="N1882" t="s">
        <v>2708</v>
      </c>
      <c r="O1882" t="s">
        <v>541</v>
      </c>
      <c r="P1882">
        <v>2277603</v>
      </c>
      <c r="Q1882" t="s">
        <v>38</v>
      </c>
      <c r="R1882">
        <v>415151</v>
      </c>
      <c r="S1882" t="s">
        <v>2451</v>
      </c>
      <c r="T1882" s="2">
        <v>3</v>
      </c>
      <c r="U1882">
        <v>0</v>
      </c>
      <c r="V1882" t="s">
        <v>153</v>
      </c>
      <c r="W1882">
        <v>0</v>
      </c>
      <c r="X1882">
        <v>0</v>
      </c>
      <c r="Y1882">
        <v>0</v>
      </c>
      <c r="Z1882" t="s">
        <v>88</v>
      </c>
      <c r="AA1882" t="s">
        <v>116</v>
      </c>
      <c r="AB1882" t="s">
        <v>10</v>
      </c>
      <c r="AC1882">
        <v>0</v>
      </c>
      <c r="AD1882">
        <v>0</v>
      </c>
      <c r="AE1882">
        <v>9442813063</v>
      </c>
      <c r="AF1882">
        <v>4738.16</v>
      </c>
      <c r="AG1882">
        <v>0</v>
      </c>
      <c r="AH1882">
        <v>0</v>
      </c>
      <c r="AI1882">
        <v>4738.16</v>
      </c>
      <c r="AJ1882" t="s">
        <v>2</v>
      </c>
      <c r="AK1882" t="s">
        <v>11</v>
      </c>
    </row>
    <row r="1883" spans="1:37">
      <c r="A1883">
        <v>257875</v>
      </c>
      <c r="B1883" s="1">
        <v>45366</v>
      </c>
      <c r="C1883" t="s">
        <v>531</v>
      </c>
      <c r="D1883" t="s">
        <v>532</v>
      </c>
      <c r="E1883" t="s">
        <v>533</v>
      </c>
      <c r="F1883" t="s">
        <v>534</v>
      </c>
      <c r="G1883" t="s">
        <v>535</v>
      </c>
      <c r="H1883">
        <v>30144</v>
      </c>
      <c r="I1883" t="s">
        <v>2706</v>
      </c>
      <c r="J1883" t="s">
        <v>2707</v>
      </c>
      <c r="K1883" t="s">
        <v>2</v>
      </c>
      <c r="L1883" t="s">
        <v>856</v>
      </c>
      <c r="M1883" t="s">
        <v>539</v>
      </c>
      <c r="N1883" t="s">
        <v>2708</v>
      </c>
      <c r="O1883" t="s">
        <v>541</v>
      </c>
      <c r="P1883">
        <v>2277603</v>
      </c>
      <c r="Q1883" t="s">
        <v>38</v>
      </c>
      <c r="R1883">
        <v>415151</v>
      </c>
      <c r="S1883" t="s">
        <v>2451</v>
      </c>
      <c r="T1883" s="2">
        <v>3</v>
      </c>
      <c r="U1883">
        <v>0</v>
      </c>
      <c r="V1883" t="s">
        <v>153</v>
      </c>
      <c r="W1883">
        <v>1</v>
      </c>
      <c r="X1883">
        <v>1</v>
      </c>
      <c r="Y1883">
        <v>0</v>
      </c>
      <c r="Z1883" t="s">
        <v>183</v>
      </c>
      <c r="AA1883" t="s">
        <v>184</v>
      </c>
      <c r="AB1883" t="s">
        <v>14</v>
      </c>
      <c r="AC1883">
        <v>25</v>
      </c>
      <c r="AD1883">
        <v>25</v>
      </c>
      <c r="AE1883">
        <v>9442813063</v>
      </c>
      <c r="AF1883">
        <v>4738.16</v>
      </c>
      <c r="AG1883">
        <v>0</v>
      </c>
      <c r="AH1883">
        <v>0</v>
      </c>
      <c r="AI1883">
        <v>4738.16</v>
      </c>
      <c r="AJ1883" t="s">
        <v>2</v>
      </c>
      <c r="AK1883" t="s">
        <v>11</v>
      </c>
    </row>
    <row r="1884" spans="1:37">
      <c r="A1884">
        <v>257874</v>
      </c>
      <c r="B1884" s="1">
        <v>45366</v>
      </c>
      <c r="C1884" t="s">
        <v>728</v>
      </c>
      <c r="D1884" t="s">
        <v>729</v>
      </c>
      <c r="E1884" t="s">
        <v>2</v>
      </c>
      <c r="F1884" t="s">
        <v>730</v>
      </c>
      <c r="G1884" t="s">
        <v>731</v>
      </c>
      <c r="H1884">
        <v>18045</v>
      </c>
      <c r="I1884" t="s">
        <v>2710</v>
      </c>
      <c r="J1884" t="s">
        <v>2711</v>
      </c>
      <c r="K1884" t="s">
        <v>2</v>
      </c>
      <c r="L1884" t="s">
        <v>730</v>
      </c>
      <c r="M1884" t="s">
        <v>731</v>
      </c>
      <c r="N1884">
        <v>18045</v>
      </c>
      <c r="O1884" t="s">
        <v>736</v>
      </c>
      <c r="P1884">
        <v>2277630</v>
      </c>
      <c r="Q1884" t="s">
        <v>38</v>
      </c>
      <c r="R1884">
        <v>415174</v>
      </c>
      <c r="S1884" t="s">
        <v>2451</v>
      </c>
      <c r="T1884" s="2">
        <v>11</v>
      </c>
      <c r="U1884">
        <v>0</v>
      </c>
      <c r="V1884" t="s">
        <v>153</v>
      </c>
      <c r="W1884">
        <v>0</v>
      </c>
      <c r="X1884">
        <v>0</v>
      </c>
      <c r="Y1884">
        <v>0</v>
      </c>
      <c r="Z1884" t="s">
        <v>9</v>
      </c>
      <c r="AA1884" t="s">
        <v>2</v>
      </c>
      <c r="AB1884" t="s">
        <v>10</v>
      </c>
      <c r="AC1884">
        <v>0</v>
      </c>
      <c r="AD1884">
        <v>0</v>
      </c>
      <c r="AE1884">
        <v>9442813682</v>
      </c>
      <c r="AF1884">
        <v>4023.63</v>
      </c>
      <c r="AG1884">
        <v>0</v>
      </c>
      <c r="AH1884">
        <v>0</v>
      </c>
      <c r="AI1884">
        <v>4023.63</v>
      </c>
      <c r="AJ1884" t="s">
        <v>2</v>
      </c>
      <c r="AK1884" t="s">
        <v>11</v>
      </c>
    </row>
    <row r="1885" spans="1:37">
      <c r="A1885">
        <v>257874</v>
      </c>
      <c r="B1885" s="1">
        <v>45366</v>
      </c>
      <c r="C1885" t="s">
        <v>728</v>
      </c>
      <c r="D1885" t="s">
        <v>729</v>
      </c>
      <c r="E1885" t="s">
        <v>2</v>
      </c>
      <c r="F1885" t="s">
        <v>730</v>
      </c>
      <c r="G1885" t="s">
        <v>731</v>
      </c>
      <c r="H1885">
        <v>18045</v>
      </c>
      <c r="I1885" t="s">
        <v>2710</v>
      </c>
      <c r="J1885" t="s">
        <v>2711</v>
      </c>
      <c r="K1885" t="s">
        <v>2</v>
      </c>
      <c r="L1885" t="s">
        <v>730</v>
      </c>
      <c r="M1885" t="s">
        <v>731</v>
      </c>
      <c r="N1885">
        <v>18045</v>
      </c>
      <c r="O1885" t="s">
        <v>736</v>
      </c>
      <c r="P1885">
        <v>2277630</v>
      </c>
      <c r="Q1885" t="s">
        <v>38</v>
      </c>
      <c r="R1885">
        <v>415174</v>
      </c>
      <c r="S1885" t="s">
        <v>2451</v>
      </c>
      <c r="T1885" s="2">
        <v>11</v>
      </c>
      <c r="U1885">
        <v>0</v>
      </c>
      <c r="V1885" t="s">
        <v>153</v>
      </c>
      <c r="W1885">
        <v>3</v>
      </c>
      <c r="X1885">
        <v>3</v>
      </c>
      <c r="Y1885">
        <v>0</v>
      </c>
      <c r="Z1885" t="s">
        <v>2712</v>
      </c>
      <c r="AA1885" t="s">
        <v>2713</v>
      </c>
      <c r="AB1885" t="s">
        <v>14</v>
      </c>
      <c r="AC1885">
        <v>60.88</v>
      </c>
      <c r="AD1885">
        <v>182.64</v>
      </c>
      <c r="AE1885">
        <v>9442813682</v>
      </c>
      <c r="AF1885">
        <v>4023.63</v>
      </c>
      <c r="AG1885">
        <v>0</v>
      </c>
      <c r="AH1885">
        <v>0</v>
      </c>
      <c r="AI1885">
        <v>4023.63</v>
      </c>
      <c r="AJ1885" t="s">
        <v>2</v>
      </c>
      <c r="AK1885" t="s">
        <v>11</v>
      </c>
    </row>
    <row r="1886" spans="1:37">
      <c r="A1886">
        <v>257874</v>
      </c>
      <c r="B1886" s="1">
        <v>45366</v>
      </c>
      <c r="C1886" t="s">
        <v>728</v>
      </c>
      <c r="D1886" t="s">
        <v>729</v>
      </c>
      <c r="E1886" t="s">
        <v>2</v>
      </c>
      <c r="F1886" t="s">
        <v>730</v>
      </c>
      <c r="G1886" t="s">
        <v>731</v>
      </c>
      <c r="H1886">
        <v>18045</v>
      </c>
      <c r="I1886" t="s">
        <v>2710</v>
      </c>
      <c r="J1886" t="s">
        <v>2711</v>
      </c>
      <c r="K1886" t="s">
        <v>2</v>
      </c>
      <c r="L1886" t="s">
        <v>730</v>
      </c>
      <c r="M1886" t="s">
        <v>731</v>
      </c>
      <c r="N1886">
        <v>18045</v>
      </c>
      <c r="O1886" t="s">
        <v>736</v>
      </c>
      <c r="P1886">
        <v>2277630</v>
      </c>
      <c r="Q1886" t="s">
        <v>38</v>
      </c>
      <c r="R1886">
        <v>415174</v>
      </c>
      <c r="S1886" t="s">
        <v>2451</v>
      </c>
      <c r="T1886" s="2">
        <v>11</v>
      </c>
      <c r="U1886">
        <v>0</v>
      </c>
      <c r="V1886" t="s">
        <v>153</v>
      </c>
      <c r="W1886">
        <v>0</v>
      </c>
      <c r="X1886">
        <v>0</v>
      </c>
      <c r="Y1886">
        <v>0</v>
      </c>
      <c r="Z1886" t="s">
        <v>88</v>
      </c>
      <c r="AA1886" t="s">
        <v>144</v>
      </c>
      <c r="AB1886" t="s">
        <v>10</v>
      </c>
      <c r="AC1886">
        <v>0</v>
      </c>
      <c r="AD1886">
        <v>0</v>
      </c>
      <c r="AE1886">
        <v>9442813682</v>
      </c>
      <c r="AF1886">
        <v>4023.63</v>
      </c>
      <c r="AG1886">
        <v>0</v>
      </c>
      <c r="AH1886">
        <v>0</v>
      </c>
      <c r="AI1886">
        <v>4023.63</v>
      </c>
      <c r="AJ1886" t="s">
        <v>2</v>
      </c>
      <c r="AK1886" t="s">
        <v>11</v>
      </c>
    </row>
    <row r="1887" spans="1:37">
      <c r="A1887">
        <v>257874</v>
      </c>
      <c r="B1887" s="1">
        <v>45366</v>
      </c>
      <c r="C1887" t="s">
        <v>728</v>
      </c>
      <c r="D1887" t="s">
        <v>729</v>
      </c>
      <c r="E1887" t="s">
        <v>2</v>
      </c>
      <c r="F1887" t="s">
        <v>730</v>
      </c>
      <c r="G1887" t="s">
        <v>731</v>
      </c>
      <c r="H1887">
        <v>18045</v>
      </c>
      <c r="I1887" t="s">
        <v>2710</v>
      </c>
      <c r="J1887" t="s">
        <v>2711</v>
      </c>
      <c r="K1887" t="s">
        <v>2</v>
      </c>
      <c r="L1887" t="s">
        <v>730</v>
      </c>
      <c r="M1887" t="s">
        <v>731</v>
      </c>
      <c r="N1887">
        <v>18045</v>
      </c>
      <c r="O1887" t="s">
        <v>736</v>
      </c>
      <c r="P1887">
        <v>2277630</v>
      </c>
      <c r="Q1887" t="s">
        <v>38</v>
      </c>
      <c r="R1887">
        <v>415174</v>
      </c>
      <c r="S1887" t="s">
        <v>2451</v>
      </c>
      <c r="T1887" s="2">
        <v>11</v>
      </c>
      <c r="U1887">
        <v>0</v>
      </c>
      <c r="V1887" t="s">
        <v>153</v>
      </c>
      <c r="W1887">
        <v>4</v>
      </c>
      <c r="X1887">
        <v>4</v>
      </c>
      <c r="Y1887">
        <v>0</v>
      </c>
      <c r="Z1887" t="s">
        <v>2714</v>
      </c>
      <c r="AA1887" t="s">
        <v>2715</v>
      </c>
      <c r="AB1887" t="s">
        <v>14</v>
      </c>
      <c r="AC1887">
        <v>496.85</v>
      </c>
      <c r="AD1887">
        <v>1987.4</v>
      </c>
      <c r="AE1887">
        <v>9442813682</v>
      </c>
      <c r="AF1887">
        <v>4023.63</v>
      </c>
      <c r="AG1887">
        <v>0</v>
      </c>
      <c r="AH1887">
        <v>0</v>
      </c>
      <c r="AI1887">
        <v>4023.63</v>
      </c>
      <c r="AJ1887" t="s">
        <v>2</v>
      </c>
      <c r="AK1887" t="s">
        <v>11</v>
      </c>
    </row>
    <row r="1888" spans="1:37">
      <c r="A1888">
        <v>257874</v>
      </c>
      <c r="B1888" s="1">
        <v>45366</v>
      </c>
      <c r="C1888" t="s">
        <v>728</v>
      </c>
      <c r="D1888" t="s">
        <v>729</v>
      </c>
      <c r="E1888" t="s">
        <v>2</v>
      </c>
      <c r="F1888" t="s">
        <v>730</v>
      </c>
      <c r="G1888" t="s">
        <v>731</v>
      </c>
      <c r="H1888">
        <v>18045</v>
      </c>
      <c r="I1888" t="s">
        <v>2710</v>
      </c>
      <c r="J1888" t="s">
        <v>2711</v>
      </c>
      <c r="K1888" t="s">
        <v>2</v>
      </c>
      <c r="L1888" t="s">
        <v>730</v>
      </c>
      <c r="M1888" t="s">
        <v>731</v>
      </c>
      <c r="N1888">
        <v>18045</v>
      </c>
      <c r="O1888" t="s">
        <v>736</v>
      </c>
      <c r="P1888">
        <v>2277630</v>
      </c>
      <c r="Q1888" t="s">
        <v>38</v>
      </c>
      <c r="R1888">
        <v>415174</v>
      </c>
      <c r="S1888" t="s">
        <v>2451</v>
      </c>
      <c r="T1888" s="2">
        <v>11</v>
      </c>
      <c r="U1888">
        <v>0</v>
      </c>
      <c r="V1888" t="s">
        <v>153</v>
      </c>
      <c r="W1888">
        <v>0</v>
      </c>
      <c r="X1888">
        <v>0</v>
      </c>
      <c r="Y1888">
        <v>0</v>
      </c>
      <c r="Z1888" t="s">
        <v>88</v>
      </c>
      <c r="AA1888" t="s">
        <v>107</v>
      </c>
      <c r="AB1888" t="s">
        <v>10</v>
      </c>
      <c r="AC1888">
        <v>0</v>
      </c>
      <c r="AD1888">
        <v>0</v>
      </c>
      <c r="AE1888">
        <v>9442813682</v>
      </c>
      <c r="AF1888">
        <v>4023.63</v>
      </c>
      <c r="AG1888">
        <v>0</v>
      </c>
      <c r="AH1888">
        <v>0</v>
      </c>
      <c r="AI1888">
        <v>4023.63</v>
      </c>
      <c r="AJ1888" t="s">
        <v>2</v>
      </c>
      <c r="AK1888" t="s">
        <v>11</v>
      </c>
    </row>
    <row r="1889" spans="1:37">
      <c r="A1889">
        <v>257874</v>
      </c>
      <c r="B1889" s="1">
        <v>45366</v>
      </c>
      <c r="C1889" t="s">
        <v>728</v>
      </c>
      <c r="D1889" t="s">
        <v>729</v>
      </c>
      <c r="E1889" t="s">
        <v>2</v>
      </c>
      <c r="F1889" t="s">
        <v>730</v>
      </c>
      <c r="G1889" t="s">
        <v>731</v>
      </c>
      <c r="H1889">
        <v>18045</v>
      </c>
      <c r="I1889" t="s">
        <v>2710</v>
      </c>
      <c r="J1889" t="s">
        <v>2711</v>
      </c>
      <c r="K1889" t="s">
        <v>2</v>
      </c>
      <c r="L1889" t="s">
        <v>730</v>
      </c>
      <c r="M1889" t="s">
        <v>731</v>
      </c>
      <c r="N1889">
        <v>18045</v>
      </c>
      <c r="O1889" t="s">
        <v>736</v>
      </c>
      <c r="P1889">
        <v>2277630</v>
      </c>
      <c r="Q1889" t="s">
        <v>38</v>
      </c>
      <c r="R1889">
        <v>415174</v>
      </c>
      <c r="S1889" t="s">
        <v>2451</v>
      </c>
      <c r="T1889" s="2">
        <v>11</v>
      </c>
      <c r="U1889">
        <v>0</v>
      </c>
      <c r="V1889" t="s">
        <v>153</v>
      </c>
      <c r="W1889">
        <v>3</v>
      </c>
      <c r="X1889">
        <v>3</v>
      </c>
      <c r="Y1889">
        <v>0</v>
      </c>
      <c r="Z1889" t="s">
        <v>627</v>
      </c>
      <c r="AA1889" t="s">
        <v>628</v>
      </c>
      <c r="AB1889" t="s">
        <v>14</v>
      </c>
      <c r="AC1889">
        <v>609.53</v>
      </c>
      <c r="AD1889">
        <v>1828.59</v>
      </c>
      <c r="AE1889">
        <v>9442813682</v>
      </c>
      <c r="AF1889">
        <v>4023.63</v>
      </c>
      <c r="AG1889">
        <v>0</v>
      </c>
      <c r="AH1889">
        <v>0</v>
      </c>
      <c r="AI1889">
        <v>4023.63</v>
      </c>
      <c r="AJ1889" t="s">
        <v>2</v>
      </c>
      <c r="AK1889" t="s">
        <v>11</v>
      </c>
    </row>
    <row r="1890" spans="1:37">
      <c r="A1890">
        <v>257874</v>
      </c>
      <c r="B1890" s="1">
        <v>45366</v>
      </c>
      <c r="C1890" t="s">
        <v>728</v>
      </c>
      <c r="D1890" t="s">
        <v>729</v>
      </c>
      <c r="E1890" t="s">
        <v>2</v>
      </c>
      <c r="F1890" t="s">
        <v>730</v>
      </c>
      <c r="G1890" t="s">
        <v>731</v>
      </c>
      <c r="H1890">
        <v>18045</v>
      </c>
      <c r="I1890" t="s">
        <v>2710</v>
      </c>
      <c r="J1890" t="s">
        <v>2711</v>
      </c>
      <c r="K1890" t="s">
        <v>2</v>
      </c>
      <c r="L1890" t="s">
        <v>730</v>
      </c>
      <c r="M1890" t="s">
        <v>731</v>
      </c>
      <c r="N1890">
        <v>18045</v>
      </c>
      <c r="O1890" t="s">
        <v>736</v>
      </c>
      <c r="P1890">
        <v>2277630</v>
      </c>
      <c r="Q1890" t="s">
        <v>38</v>
      </c>
      <c r="R1890">
        <v>415174</v>
      </c>
      <c r="S1890" t="s">
        <v>2451</v>
      </c>
      <c r="T1890" s="2">
        <v>11</v>
      </c>
      <c r="U1890">
        <v>0</v>
      </c>
      <c r="V1890" t="s">
        <v>153</v>
      </c>
      <c r="W1890">
        <v>0</v>
      </c>
      <c r="X1890">
        <v>0</v>
      </c>
      <c r="Y1890">
        <v>0</v>
      </c>
      <c r="Z1890" t="s">
        <v>88</v>
      </c>
      <c r="AA1890" t="s">
        <v>107</v>
      </c>
      <c r="AB1890" t="s">
        <v>10</v>
      </c>
      <c r="AC1890">
        <v>0</v>
      </c>
      <c r="AD1890">
        <v>0</v>
      </c>
      <c r="AE1890">
        <v>9442813682</v>
      </c>
      <c r="AF1890">
        <v>4023.63</v>
      </c>
      <c r="AG1890">
        <v>0</v>
      </c>
      <c r="AH1890">
        <v>0</v>
      </c>
      <c r="AI1890">
        <v>4023.63</v>
      </c>
      <c r="AJ1890" t="s">
        <v>2</v>
      </c>
      <c r="AK1890" t="s">
        <v>11</v>
      </c>
    </row>
    <row r="1891" spans="1:37">
      <c r="A1891">
        <v>257874</v>
      </c>
      <c r="B1891" s="1">
        <v>45366</v>
      </c>
      <c r="C1891" t="s">
        <v>728</v>
      </c>
      <c r="D1891" t="s">
        <v>729</v>
      </c>
      <c r="E1891" t="s">
        <v>2</v>
      </c>
      <c r="F1891" t="s">
        <v>730</v>
      </c>
      <c r="G1891" t="s">
        <v>731</v>
      </c>
      <c r="H1891">
        <v>18045</v>
      </c>
      <c r="I1891" t="s">
        <v>2710</v>
      </c>
      <c r="J1891" t="s">
        <v>2711</v>
      </c>
      <c r="K1891" t="s">
        <v>2</v>
      </c>
      <c r="L1891" t="s">
        <v>730</v>
      </c>
      <c r="M1891" t="s">
        <v>731</v>
      </c>
      <c r="N1891">
        <v>18045</v>
      </c>
      <c r="O1891" t="s">
        <v>736</v>
      </c>
      <c r="P1891">
        <v>2277630</v>
      </c>
      <c r="Q1891" t="s">
        <v>38</v>
      </c>
      <c r="R1891">
        <v>415174</v>
      </c>
      <c r="S1891" t="s">
        <v>2451</v>
      </c>
      <c r="T1891" s="2">
        <v>11</v>
      </c>
      <c r="U1891">
        <v>0</v>
      </c>
      <c r="V1891" t="s">
        <v>153</v>
      </c>
      <c r="W1891">
        <v>1</v>
      </c>
      <c r="X1891">
        <v>1</v>
      </c>
      <c r="Y1891">
        <v>0</v>
      </c>
      <c r="Z1891" t="s">
        <v>183</v>
      </c>
      <c r="AA1891" t="s">
        <v>184</v>
      </c>
      <c r="AB1891" t="s">
        <v>14</v>
      </c>
      <c r="AC1891">
        <v>25</v>
      </c>
      <c r="AD1891">
        <v>25</v>
      </c>
      <c r="AE1891">
        <v>9442813682</v>
      </c>
      <c r="AF1891">
        <v>4023.63</v>
      </c>
      <c r="AG1891">
        <v>0</v>
      </c>
      <c r="AH1891">
        <v>0</v>
      </c>
      <c r="AI1891">
        <v>4023.63</v>
      </c>
      <c r="AJ1891" t="s">
        <v>2</v>
      </c>
      <c r="AK1891" t="s">
        <v>11</v>
      </c>
    </row>
    <row r="1892" spans="1:37">
      <c r="A1892">
        <v>257873</v>
      </c>
      <c r="B1892" s="1">
        <v>45366</v>
      </c>
      <c r="C1892" t="s">
        <v>2716</v>
      </c>
      <c r="D1892" t="s">
        <v>2717</v>
      </c>
      <c r="E1892" t="s">
        <v>2718</v>
      </c>
      <c r="F1892" t="s">
        <v>2719</v>
      </c>
      <c r="G1892" t="s">
        <v>547</v>
      </c>
      <c r="H1892">
        <v>29526</v>
      </c>
      <c r="I1892" t="s">
        <v>2720</v>
      </c>
      <c r="J1892" t="s">
        <v>2721</v>
      </c>
      <c r="K1892" t="s">
        <v>2</v>
      </c>
      <c r="L1892" t="s">
        <v>2719</v>
      </c>
      <c r="M1892" t="s">
        <v>547</v>
      </c>
      <c r="N1892">
        <v>29526</v>
      </c>
      <c r="O1892" t="s">
        <v>2722</v>
      </c>
      <c r="P1892">
        <v>49887</v>
      </c>
      <c r="Q1892" t="s">
        <v>21</v>
      </c>
      <c r="R1892">
        <v>415177</v>
      </c>
      <c r="S1892" t="s">
        <v>2451</v>
      </c>
      <c r="T1892" s="2">
        <v>91</v>
      </c>
      <c r="U1892">
        <v>0</v>
      </c>
      <c r="V1892" t="s">
        <v>260</v>
      </c>
      <c r="W1892">
        <v>0</v>
      </c>
      <c r="X1892">
        <v>0</v>
      </c>
      <c r="Y1892">
        <v>0</v>
      </c>
      <c r="Z1892" t="s">
        <v>9</v>
      </c>
      <c r="AA1892" t="s">
        <v>2</v>
      </c>
      <c r="AB1892" t="s">
        <v>10</v>
      </c>
      <c r="AC1892">
        <v>0</v>
      </c>
      <c r="AD1892">
        <v>0</v>
      </c>
      <c r="AE1892">
        <v>9442816773</v>
      </c>
      <c r="AF1892">
        <v>3837.01</v>
      </c>
      <c r="AG1892">
        <v>0</v>
      </c>
      <c r="AH1892">
        <v>0</v>
      </c>
      <c r="AI1892">
        <v>3837.01</v>
      </c>
      <c r="AJ1892" t="s">
        <v>2</v>
      </c>
      <c r="AK1892" t="s">
        <v>11</v>
      </c>
    </row>
    <row r="1893" spans="1:37">
      <c r="A1893">
        <v>257873</v>
      </c>
      <c r="B1893" s="1">
        <v>45366</v>
      </c>
      <c r="C1893" t="s">
        <v>2716</v>
      </c>
      <c r="D1893" t="s">
        <v>2717</v>
      </c>
      <c r="E1893" t="s">
        <v>2718</v>
      </c>
      <c r="F1893" t="s">
        <v>2719</v>
      </c>
      <c r="G1893" t="s">
        <v>547</v>
      </c>
      <c r="H1893">
        <v>29526</v>
      </c>
      <c r="I1893" t="s">
        <v>2720</v>
      </c>
      <c r="J1893" t="s">
        <v>2721</v>
      </c>
      <c r="K1893" t="s">
        <v>2</v>
      </c>
      <c r="L1893" t="s">
        <v>2719</v>
      </c>
      <c r="M1893" t="s">
        <v>547</v>
      </c>
      <c r="N1893">
        <v>29526</v>
      </c>
      <c r="O1893" t="s">
        <v>2722</v>
      </c>
      <c r="P1893">
        <v>49887</v>
      </c>
      <c r="Q1893" t="s">
        <v>21</v>
      </c>
      <c r="R1893">
        <v>415177</v>
      </c>
      <c r="S1893" t="s">
        <v>2451</v>
      </c>
      <c r="T1893" s="2">
        <v>91</v>
      </c>
      <c r="U1893">
        <v>0</v>
      </c>
      <c r="V1893" t="s">
        <v>260</v>
      </c>
      <c r="W1893">
        <v>40</v>
      </c>
      <c r="X1893">
        <v>40</v>
      </c>
      <c r="Y1893">
        <v>0</v>
      </c>
      <c r="Z1893" t="s">
        <v>2723</v>
      </c>
      <c r="AA1893" t="s">
        <v>2724</v>
      </c>
      <c r="AB1893" t="s">
        <v>14</v>
      </c>
      <c r="AC1893">
        <v>1.3994</v>
      </c>
      <c r="AD1893">
        <v>55.98</v>
      </c>
      <c r="AE1893">
        <v>9442816773</v>
      </c>
      <c r="AF1893">
        <v>3837.01</v>
      </c>
      <c r="AG1893">
        <v>0</v>
      </c>
      <c r="AH1893">
        <v>0</v>
      </c>
      <c r="AI1893">
        <v>3837.01</v>
      </c>
      <c r="AJ1893" t="s">
        <v>2</v>
      </c>
      <c r="AK1893" t="s">
        <v>11</v>
      </c>
    </row>
    <row r="1894" spans="1:37">
      <c r="A1894">
        <v>257873</v>
      </c>
      <c r="B1894" s="1">
        <v>45366</v>
      </c>
      <c r="C1894" t="s">
        <v>2716</v>
      </c>
      <c r="D1894" t="s">
        <v>2717</v>
      </c>
      <c r="E1894" t="s">
        <v>2718</v>
      </c>
      <c r="F1894" t="s">
        <v>2719</v>
      </c>
      <c r="G1894" t="s">
        <v>547</v>
      </c>
      <c r="H1894">
        <v>29526</v>
      </c>
      <c r="I1894" t="s">
        <v>2720</v>
      </c>
      <c r="J1894" t="s">
        <v>2721</v>
      </c>
      <c r="K1894" t="s">
        <v>2</v>
      </c>
      <c r="L1894" t="s">
        <v>2719</v>
      </c>
      <c r="M1894" t="s">
        <v>547</v>
      </c>
      <c r="N1894">
        <v>29526</v>
      </c>
      <c r="O1894" t="s">
        <v>2722</v>
      </c>
      <c r="P1894">
        <v>49887</v>
      </c>
      <c r="Q1894" t="s">
        <v>21</v>
      </c>
      <c r="R1894">
        <v>415177</v>
      </c>
      <c r="S1894" t="s">
        <v>2451</v>
      </c>
      <c r="T1894" s="2">
        <v>91</v>
      </c>
      <c r="U1894">
        <v>0</v>
      </c>
      <c r="V1894" t="s">
        <v>260</v>
      </c>
      <c r="W1894">
        <v>4</v>
      </c>
      <c r="X1894">
        <v>4</v>
      </c>
      <c r="Y1894">
        <v>0</v>
      </c>
      <c r="Z1894" t="s">
        <v>2725</v>
      </c>
      <c r="AA1894" t="s">
        <v>2726</v>
      </c>
      <c r="AB1894" t="s">
        <v>14</v>
      </c>
      <c r="AC1894">
        <v>31.361699999999999</v>
      </c>
      <c r="AD1894">
        <v>125.45</v>
      </c>
      <c r="AE1894">
        <v>9442816773</v>
      </c>
      <c r="AF1894">
        <v>3837.01</v>
      </c>
      <c r="AG1894">
        <v>0</v>
      </c>
      <c r="AH1894">
        <v>0</v>
      </c>
      <c r="AI1894">
        <v>3837.01</v>
      </c>
      <c r="AJ1894" t="s">
        <v>2</v>
      </c>
      <c r="AK1894" t="s">
        <v>11</v>
      </c>
    </row>
    <row r="1895" spans="1:37">
      <c r="A1895">
        <v>257873</v>
      </c>
      <c r="B1895" s="1">
        <v>45366</v>
      </c>
      <c r="C1895" t="s">
        <v>2716</v>
      </c>
      <c r="D1895" t="s">
        <v>2717</v>
      </c>
      <c r="E1895" t="s">
        <v>2718</v>
      </c>
      <c r="F1895" t="s">
        <v>2719</v>
      </c>
      <c r="G1895" t="s">
        <v>547</v>
      </c>
      <c r="H1895">
        <v>29526</v>
      </c>
      <c r="I1895" t="s">
        <v>2720</v>
      </c>
      <c r="J1895" t="s">
        <v>2721</v>
      </c>
      <c r="K1895" t="s">
        <v>2</v>
      </c>
      <c r="L1895" t="s">
        <v>2719</v>
      </c>
      <c r="M1895" t="s">
        <v>547</v>
      </c>
      <c r="N1895">
        <v>29526</v>
      </c>
      <c r="O1895" t="s">
        <v>2722</v>
      </c>
      <c r="P1895">
        <v>49887</v>
      </c>
      <c r="Q1895" t="s">
        <v>21</v>
      </c>
      <c r="R1895">
        <v>415177</v>
      </c>
      <c r="S1895" t="s">
        <v>2451</v>
      </c>
      <c r="T1895" s="2">
        <v>91</v>
      </c>
      <c r="U1895">
        <v>0</v>
      </c>
      <c r="V1895" t="s">
        <v>260</v>
      </c>
      <c r="W1895">
        <v>0</v>
      </c>
      <c r="X1895">
        <v>0</v>
      </c>
      <c r="Y1895">
        <v>0</v>
      </c>
      <c r="Z1895" t="s">
        <v>88</v>
      </c>
      <c r="AA1895" t="s">
        <v>2640</v>
      </c>
      <c r="AB1895" t="s">
        <v>10</v>
      </c>
      <c r="AC1895">
        <v>0</v>
      </c>
      <c r="AD1895">
        <v>0</v>
      </c>
      <c r="AE1895">
        <v>9442816773</v>
      </c>
      <c r="AF1895">
        <v>3837.01</v>
      </c>
      <c r="AG1895">
        <v>0</v>
      </c>
      <c r="AH1895">
        <v>0</v>
      </c>
      <c r="AI1895">
        <v>3837.01</v>
      </c>
      <c r="AJ1895" t="s">
        <v>2</v>
      </c>
      <c r="AK1895" t="s">
        <v>11</v>
      </c>
    </row>
    <row r="1896" spans="1:37">
      <c r="A1896">
        <v>257873</v>
      </c>
      <c r="B1896" s="1">
        <v>45366</v>
      </c>
      <c r="C1896" t="s">
        <v>2716</v>
      </c>
      <c r="D1896" t="s">
        <v>2717</v>
      </c>
      <c r="E1896" t="s">
        <v>2718</v>
      </c>
      <c r="F1896" t="s">
        <v>2719</v>
      </c>
      <c r="G1896" t="s">
        <v>547</v>
      </c>
      <c r="H1896">
        <v>29526</v>
      </c>
      <c r="I1896" t="s">
        <v>2720</v>
      </c>
      <c r="J1896" t="s">
        <v>2721</v>
      </c>
      <c r="K1896" t="s">
        <v>2</v>
      </c>
      <c r="L1896" t="s">
        <v>2719</v>
      </c>
      <c r="M1896" t="s">
        <v>547</v>
      </c>
      <c r="N1896">
        <v>29526</v>
      </c>
      <c r="O1896" t="s">
        <v>2722</v>
      </c>
      <c r="P1896">
        <v>49887</v>
      </c>
      <c r="Q1896" t="s">
        <v>21</v>
      </c>
      <c r="R1896">
        <v>415177</v>
      </c>
      <c r="S1896" t="s">
        <v>2451</v>
      </c>
      <c r="T1896" s="2">
        <v>91</v>
      </c>
      <c r="U1896">
        <v>0</v>
      </c>
      <c r="V1896" t="s">
        <v>260</v>
      </c>
      <c r="W1896">
        <v>12</v>
      </c>
      <c r="X1896">
        <v>12</v>
      </c>
      <c r="Y1896">
        <v>0</v>
      </c>
      <c r="Z1896" t="s">
        <v>2727</v>
      </c>
      <c r="AA1896" t="s">
        <v>2728</v>
      </c>
      <c r="AB1896" t="s">
        <v>14</v>
      </c>
      <c r="AC1896">
        <v>44.275199999999998</v>
      </c>
      <c r="AD1896">
        <v>531.29999999999995</v>
      </c>
      <c r="AE1896">
        <v>9442816773</v>
      </c>
      <c r="AF1896">
        <v>3837.01</v>
      </c>
      <c r="AG1896">
        <v>0</v>
      </c>
      <c r="AH1896">
        <v>0</v>
      </c>
      <c r="AI1896">
        <v>3837.01</v>
      </c>
      <c r="AJ1896" t="s">
        <v>2</v>
      </c>
      <c r="AK1896" t="s">
        <v>11</v>
      </c>
    </row>
    <row r="1897" spans="1:37">
      <c r="A1897">
        <v>257873</v>
      </c>
      <c r="B1897" s="1">
        <v>45366</v>
      </c>
      <c r="C1897" t="s">
        <v>2716</v>
      </c>
      <c r="D1897" t="s">
        <v>2717</v>
      </c>
      <c r="E1897" t="s">
        <v>2718</v>
      </c>
      <c r="F1897" t="s">
        <v>2719</v>
      </c>
      <c r="G1897" t="s">
        <v>547</v>
      </c>
      <c r="H1897">
        <v>29526</v>
      </c>
      <c r="I1897" t="s">
        <v>2720</v>
      </c>
      <c r="J1897" t="s">
        <v>2721</v>
      </c>
      <c r="K1897" t="s">
        <v>2</v>
      </c>
      <c r="L1897" t="s">
        <v>2719</v>
      </c>
      <c r="M1897" t="s">
        <v>547</v>
      </c>
      <c r="N1897">
        <v>29526</v>
      </c>
      <c r="O1897" t="s">
        <v>2722</v>
      </c>
      <c r="P1897">
        <v>49887</v>
      </c>
      <c r="Q1897" t="s">
        <v>21</v>
      </c>
      <c r="R1897">
        <v>415177</v>
      </c>
      <c r="S1897" t="s">
        <v>2451</v>
      </c>
      <c r="T1897" s="2">
        <v>91</v>
      </c>
      <c r="U1897">
        <v>0</v>
      </c>
      <c r="V1897" t="s">
        <v>260</v>
      </c>
      <c r="W1897">
        <v>0</v>
      </c>
      <c r="X1897">
        <v>0</v>
      </c>
      <c r="Y1897">
        <v>0</v>
      </c>
      <c r="Z1897" t="s">
        <v>88</v>
      </c>
      <c r="AA1897" t="s">
        <v>2640</v>
      </c>
      <c r="AB1897" t="s">
        <v>10</v>
      </c>
      <c r="AC1897">
        <v>0</v>
      </c>
      <c r="AD1897">
        <v>0</v>
      </c>
      <c r="AE1897">
        <v>9442816773</v>
      </c>
      <c r="AF1897">
        <v>3837.01</v>
      </c>
      <c r="AG1897">
        <v>0</v>
      </c>
      <c r="AH1897">
        <v>0</v>
      </c>
      <c r="AI1897">
        <v>3837.01</v>
      </c>
      <c r="AJ1897" t="s">
        <v>2</v>
      </c>
      <c r="AK1897" t="s">
        <v>11</v>
      </c>
    </row>
    <row r="1898" spans="1:37">
      <c r="A1898">
        <v>257873</v>
      </c>
      <c r="B1898" s="1">
        <v>45366</v>
      </c>
      <c r="C1898" t="s">
        <v>2716</v>
      </c>
      <c r="D1898" t="s">
        <v>2717</v>
      </c>
      <c r="E1898" t="s">
        <v>2718</v>
      </c>
      <c r="F1898" t="s">
        <v>2719</v>
      </c>
      <c r="G1898" t="s">
        <v>547</v>
      </c>
      <c r="H1898">
        <v>29526</v>
      </c>
      <c r="I1898" t="s">
        <v>2720</v>
      </c>
      <c r="J1898" t="s">
        <v>2721</v>
      </c>
      <c r="K1898" t="s">
        <v>2</v>
      </c>
      <c r="L1898" t="s">
        <v>2719</v>
      </c>
      <c r="M1898" t="s">
        <v>547</v>
      </c>
      <c r="N1898">
        <v>29526</v>
      </c>
      <c r="O1898" t="s">
        <v>2722</v>
      </c>
      <c r="P1898">
        <v>49887</v>
      </c>
      <c r="Q1898" t="s">
        <v>21</v>
      </c>
      <c r="R1898">
        <v>415177</v>
      </c>
      <c r="S1898" t="s">
        <v>2451</v>
      </c>
      <c r="T1898" s="2">
        <v>91</v>
      </c>
      <c r="U1898">
        <v>0</v>
      </c>
      <c r="V1898" t="s">
        <v>260</v>
      </c>
      <c r="W1898">
        <v>8</v>
      </c>
      <c r="X1898">
        <v>8</v>
      </c>
      <c r="Y1898">
        <v>0</v>
      </c>
      <c r="Z1898" t="s">
        <v>2729</v>
      </c>
      <c r="AA1898" t="s">
        <v>2730</v>
      </c>
      <c r="AB1898" t="s">
        <v>14</v>
      </c>
      <c r="AC1898">
        <v>51.654400000000003</v>
      </c>
      <c r="AD1898">
        <v>413.24</v>
      </c>
      <c r="AE1898">
        <v>9442816773</v>
      </c>
      <c r="AF1898">
        <v>3837.01</v>
      </c>
      <c r="AG1898">
        <v>0</v>
      </c>
      <c r="AH1898">
        <v>0</v>
      </c>
      <c r="AI1898">
        <v>3837.01</v>
      </c>
      <c r="AJ1898" t="s">
        <v>2</v>
      </c>
      <c r="AK1898" t="s">
        <v>11</v>
      </c>
    </row>
    <row r="1899" spans="1:37">
      <c r="A1899">
        <v>257873</v>
      </c>
      <c r="B1899" s="1">
        <v>45366</v>
      </c>
      <c r="C1899" t="s">
        <v>2716</v>
      </c>
      <c r="D1899" t="s">
        <v>2717</v>
      </c>
      <c r="E1899" t="s">
        <v>2718</v>
      </c>
      <c r="F1899" t="s">
        <v>2719</v>
      </c>
      <c r="G1899" t="s">
        <v>547</v>
      </c>
      <c r="H1899">
        <v>29526</v>
      </c>
      <c r="I1899" t="s">
        <v>2720</v>
      </c>
      <c r="J1899" t="s">
        <v>2721</v>
      </c>
      <c r="K1899" t="s">
        <v>2</v>
      </c>
      <c r="L1899" t="s">
        <v>2719</v>
      </c>
      <c r="M1899" t="s">
        <v>547</v>
      </c>
      <c r="N1899">
        <v>29526</v>
      </c>
      <c r="O1899" t="s">
        <v>2722</v>
      </c>
      <c r="P1899">
        <v>49887</v>
      </c>
      <c r="Q1899" t="s">
        <v>21</v>
      </c>
      <c r="R1899">
        <v>415177</v>
      </c>
      <c r="S1899" t="s">
        <v>2451</v>
      </c>
      <c r="T1899" s="2">
        <v>91</v>
      </c>
      <c r="U1899">
        <v>0</v>
      </c>
      <c r="V1899" t="s">
        <v>260</v>
      </c>
      <c r="W1899">
        <v>0</v>
      </c>
      <c r="X1899">
        <v>0</v>
      </c>
      <c r="Y1899">
        <v>0</v>
      </c>
      <c r="Z1899" t="s">
        <v>88</v>
      </c>
      <c r="AA1899" t="s">
        <v>2640</v>
      </c>
      <c r="AB1899" t="s">
        <v>10</v>
      </c>
      <c r="AC1899">
        <v>0</v>
      </c>
      <c r="AD1899">
        <v>0</v>
      </c>
      <c r="AE1899">
        <v>9442816773</v>
      </c>
      <c r="AF1899">
        <v>3837.01</v>
      </c>
      <c r="AG1899">
        <v>0</v>
      </c>
      <c r="AH1899">
        <v>0</v>
      </c>
      <c r="AI1899">
        <v>3837.01</v>
      </c>
      <c r="AJ1899" t="s">
        <v>2</v>
      </c>
      <c r="AK1899" t="s">
        <v>11</v>
      </c>
    </row>
    <row r="1900" spans="1:37">
      <c r="A1900">
        <v>257873</v>
      </c>
      <c r="B1900" s="1">
        <v>45366</v>
      </c>
      <c r="C1900" t="s">
        <v>2716</v>
      </c>
      <c r="D1900" t="s">
        <v>2717</v>
      </c>
      <c r="E1900" t="s">
        <v>2718</v>
      </c>
      <c r="F1900" t="s">
        <v>2719</v>
      </c>
      <c r="G1900" t="s">
        <v>547</v>
      </c>
      <c r="H1900">
        <v>29526</v>
      </c>
      <c r="I1900" t="s">
        <v>2720</v>
      </c>
      <c r="J1900" t="s">
        <v>2721</v>
      </c>
      <c r="K1900" t="s">
        <v>2</v>
      </c>
      <c r="L1900" t="s">
        <v>2719</v>
      </c>
      <c r="M1900" t="s">
        <v>547</v>
      </c>
      <c r="N1900">
        <v>29526</v>
      </c>
      <c r="O1900" t="s">
        <v>2722</v>
      </c>
      <c r="P1900">
        <v>49887</v>
      </c>
      <c r="Q1900" t="s">
        <v>21</v>
      </c>
      <c r="R1900">
        <v>415177</v>
      </c>
      <c r="S1900" t="s">
        <v>2451</v>
      </c>
      <c r="T1900" s="2">
        <v>91</v>
      </c>
      <c r="U1900">
        <v>0</v>
      </c>
      <c r="V1900" t="s">
        <v>260</v>
      </c>
      <c r="W1900">
        <v>4</v>
      </c>
      <c r="X1900">
        <v>4</v>
      </c>
      <c r="Y1900">
        <v>0</v>
      </c>
      <c r="Z1900" t="s">
        <v>2641</v>
      </c>
      <c r="AA1900" t="s">
        <v>2642</v>
      </c>
      <c r="AB1900" t="s">
        <v>14</v>
      </c>
      <c r="AC1900">
        <v>73.792000000000002</v>
      </c>
      <c r="AD1900">
        <v>295.17</v>
      </c>
      <c r="AE1900">
        <v>9442816773</v>
      </c>
      <c r="AF1900">
        <v>3837.01</v>
      </c>
      <c r="AG1900">
        <v>0</v>
      </c>
      <c r="AH1900">
        <v>0</v>
      </c>
      <c r="AI1900">
        <v>3837.01</v>
      </c>
      <c r="AJ1900" t="s">
        <v>2</v>
      </c>
      <c r="AK1900" t="s">
        <v>11</v>
      </c>
    </row>
    <row r="1901" spans="1:37">
      <c r="A1901">
        <v>257873</v>
      </c>
      <c r="B1901" s="1">
        <v>45366</v>
      </c>
      <c r="C1901" t="s">
        <v>2716</v>
      </c>
      <c r="D1901" t="s">
        <v>2717</v>
      </c>
      <c r="E1901" t="s">
        <v>2718</v>
      </c>
      <c r="F1901" t="s">
        <v>2719</v>
      </c>
      <c r="G1901" t="s">
        <v>547</v>
      </c>
      <c r="H1901">
        <v>29526</v>
      </c>
      <c r="I1901" t="s">
        <v>2720</v>
      </c>
      <c r="J1901" t="s">
        <v>2721</v>
      </c>
      <c r="K1901" t="s">
        <v>2</v>
      </c>
      <c r="L1901" t="s">
        <v>2719</v>
      </c>
      <c r="M1901" t="s">
        <v>547</v>
      </c>
      <c r="N1901">
        <v>29526</v>
      </c>
      <c r="O1901" t="s">
        <v>2722</v>
      </c>
      <c r="P1901">
        <v>49887</v>
      </c>
      <c r="Q1901" t="s">
        <v>21</v>
      </c>
      <c r="R1901">
        <v>415177</v>
      </c>
      <c r="S1901" t="s">
        <v>2451</v>
      </c>
      <c r="T1901" s="2">
        <v>91</v>
      </c>
      <c r="U1901">
        <v>0</v>
      </c>
      <c r="V1901" t="s">
        <v>260</v>
      </c>
      <c r="W1901">
        <v>0</v>
      </c>
      <c r="X1901">
        <v>0</v>
      </c>
      <c r="Y1901">
        <v>0</v>
      </c>
      <c r="Z1901" t="s">
        <v>88</v>
      </c>
      <c r="AA1901" t="s">
        <v>2640</v>
      </c>
      <c r="AB1901" t="s">
        <v>10</v>
      </c>
      <c r="AC1901">
        <v>0</v>
      </c>
      <c r="AD1901">
        <v>0</v>
      </c>
      <c r="AE1901">
        <v>9442816773</v>
      </c>
      <c r="AF1901">
        <v>3837.01</v>
      </c>
      <c r="AG1901">
        <v>0</v>
      </c>
      <c r="AH1901">
        <v>0</v>
      </c>
      <c r="AI1901">
        <v>3837.01</v>
      </c>
      <c r="AJ1901" t="s">
        <v>2</v>
      </c>
      <c r="AK1901" t="s">
        <v>11</v>
      </c>
    </row>
    <row r="1902" spans="1:37">
      <c r="A1902">
        <v>257873</v>
      </c>
      <c r="B1902" s="1">
        <v>45366</v>
      </c>
      <c r="C1902" t="s">
        <v>2716</v>
      </c>
      <c r="D1902" t="s">
        <v>2717</v>
      </c>
      <c r="E1902" t="s">
        <v>2718</v>
      </c>
      <c r="F1902" t="s">
        <v>2719</v>
      </c>
      <c r="G1902" t="s">
        <v>547</v>
      </c>
      <c r="H1902">
        <v>29526</v>
      </c>
      <c r="I1902" t="s">
        <v>2720</v>
      </c>
      <c r="J1902" t="s">
        <v>2721</v>
      </c>
      <c r="K1902" t="s">
        <v>2</v>
      </c>
      <c r="L1902" t="s">
        <v>2719</v>
      </c>
      <c r="M1902" t="s">
        <v>547</v>
      </c>
      <c r="N1902">
        <v>29526</v>
      </c>
      <c r="O1902" t="s">
        <v>2722</v>
      </c>
      <c r="P1902">
        <v>49887</v>
      </c>
      <c r="Q1902" t="s">
        <v>21</v>
      </c>
      <c r="R1902">
        <v>415177</v>
      </c>
      <c r="S1902" t="s">
        <v>2451</v>
      </c>
      <c r="T1902" s="2">
        <v>91</v>
      </c>
      <c r="U1902">
        <v>0</v>
      </c>
      <c r="V1902" t="s">
        <v>260</v>
      </c>
      <c r="W1902">
        <v>15</v>
      </c>
      <c r="X1902">
        <v>15</v>
      </c>
      <c r="Y1902">
        <v>0</v>
      </c>
      <c r="Z1902" t="s">
        <v>2661</v>
      </c>
      <c r="AA1902" t="s">
        <v>2662</v>
      </c>
      <c r="AB1902" t="s">
        <v>14</v>
      </c>
      <c r="AC1902">
        <v>88.550399999999996</v>
      </c>
      <c r="AD1902">
        <v>1328.26</v>
      </c>
      <c r="AE1902">
        <v>9442816773</v>
      </c>
      <c r="AF1902">
        <v>3837.01</v>
      </c>
      <c r="AG1902">
        <v>0</v>
      </c>
      <c r="AH1902">
        <v>0</v>
      </c>
      <c r="AI1902">
        <v>3837.01</v>
      </c>
      <c r="AJ1902" t="s">
        <v>2</v>
      </c>
      <c r="AK1902" t="s">
        <v>11</v>
      </c>
    </row>
    <row r="1903" spans="1:37">
      <c r="A1903">
        <v>257873</v>
      </c>
      <c r="B1903" s="1">
        <v>45366</v>
      </c>
      <c r="C1903" t="s">
        <v>2716</v>
      </c>
      <c r="D1903" t="s">
        <v>2717</v>
      </c>
      <c r="E1903" t="s">
        <v>2718</v>
      </c>
      <c r="F1903" t="s">
        <v>2719</v>
      </c>
      <c r="G1903" t="s">
        <v>547</v>
      </c>
      <c r="H1903">
        <v>29526</v>
      </c>
      <c r="I1903" t="s">
        <v>2720</v>
      </c>
      <c r="J1903" t="s">
        <v>2721</v>
      </c>
      <c r="K1903" t="s">
        <v>2</v>
      </c>
      <c r="L1903" t="s">
        <v>2719</v>
      </c>
      <c r="M1903" t="s">
        <v>547</v>
      </c>
      <c r="N1903">
        <v>29526</v>
      </c>
      <c r="O1903" t="s">
        <v>2722</v>
      </c>
      <c r="P1903">
        <v>49887</v>
      </c>
      <c r="Q1903" t="s">
        <v>21</v>
      </c>
      <c r="R1903">
        <v>415177</v>
      </c>
      <c r="S1903" t="s">
        <v>2451</v>
      </c>
      <c r="T1903" s="2">
        <v>91</v>
      </c>
      <c r="U1903">
        <v>0</v>
      </c>
      <c r="V1903" t="s">
        <v>260</v>
      </c>
      <c r="W1903">
        <v>0</v>
      </c>
      <c r="X1903">
        <v>0</v>
      </c>
      <c r="Y1903">
        <v>0</v>
      </c>
      <c r="Z1903" t="s">
        <v>88</v>
      </c>
      <c r="AA1903" t="s">
        <v>2640</v>
      </c>
      <c r="AB1903" t="s">
        <v>10</v>
      </c>
      <c r="AC1903">
        <v>0</v>
      </c>
      <c r="AD1903">
        <v>0</v>
      </c>
      <c r="AE1903">
        <v>9442816773</v>
      </c>
      <c r="AF1903">
        <v>3837.01</v>
      </c>
      <c r="AG1903">
        <v>0</v>
      </c>
      <c r="AH1903">
        <v>0</v>
      </c>
      <c r="AI1903">
        <v>3837.01</v>
      </c>
      <c r="AJ1903" t="s">
        <v>2</v>
      </c>
      <c r="AK1903" t="s">
        <v>11</v>
      </c>
    </row>
    <row r="1904" spans="1:37">
      <c r="A1904">
        <v>257873</v>
      </c>
      <c r="B1904" s="1">
        <v>45366</v>
      </c>
      <c r="C1904" t="s">
        <v>2716</v>
      </c>
      <c r="D1904" t="s">
        <v>2717</v>
      </c>
      <c r="E1904" t="s">
        <v>2718</v>
      </c>
      <c r="F1904" t="s">
        <v>2719</v>
      </c>
      <c r="G1904" t="s">
        <v>547</v>
      </c>
      <c r="H1904">
        <v>29526</v>
      </c>
      <c r="I1904" t="s">
        <v>2720</v>
      </c>
      <c r="J1904" t="s">
        <v>2721</v>
      </c>
      <c r="K1904" t="s">
        <v>2</v>
      </c>
      <c r="L1904" t="s">
        <v>2719</v>
      </c>
      <c r="M1904" t="s">
        <v>547</v>
      </c>
      <c r="N1904">
        <v>29526</v>
      </c>
      <c r="O1904" t="s">
        <v>2722</v>
      </c>
      <c r="P1904">
        <v>49887</v>
      </c>
      <c r="Q1904" t="s">
        <v>21</v>
      </c>
      <c r="R1904">
        <v>415177</v>
      </c>
      <c r="S1904" t="s">
        <v>2451</v>
      </c>
      <c r="T1904" s="2">
        <v>91</v>
      </c>
      <c r="U1904">
        <v>0</v>
      </c>
      <c r="V1904" t="s">
        <v>260</v>
      </c>
      <c r="W1904">
        <v>4</v>
      </c>
      <c r="X1904">
        <v>4</v>
      </c>
      <c r="Y1904">
        <v>0</v>
      </c>
      <c r="Z1904" t="s">
        <v>2645</v>
      </c>
      <c r="AA1904" t="s">
        <v>2646</v>
      </c>
      <c r="AB1904" t="s">
        <v>14</v>
      </c>
      <c r="AC1904">
        <v>110.688</v>
      </c>
      <c r="AD1904">
        <v>442.75</v>
      </c>
      <c r="AE1904">
        <v>9442816773</v>
      </c>
      <c r="AF1904">
        <v>3837.01</v>
      </c>
      <c r="AG1904">
        <v>0</v>
      </c>
      <c r="AH1904">
        <v>0</v>
      </c>
      <c r="AI1904">
        <v>3837.01</v>
      </c>
      <c r="AJ1904" t="s">
        <v>2</v>
      </c>
      <c r="AK1904" t="s">
        <v>11</v>
      </c>
    </row>
    <row r="1905" spans="1:37">
      <c r="A1905">
        <v>257873</v>
      </c>
      <c r="B1905" s="1">
        <v>45366</v>
      </c>
      <c r="C1905" t="s">
        <v>2716</v>
      </c>
      <c r="D1905" t="s">
        <v>2717</v>
      </c>
      <c r="E1905" t="s">
        <v>2718</v>
      </c>
      <c r="F1905" t="s">
        <v>2719</v>
      </c>
      <c r="G1905" t="s">
        <v>547</v>
      </c>
      <c r="H1905">
        <v>29526</v>
      </c>
      <c r="I1905" t="s">
        <v>2720</v>
      </c>
      <c r="J1905" t="s">
        <v>2721</v>
      </c>
      <c r="K1905" t="s">
        <v>2</v>
      </c>
      <c r="L1905" t="s">
        <v>2719</v>
      </c>
      <c r="M1905" t="s">
        <v>547</v>
      </c>
      <c r="N1905">
        <v>29526</v>
      </c>
      <c r="O1905" t="s">
        <v>2722</v>
      </c>
      <c r="P1905">
        <v>49887</v>
      </c>
      <c r="Q1905" t="s">
        <v>21</v>
      </c>
      <c r="R1905">
        <v>415177</v>
      </c>
      <c r="S1905" t="s">
        <v>2451</v>
      </c>
      <c r="T1905" s="2">
        <v>91</v>
      </c>
      <c r="U1905">
        <v>0</v>
      </c>
      <c r="V1905" t="s">
        <v>260</v>
      </c>
      <c r="W1905">
        <v>0</v>
      </c>
      <c r="X1905">
        <v>0</v>
      </c>
      <c r="Y1905">
        <v>0</v>
      </c>
      <c r="Z1905" t="s">
        <v>88</v>
      </c>
      <c r="AA1905" t="s">
        <v>2640</v>
      </c>
      <c r="AB1905" t="s">
        <v>10</v>
      </c>
      <c r="AC1905">
        <v>0</v>
      </c>
      <c r="AD1905">
        <v>0</v>
      </c>
      <c r="AE1905">
        <v>9442816773</v>
      </c>
      <c r="AF1905">
        <v>3837.01</v>
      </c>
      <c r="AG1905">
        <v>0</v>
      </c>
      <c r="AH1905">
        <v>0</v>
      </c>
      <c r="AI1905">
        <v>3837.01</v>
      </c>
      <c r="AJ1905" t="s">
        <v>2</v>
      </c>
      <c r="AK1905" t="s">
        <v>11</v>
      </c>
    </row>
    <row r="1906" spans="1:37">
      <c r="A1906">
        <v>257873</v>
      </c>
      <c r="B1906" s="1">
        <v>45366</v>
      </c>
      <c r="C1906" t="s">
        <v>2716</v>
      </c>
      <c r="D1906" t="s">
        <v>2717</v>
      </c>
      <c r="E1906" t="s">
        <v>2718</v>
      </c>
      <c r="F1906" t="s">
        <v>2719</v>
      </c>
      <c r="G1906" t="s">
        <v>547</v>
      </c>
      <c r="H1906">
        <v>29526</v>
      </c>
      <c r="I1906" t="s">
        <v>2720</v>
      </c>
      <c r="J1906" t="s">
        <v>2721</v>
      </c>
      <c r="K1906" t="s">
        <v>2</v>
      </c>
      <c r="L1906" t="s">
        <v>2719</v>
      </c>
      <c r="M1906" t="s">
        <v>547</v>
      </c>
      <c r="N1906">
        <v>29526</v>
      </c>
      <c r="O1906" t="s">
        <v>2722</v>
      </c>
      <c r="P1906">
        <v>49887</v>
      </c>
      <c r="Q1906" t="s">
        <v>21</v>
      </c>
      <c r="R1906">
        <v>415177</v>
      </c>
      <c r="S1906" t="s">
        <v>2451</v>
      </c>
      <c r="T1906" s="2">
        <v>91</v>
      </c>
      <c r="U1906">
        <v>0</v>
      </c>
      <c r="V1906" t="s">
        <v>260</v>
      </c>
      <c r="W1906">
        <v>2</v>
      </c>
      <c r="X1906">
        <v>2</v>
      </c>
      <c r="Y1906">
        <v>0</v>
      </c>
      <c r="Z1906" t="s">
        <v>2731</v>
      </c>
      <c r="AA1906" t="s">
        <v>2732</v>
      </c>
      <c r="AB1906" t="s">
        <v>14</v>
      </c>
      <c r="AC1906">
        <v>199.2397</v>
      </c>
      <c r="AD1906">
        <v>398.48</v>
      </c>
      <c r="AE1906">
        <v>9442816773</v>
      </c>
      <c r="AF1906">
        <v>3837.01</v>
      </c>
      <c r="AG1906">
        <v>0</v>
      </c>
      <c r="AH1906">
        <v>0</v>
      </c>
      <c r="AI1906">
        <v>3837.01</v>
      </c>
      <c r="AJ1906" t="s">
        <v>2</v>
      </c>
      <c r="AK1906" t="s">
        <v>11</v>
      </c>
    </row>
    <row r="1907" spans="1:37">
      <c r="A1907">
        <v>257873</v>
      </c>
      <c r="B1907" s="1">
        <v>45366</v>
      </c>
      <c r="C1907" t="s">
        <v>2716</v>
      </c>
      <c r="D1907" t="s">
        <v>2717</v>
      </c>
      <c r="E1907" t="s">
        <v>2718</v>
      </c>
      <c r="F1907" t="s">
        <v>2719</v>
      </c>
      <c r="G1907" t="s">
        <v>547</v>
      </c>
      <c r="H1907">
        <v>29526</v>
      </c>
      <c r="I1907" t="s">
        <v>2720</v>
      </c>
      <c r="J1907" t="s">
        <v>2721</v>
      </c>
      <c r="K1907" t="s">
        <v>2</v>
      </c>
      <c r="L1907" t="s">
        <v>2719</v>
      </c>
      <c r="M1907" t="s">
        <v>547</v>
      </c>
      <c r="N1907">
        <v>29526</v>
      </c>
      <c r="O1907" t="s">
        <v>2722</v>
      </c>
      <c r="P1907">
        <v>49887</v>
      </c>
      <c r="Q1907" t="s">
        <v>21</v>
      </c>
      <c r="R1907">
        <v>415177</v>
      </c>
      <c r="S1907" t="s">
        <v>2451</v>
      </c>
      <c r="T1907" s="2">
        <v>91</v>
      </c>
      <c r="U1907">
        <v>0</v>
      </c>
      <c r="V1907" t="s">
        <v>260</v>
      </c>
      <c r="W1907">
        <v>0</v>
      </c>
      <c r="X1907">
        <v>0</v>
      </c>
      <c r="Y1907">
        <v>0</v>
      </c>
      <c r="Z1907" t="s">
        <v>88</v>
      </c>
      <c r="AA1907" t="s">
        <v>2640</v>
      </c>
      <c r="AB1907" t="s">
        <v>10</v>
      </c>
      <c r="AC1907">
        <v>0</v>
      </c>
      <c r="AD1907">
        <v>0</v>
      </c>
      <c r="AE1907">
        <v>9442816773</v>
      </c>
      <c r="AF1907">
        <v>3837.01</v>
      </c>
      <c r="AG1907">
        <v>0</v>
      </c>
      <c r="AH1907">
        <v>0</v>
      </c>
      <c r="AI1907">
        <v>3837.01</v>
      </c>
      <c r="AJ1907" t="s">
        <v>2</v>
      </c>
      <c r="AK1907" t="s">
        <v>11</v>
      </c>
    </row>
    <row r="1908" spans="1:37">
      <c r="A1908">
        <v>257873</v>
      </c>
      <c r="B1908" s="1">
        <v>45366</v>
      </c>
      <c r="C1908" t="s">
        <v>2716</v>
      </c>
      <c r="D1908" t="s">
        <v>2717</v>
      </c>
      <c r="E1908" t="s">
        <v>2718</v>
      </c>
      <c r="F1908" t="s">
        <v>2719</v>
      </c>
      <c r="G1908" t="s">
        <v>547</v>
      </c>
      <c r="H1908">
        <v>29526</v>
      </c>
      <c r="I1908" t="s">
        <v>2720</v>
      </c>
      <c r="J1908" t="s">
        <v>2721</v>
      </c>
      <c r="K1908" t="s">
        <v>2</v>
      </c>
      <c r="L1908" t="s">
        <v>2719</v>
      </c>
      <c r="M1908" t="s">
        <v>547</v>
      </c>
      <c r="N1908">
        <v>29526</v>
      </c>
      <c r="O1908" t="s">
        <v>2722</v>
      </c>
      <c r="P1908">
        <v>49887</v>
      </c>
      <c r="Q1908" t="s">
        <v>21</v>
      </c>
      <c r="R1908">
        <v>415177</v>
      </c>
      <c r="S1908" t="s">
        <v>2451</v>
      </c>
      <c r="T1908" s="2">
        <v>91</v>
      </c>
      <c r="U1908">
        <v>0</v>
      </c>
      <c r="V1908" t="s">
        <v>260</v>
      </c>
      <c r="W1908">
        <v>1</v>
      </c>
      <c r="X1908">
        <v>1</v>
      </c>
      <c r="Y1908">
        <v>0</v>
      </c>
      <c r="Z1908" t="s">
        <v>2638</v>
      </c>
      <c r="AA1908" t="s">
        <v>2639</v>
      </c>
      <c r="AB1908" t="s">
        <v>14</v>
      </c>
      <c r="AC1908">
        <v>221.376</v>
      </c>
      <c r="AD1908">
        <v>221.38</v>
      </c>
      <c r="AE1908">
        <v>9442816773</v>
      </c>
      <c r="AF1908">
        <v>3837.01</v>
      </c>
      <c r="AG1908">
        <v>0</v>
      </c>
      <c r="AH1908">
        <v>0</v>
      </c>
      <c r="AI1908">
        <v>3837.01</v>
      </c>
      <c r="AJ1908" t="s">
        <v>2</v>
      </c>
      <c r="AK1908" t="s">
        <v>11</v>
      </c>
    </row>
    <row r="1909" spans="1:37">
      <c r="A1909">
        <v>257873</v>
      </c>
      <c r="B1909" s="1">
        <v>45366</v>
      </c>
      <c r="C1909" t="s">
        <v>2716</v>
      </c>
      <c r="D1909" t="s">
        <v>2717</v>
      </c>
      <c r="E1909" t="s">
        <v>2718</v>
      </c>
      <c r="F1909" t="s">
        <v>2719</v>
      </c>
      <c r="G1909" t="s">
        <v>547</v>
      </c>
      <c r="H1909">
        <v>29526</v>
      </c>
      <c r="I1909" t="s">
        <v>2720</v>
      </c>
      <c r="J1909" t="s">
        <v>2721</v>
      </c>
      <c r="K1909" t="s">
        <v>2</v>
      </c>
      <c r="L1909" t="s">
        <v>2719</v>
      </c>
      <c r="M1909" t="s">
        <v>547</v>
      </c>
      <c r="N1909">
        <v>29526</v>
      </c>
      <c r="O1909" t="s">
        <v>2722</v>
      </c>
      <c r="P1909">
        <v>49887</v>
      </c>
      <c r="Q1909" t="s">
        <v>21</v>
      </c>
      <c r="R1909">
        <v>415177</v>
      </c>
      <c r="S1909" t="s">
        <v>2451</v>
      </c>
      <c r="T1909" s="2">
        <v>91</v>
      </c>
      <c r="U1909">
        <v>0</v>
      </c>
      <c r="V1909" t="s">
        <v>260</v>
      </c>
      <c r="W1909">
        <v>0</v>
      </c>
      <c r="X1909">
        <v>0</v>
      </c>
      <c r="Y1909">
        <v>0</v>
      </c>
      <c r="Z1909" t="s">
        <v>88</v>
      </c>
      <c r="AA1909" t="s">
        <v>2640</v>
      </c>
      <c r="AB1909" t="s">
        <v>10</v>
      </c>
      <c r="AC1909">
        <v>0</v>
      </c>
      <c r="AD1909">
        <v>0</v>
      </c>
      <c r="AE1909">
        <v>9442816773</v>
      </c>
      <c r="AF1909">
        <v>3837.01</v>
      </c>
      <c r="AG1909">
        <v>0</v>
      </c>
      <c r="AH1909">
        <v>0</v>
      </c>
      <c r="AI1909">
        <v>3837.01</v>
      </c>
      <c r="AJ1909" t="s">
        <v>2</v>
      </c>
      <c r="AK1909" t="s">
        <v>11</v>
      </c>
    </row>
    <row r="1910" spans="1:37">
      <c r="A1910">
        <v>257873</v>
      </c>
      <c r="B1910" s="1">
        <v>45366</v>
      </c>
      <c r="C1910" t="s">
        <v>2716</v>
      </c>
      <c r="D1910" t="s">
        <v>2717</v>
      </c>
      <c r="E1910" t="s">
        <v>2718</v>
      </c>
      <c r="F1910" t="s">
        <v>2719</v>
      </c>
      <c r="G1910" t="s">
        <v>547</v>
      </c>
      <c r="H1910">
        <v>29526</v>
      </c>
      <c r="I1910" t="s">
        <v>2720</v>
      </c>
      <c r="J1910" t="s">
        <v>2721</v>
      </c>
      <c r="K1910" t="s">
        <v>2</v>
      </c>
      <c r="L1910" t="s">
        <v>2719</v>
      </c>
      <c r="M1910" t="s">
        <v>547</v>
      </c>
      <c r="N1910">
        <v>29526</v>
      </c>
      <c r="O1910" t="s">
        <v>2722</v>
      </c>
      <c r="P1910">
        <v>49887</v>
      </c>
      <c r="Q1910" t="s">
        <v>21</v>
      </c>
      <c r="R1910">
        <v>415177</v>
      </c>
      <c r="S1910" t="s">
        <v>2451</v>
      </c>
      <c r="T1910" s="2">
        <v>91</v>
      </c>
      <c r="U1910">
        <v>0</v>
      </c>
      <c r="V1910" t="s">
        <v>260</v>
      </c>
      <c r="W1910">
        <v>1</v>
      </c>
      <c r="X1910">
        <v>1</v>
      </c>
      <c r="Y1910">
        <v>0</v>
      </c>
      <c r="Z1910" t="s">
        <v>183</v>
      </c>
      <c r="AA1910" t="s">
        <v>184</v>
      </c>
      <c r="AB1910" t="s">
        <v>14</v>
      </c>
      <c r="AC1910">
        <v>25</v>
      </c>
      <c r="AD1910">
        <v>25</v>
      </c>
      <c r="AE1910">
        <v>9442816773</v>
      </c>
      <c r="AF1910">
        <v>3837.01</v>
      </c>
      <c r="AG1910">
        <v>0</v>
      </c>
      <c r="AH1910">
        <v>0</v>
      </c>
      <c r="AI1910">
        <v>3837.01</v>
      </c>
      <c r="AJ1910" t="s">
        <v>2</v>
      </c>
      <c r="AK1910" t="s">
        <v>11</v>
      </c>
    </row>
    <row r="1911" spans="1:37">
      <c r="A1911">
        <v>257872</v>
      </c>
      <c r="B1911" s="1">
        <v>45366</v>
      </c>
      <c r="C1911" t="s">
        <v>1437</v>
      </c>
      <c r="D1911" t="s">
        <v>1438</v>
      </c>
      <c r="E1911" t="s">
        <v>2</v>
      </c>
      <c r="F1911" t="s">
        <v>1439</v>
      </c>
      <c r="G1911" t="s">
        <v>439</v>
      </c>
      <c r="H1911">
        <v>67522</v>
      </c>
      <c r="I1911" t="s">
        <v>2733</v>
      </c>
      <c r="J1911" t="s">
        <v>2734</v>
      </c>
      <c r="K1911" t="s">
        <v>2735</v>
      </c>
      <c r="L1911" t="s">
        <v>1439</v>
      </c>
      <c r="M1911" t="s">
        <v>439</v>
      </c>
      <c r="N1911">
        <v>67522</v>
      </c>
      <c r="O1911" t="s">
        <v>1442</v>
      </c>
      <c r="P1911" t="s">
        <v>2736</v>
      </c>
      <c r="Q1911" t="s">
        <v>38</v>
      </c>
      <c r="R1911">
        <v>415139</v>
      </c>
      <c r="S1911" t="s">
        <v>2451</v>
      </c>
      <c r="T1911" s="2">
        <v>9</v>
      </c>
      <c r="U1911">
        <v>0</v>
      </c>
      <c r="V1911" t="s">
        <v>260</v>
      </c>
      <c r="W1911">
        <v>0</v>
      </c>
      <c r="X1911">
        <v>0</v>
      </c>
      <c r="Y1911">
        <v>0</v>
      </c>
      <c r="Z1911" t="s">
        <v>9</v>
      </c>
      <c r="AA1911" t="s">
        <v>2</v>
      </c>
      <c r="AB1911" t="s">
        <v>10</v>
      </c>
      <c r="AC1911">
        <v>0</v>
      </c>
      <c r="AD1911">
        <v>0</v>
      </c>
      <c r="AE1911">
        <v>9442811873</v>
      </c>
      <c r="AF1911">
        <v>5298.01</v>
      </c>
      <c r="AG1911">
        <v>0</v>
      </c>
      <c r="AH1911">
        <v>0</v>
      </c>
      <c r="AI1911">
        <v>5298.01</v>
      </c>
      <c r="AJ1911" t="s">
        <v>2</v>
      </c>
      <c r="AK1911" t="s">
        <v>11</v>
      </c>
    </row>
    <row r="1912" spans="1:37">
      <c r="A1912">
        <v>257872</v>
      </c>
      <c r="B1912" s="1">
        <v>45366</v>
      </c>
      <c r="C1912" t="s">
        <v>1437</v>
      </c>
      <c r="D1912" t="s">
        <v>1438</v>
      </c>
      <c r="E1912" t="s">
        <v>2</v>
      </c>
      <c r="F1912" t="s">
        <v>1439</v>
      </c>
      <c r="G1912" t="s">
        <v>439</v>
      </c>
      <c r="H1912">
        <v>67522</v>
      </c>
      <c r="I1912" t="s">
        <v>2733</v>
      </c>
      <c r="J1912" t="s">
        <v>2734</v>
      </c>
      <c r="K1912" t="s">
        <v>2735</v>
      </c>
      <c r="L1912" t="s">
        <v>1439</v>
      </c>
      <c r="M1912" t="s">
        <v>439</v>
      </c>
      <c r="N1912">
        <v>67522</v>
      </c>
      <c r="O1912" t="s">
        <v>1442</v>
      </c>
      <c r="P1912" t="s">
        <v>2736</v>
      </c>
      <c r="Q1912" t="s">
        <v>38</v>
      </c>
      <c r="R1912">
        <v>415139</v>
      </c>
      <c r="S1912" t="s">
        <v>2451</v>
      </c>
      <c r="T1912" s="2">
        <v>9</v>
      </c>
      <c r="U1912">
        <v>0</v>
      </c>
      <c r="V1912" t="s">
        <v>260</v>
      </c>
      <c r="W1912">
        <v>0</v>
      </c>
      <c r="X1912">
        <v>0</v>
      </c>
      <c r="Y1912">
        <v>0</v>
      </c>
      <c r="Z1912" t="s">
        <v>88</v>
      </c>
      <c r="AA1912" t="s">
        <v>311</v>
      </c>
      <c r="AB1912" t="s">
        <v>10</v>
      </c>
      <c r="AC1912">
        <v>0</v>
      </c>
      <c r="AD1912">
        <v>0</v>
      </c>
      <c r="AE1912">
        <v>9442811873</v>
      </c>
      <c r="AF1912">
        <v>5298.01</v>
      </c>
      <c r="AG1912">
        <v>0</v>
      </c>
      <c r="AH1912">
        <v>0</v>
      </c>
      <c r="AI1912">
        <v>5298.01</v>
      </c>
      <c r="AJ1912" t="s">
        <v>2</v>
      </c>
      <c r="AK1912" t="s">
        <v>11</v>
      </c>
    </row>
    <row r="1913" spans="1:37">
      <c r="A1913">
        <v>257872</v>
      </c>
      <c r="B1913" s="1">
        <v>45366</v>
      </c>
      <c r="C1913" t="s">
        <v>1437</v>
      </c>
      <c r="D1913" t="s">
        <v>1438</v>
      </c>
      <c r="E1913" t="s">
        <v>2</v>
      </c>
      <c r="F1913" t="s">
        <v>1439</v>
      </c>
      <c r="G1913" t="s">
        <v>439</v>
      </c>
      <c r="H1913">
        <v>67522</v>
      </c>
      <c r="I1913" t="s">
        <v>2733</v>
      </c>
      <c r="J1913" t="s">
        <v>2734</v>
      </c>
      <c r="K1913" t="s">
        <v>2735</v>
      </c>
      <c r="L1913" t="s">
        <v>1439</v>
      </c>
      <c r="M1913" t="s">
        <v>439</v>
      </c>
      <c r="N1913">
        <v>67522</v>
      </c>
      <c r="O1913" t="s">
        <v>1442</v>
      </c>
      <c r="P1913" t="s">
        <v>2736</v>
      </c>
      <c r="Q1913" t="s">
        <v>38</v>
      </c>
      <c r="R1913">
        <v>415139</v>
      </c>
      <c r="S1913" t="s">
        <v>2451</v>
      </c>
      <c r="T1913" s="2">
        <v>9</v>
      </c>
      <c r="U1913">
        <v>0</v>
      </c>
      <c r="V1913" t="s">
        <v>260</v>
      </c>
      <c r="W1913">
        <v>0</v>
      </c>
      <c r="X1913">
        <v>0</v>
      </c>
      <c r="Y1913">
        <v>0</v>
      </c>
      <c r="Z1913" t="s">
        <v>88</v>
      </c>
      <c r="AA1913" t="s">
        <v>311</v>
      </c>
      <c r="AB1913" t="s">
        <v>10</v>
      </c>
      <c r="AC1913">
        <v>0</v>
      </c>
      <c r="AD1913">
        <v>0</v>
      </c>
      <c r="AE1913">
        <v>9442811873</v>
      </c>
      <c r="AF1913">
        <v>5298.01</v>
      </c>
      <c r="AG1913">
        <v>0</v>
      </c>
      <c r="AH1913">
        <v>0</v>
      </c>
      <c r="AI1913">
        <v>5298.01</v>
      </c>
      <c r="AJ1913" t="s">
        <v>2</v>
      </c>
      <c r="AK1913" t="s">
        <v>11</v>
      </c>
    </row>
    <row r="1914" spans="1:37">
      <c r="A1914">
        <v>257872</v>
      </c>
      <c r="B1914" s="1">
        <v>45366</v>
      </c>
      <c r="C1914" t="s">
        <v>1437</v>
      </c>
      <c r="D1914" t="s">
        <v>1438</v>
      </c>
      <c r="E1914" t="s">
        <v>2</v>
      </c>
      <c r="F1914" t="s">
        <v>1439</v>
      </c>
      <c r="G1914" t="s">
        <v>439</v>
      </c>
      <c r="H1914">
        <v>67522</v>
      </c>
      <c r="I1914" t="s">
        <v>2733</v>
      </c>
      <c r="J1914" t="s">
        <v>2734</v>
      </c>
      <c r="K1914" t="s">
        <v>2735</v>
      </c>
      <c r="L1914" t="s">
        <v>1439</v>
      </c>
      <c r="M1914" t="s">
        <v>439</v>
      </c>
      <c r="N1914">
        <v>67522</v>
      </c>
      <c r="O1914" t="s">
        <v>1442</v>
      </c>
      <c r="P1914" t="s">
        <v>2736</v>
      </c>
      <c r="Q1914" t="s">
        <v>38</v>
      </c>
      <c r="R1914">
        <v>415139</v>
      </c>
      <c r="S1914" t="s">
        <v>2451</v>
      </c>
      <c r="T1914" s="2">
        <v>9</v>
      </c>
      <c r="U1914">
        <v>0</v>
      </c>
      <c r="V1914" t="s">
        <v>260</v>
      </c>
      <c r="W1914">
        <v>1</v>
      </c>
      <c r="X1914">
        <v>1</v>
      </c>
      <c r="Y1914">
        <v>0</v>
      </c>
      <c r="Z1914" t="s">
        <v>2737</v>
      </c>
      <c r="AA1914" t="s">
        <v>2738</v>
      </c>
      <c r="AB1914" t="s">
        <v>14</v>
      </c>
      <c r="AC1914">
        <v>87.427899999999994</v>
      </c>
      <c r="AD1914">
        <v>87.43</v>
      </c>
      <c r="AE1914">
        <v>9442811873</v>
      </c>
      <c r="AF1914">
        <v>5298.01</v>
      </c>
      <c r="AG1914">
        <v>0</v>
      </c>
      <c r="AH1914">
        <v>0</v>
      </c>
      <c r="AI1914">
        <v>5298.01</v>
      </c>
      <c r="AJ1914" t="s">
        <v>2</v>
      </c>
      <c r="AK1914" t="s">
        <v>11</v>
      </c>
    </row>
    <row r="1915" spans="1:37">
      <c r="A1915">
        <v>257872</v>
      </c>
      <c r="B1915" s="1">
        <v>45366</v>
      </c>
      <c r="C1915" t="s">
        <v>1437</v>
      </c>
      <c r="D1915" t="s">
        <v>1438</v>
      </c>
      <c r="E1915" t="s">
        <v>2</v>
      </c>
      <c r="F1915" t="s">
        <v>1439</v>
      </c>
      <c r="G1915" t="s">
        <v>439</v>
      </c>
      <c r="H1915">
        <v>67522</v>
      </c>
      <c r="I1915" t="s">
        <v>2733</v>
      </c>
      <c r="J1915" t="s">
        <v>2734</v>
      </c>
      <c r="K1915" t="s">
        <v>2735</v>
      </c>
      <c r="L1915" t="s">
        <v>1439</v>
      </c>
      <c r="M1915" t="s">
        <v>439</v>
      </c>
      <c r="N1915">
        <v>67522</v>
      </c>
      <c r="O1915" t="s">
        <v>1442</v>
      </c>
      <c r="P1915" t="s">
        <v>2736</v>
      </c>
      <c r="Q1915" t="s">
        <v>38</v>
      </c>
      <c r="R1915">
        <v>415139</v>
      </c>
      <c r="S1915" t="s">
        <v>2451</v>
      </c>
      <c r="T1915" s="2">
        <v>9</v>
      </c>
      <c r="U1915">
        <v>0</v>
      </c>
      <c r="V1915" t="s">
        <v>260</v>
      </c>
      <c r="W1915">
        <v>0</v>
      </c>
      <c r="X1915">
        <v>0</v>
      </c>
      <c r="Y1915">
        <v>0</v>
      </c>
      <c r="Z1915" t="s">
        <v>88</v>
      </c>
      <c r="AA1915" t="s">
        <v>240</v>
      </c>
      <c r="AB1915" t="s">
        <v>10</v>
      </c>
      <c r="AC1915">
        <v>0</v>
      </c>
      <c r="AD1915">
        <v>0</v>
      </c>
      <c r="AE1915">
        <v>9442811873</v>
      </c>
      <c r="AF1915">
        <v>5298.01</v>
      </c>
      <c r="AG1915">
        <v>0</v>
      </c>
      <c r="AH1915">
        <v>0</v>
      </c>
      <c r="AI1915">
        <v>5298.01</v>
      </c>
      <c r="AJ1915" t="s">
        <v>2</v>
      </c>
      <c r="AK1915" t="s">
        <v>11</v>
      </c>
    </row>
    <row r="1916" spans="1:37">
      <c r="A1916">
        <v>257872</v>
      </c>
      <c r="B1916" s="1">
        <v>45366</v>
      </c>
      <c r="C1916" t="s">
        <v>1437</v>
      </c>
      <c r="D1916" t="s">
        <v>1438</v>
      </c>
      <c r="E1916" t="s">
        <v>2</v>
      </c>
      <c r="F1916" t="s">
        <v>1439</v>
      </c>
      <c r="G1916" t="s">
        <v>439</v>
      </c>
      <c r="H1916">
        <v>67522</v>
      </c>
      <c r="I1916" t="s">
        <v>2733</v>
      </c>
      <c r="J1916" t="s">
        <v>2734</v>
      </c>
      <c r="K1916" t="s">
        <v>2735</v>
      </c>
      <c r="L1916" t="s">
        <v>1439</v>
      </c>
      <c r="M1916" t="s">
        <v>439</v>
      </c>
      <c r="N1916">
        <v>67522</v>
      </c>
      <c r="O1916" t="s">
        <v>1442</v>
      </c>
      <c r="P1916" t="s">
        <v>2736</v>
      </c>
      <c r="Q1916" t="s">
        <v>38</v>
      </c>
      <c r="R1916">
        <v>415139</v>
      </c>
      <c r="S1916" t="s">
        <v>2451</v>
      </c>
      <c r="T1916" s="2">
        <v>9</v>
      </c>
      <c r="U1916">
        <v>0</v>
      </c>
      <c r="V1916" t="s">
        <v>260</v>
      </c>
      <c r="W1916">
        <v>1</v>
      </c>
      <c r="X1916">
        <v>1</v>
      </c>
      <c r="Y1916">
        <v>0</v>
      </c>
      <c r="Z1916" t="s">
        <v>2526</v>
      </c>
      <c r="AA1916" t="s">
        <v>2527</v>
      </c>
      <c r="AB1916" t="s">
        <v>14</v>
      </c>
      <c r="AC1916">
        <v>1029.3468</v>
      </c>
      <c r="AD1916">
        <v>1029.3499999999999</v>
      </c>
      <c r="AE1916">
        <v>9442811873</v>
      </c>
      <c r="AF1916">
        <v>5298.01</v>
      </c>
      <c r="AG1916">
        <v>0</v>
      </c>
      <c r="AH1916">
        <v>0</v>
      </c>
      <c r="AI1916">
        <v>5298.01</v>
      </c>
      <c r="AJ1916" t="s">
        <v>2</v>
      </c>
      <c r="AK1916" t="s">
        <v>11</v>
      </c>
    </row>
    <row r="1917" spans="1:37">
      <c r="A1917">
        <v>257872</v>
      </c>
      <c r="B1917" s="1">
        <v>45366</v>
      </c>
      <c r="C1917" t="s">
        <v>1437</v>
      </c>
      <c r="D1917" t="s">
        <v>1438</v>
      </c>
      <c r="E1917" t="s">
        <v>2</v>
      </c>
      <c r="F1917" t="s">
        <v>1439</v>
      </c>
      <c r="G1917" t="s">
        <v>439</v>
      </c>
      <c r="H1917">
        <v>67522</v>
      </c>
      <c r="I1917" t="s">
        <v>2733</v>
      </c>
      <c r="J1917" t="s">
        <v>2734</v>
      </c>
      <c r="K1917" t="s">
        <v>2735</v>
      </c>
      <c r="L1917" t="s">
        <v>1439</v>
      </c>
      <c r="M1917" t="s">
        <v>439</v>
      </c>
      <c r="N1917">
        <v>67522</v>
      </c>
      <c r="O1917" t="s">
        <v>1442</v>
      </c>
      <c r="P1917" t="s">
        <v>2736</v>
      </c>
      <c r="Q1917" t="s">
        <v>38</v>
      </c>
      <c r="R1917">
        <v>415139</v>
      </c>
      <c r="S1917" t="s">
        <v>2451</v>
      </c>
      <c r="T1917" s="2">
        <v>9</v>
      </c>
      <c r="U1917">
        <v>0</v>
      </c>
      <c r="V1917" t="s">
        <v>260</v>
      </c>
      <c r="W1917">
        <v>0</v>
      </c>
      <c r="X1917">
        <v>0</v>
      </c>
      <c r="Y1917">
        <v>0</v>
      </c>
      <c r="Z1917" t="s">
        <v>88</v>
      </c>
      <c r="AA1917" t="s">
        <v>251</v>
      </c>
      <c r="AB1917" t="s">
        <v>10</v>
      </c>
      <c r="AC1917">
        <v>0</v>
      </c>
      <c r="AD1917">
        <v>0</v>
      </c>
      <c r="AE1917">
        <v>9442811873</v>
      </c>
      <c r="AF1917">
        <v>5298.01</v>
      </c>
      <c r="AG1917">
        <v>0</v>
      </c>
      <c r="AH1917">
        <v>0</v>
      </c>
      <c r="AI1917">
        <v>5298.01</v>
      </c>
      <c r="AJ1917" t="s">
        <v>2</v>
      </c>
      <c r="AK1917" t="s">
        <v>11</v>
      </c>
    </row>
    <row r="1918" spans="1:37">
      <c r="A1918">
        <v>257872</v>
      </c>
      <c r="B1918" s="1">
        <v>45366</v>
      </c>
      <c r="C1918" t="s">
        <v>1437</v>
      </c>
      <c r="D1918" t="s">
        <v>1438</v>
      </c>
      <c r="E1918" t="s">
        <v>2</v>
      </c>
      <c r="F1918" t="s">
        <v>1439</v>
      </c>
      <c r="G1918" t="s">
        <v>439</v>
      </c>
      <c r="H1918">
        <v>67522</v>
      </c>
      <c r="I1918" t="s">
        <v>2733</v>
      </c>
      <c r="J1918" t="s">
        <v>2734</v>
      </c>
      <c r="K1918" t="s">
        <v>2735</v>
      </c>
      <c r="L1918" t="s">
        <v>1439</v>
      </c>
      <c r="M1918" t="s">
        <v>439</v>
      </c>
      <c r="N1918">
        <v>67522</v>
      </c>
      <c r="O1918" t="s">
        <v>1442</v>
      </c>
      <c r="P1918" t="s">
        <v>2736</v>
      </c>
      <c r="Q1918" t="s">
        <v>38</v>
      </c>
      <c r="R1918">
        <v>415139</v>
      </c>
      <c r="S1918" t="s">
        <v>2451</v>
      </c>
      <c r="T1918" s="2">
        <v>9</v>
      </c>
      <c r="U1918">
        <v>0</v>
      </c>
      <c r="V1918" t="s">
        <v>260</v>
      </c>
      <c r="W1918">
        <v>1</v>
      </c>
      <c r="X1918">
        <v>1</v>
      </c>
      <c r="Y1918">
        <v>0</v>
      </c>
      <c r="Z1918" t="s">
        <v>2739</v>
      </c>
      <c r="AA1918" t="s">
        <v>2740</v>
      </c>
      <c r="AB1918" t="s">
        <v>14</v>
      </c>
      <c r="AC1918">
        <v>524.38419999999996</v>
      </c>
      <c r="AD1918">
        <v>524.38</v>
      </c>
      <c r="AE1918">
        <v>9442811873</v>
      </c>
      <c r="AF1918">
        <v>5298.01</v>
      </c>
      <c r="AG1918">
        <v>0</v>
      </c>
      <c r="AH1918">
        <v>0</v>
      </c>
      <c r="AI1918">
        <v>5298.01</v>
      </c>
      <c r="AJ1918" t="s">
        <v>2</v>
      </c>
      <c r="AK1918" t="s">
        <v>11</v>
      </c>
    </row>
    <row r="1919" spans="1:37">
      <c r="A1919">
        <v>257872</v>
      </c>
      <c r="B1919" s="1">
        <v>45366</v>
      </c>
      <c r="C1919" t="s">
        <v>1437</v>
      </c>
      <c r="D1919" t="s">
        <v>1438</v>
      </c>
      <c r="E1919" t="s">
        <v>2</v>
      </c>
      <c r="F1919" t="s">
        <v>1439</v>
      </c>
      <c r="G1919" t="s">
        <v>439</v>
      </c>
      <c r="H1919">
        <v>67522</v>
      </c>
      <c r="I1919" t="s">
        <v>2733</v>
      </c>
      <c r="J1919" t="s">
        <v>2734</v>
      </c>
      <c r="K1919" t="s">
        <v>2735</v>
      </c>
      <c r="L1919" t="s">
        <v>1439</v>
      </c>
      <c r="M1919" t="s">
        <v>439</v>
      </c>
      <c r="N1919">
        <v>67522</v>
      </c>
      <c r="O1919" t="s">
        <v>1442</v>
      </c>
      <c r="P1919" t="s">
        <v>2736</v>
      </c>
      <c r="Q1919" t="s">
        <v>38</v>
      </c>
      <c r="R1919">
        <v>415139</v>
      </c>
      <c r="S1919" t="s">
        <v>2451</v>
      </c>
      <c r="T1919" s="2">
        <v>9</v>
      </c>
      <c r="U1919">
        <v>0</v>
      </c>
      <c r="V1919" t="s">
        <v>260</v>
      </c>
      <c r="W1919">
        <v>0</v>
      </c>
      <c r="X1919">
        <v>0</v>
      </c>
      <c r="Y1919">
        <v>0</v>
      </c>
      <c r="Z1919" t="s">
        <v>88</v>
      </c>
      <c r="AA1919" t="s">
        <v>251</v>
      </c>
      <c r="AB1919" t="s">
        <v>10</v>
      </c>
      <c r="AC1919">
        <v>0</v>
      </c>
      <c r="AD1919">
        <v>0</v>
      </c>
      <c r="AE1919">
        <v>9442811873</v>
      </c>
      <c r="AF1919">
        <v>5298.01</v>
      </c>
      <c r="AG1919">
        <v>0</v>
      </c>
      <c r="AH1919">
        <v>0</v>
      </c>
      <c r="AI1919">
        <v>5298.01</v>
      </c>
      <c r="AJ1919" t="s">
        <v>2</v>
      </c>
      <c r="AK1919" t="s">
        <v>11</v>
      </c>
    </row>
    <row r="1920" spans="1:37">
      <c r="A1920">
        <v>257872</v>
      </c>
      <c r="B1920" s="1">
        <v>45366</v>
      </c>
      <c r="C1920" t="s">
        <v>1437</v>
      </c>
      <c r="D1920" t="s">
        <v>1438</v>
      </c>
      <c r="E1920" t="s">
        <v>2</v>
      </c>
      <c r="F1920" t="s">
        <v>1439</v>
      </c>
      <c r="G1920" t="s">
        <v>439</v>
      </c>
      <c r="H1920">
        <v>67522</v>
      </c>
      <c r="I1920" t="s">
        <v>2733</v>
      </c>
      <c r="J1920" t="s">
        <v>2734</v>
      </c>
      <c r="K1920" t="s">
        <v>2735</v>
      </c>
      <c r="L1920" t="s">
        <v>1439</v>
      </c>
      <c r="M1920" t="s">
        <v>439</v>
      </c>
      <c r="N1920">
        <v>67522</v>
      </c>
      <c r="O1920" t="s">
        <v>1442</v>
      </c>
      <c r="P1920" t="s">
        <v>2736</v>
      </c>
      <c r="Q1920" t="s">
        <v>38</v>
      </c>
      <c r="R1920">
        <v>415139</v>
      </c>
      <c r="S1920" t="s">
        <v>2451</v>
      </c>
      <c r="T1920" s="2">
        <v>9</v>
      </c>
      <c r="U1920">
        <v>0</v>
      </c>
      <c r="V1920" t="s">
        <v>260</v>
      </c>
      <c r="W1920">
        <v>2</v>
      </c>
      <c r="X1920">
        <v>2</v>
      </c>
      <c r="Y1920">
        <v>0</v>
      </c>
      <c r="Z1920" t="s">
        <v>2741</v>
      </c>
      <c r="AA1920" t="s">
        <v>2742</v>
      </c>
      <c r="AB1920" t="s">
        <v>14</v>
      </c>
      <c r="AC1920">
        <v>524.38419999999996</v>
      </c>
      <c r="AD1920">
        <v>1048.77</v>
      </c>
      <c r="AE1920">
        <v>9442811873</v>
      </c>
      <c r="AF1920">
        <v>5298.01</v>
      </c>
      <c r="AG1920">
        <v>0</v>
      </c>
      <c r="AH1920">
        <v>0</v>
      </c>
      <c r="AI1920">
        <v>5298.01</v>
      </c>
      <c r="AJ1920" t="s">
        <v>2</v>
      </c>
      <c r="AK1920" t="s">
        <v>11</v>
      </c>
    </row>
    <row r="1921" spans="1:37">
      <c r="A1921">
        <v>257872</v>
      </c>
      <c r="B1921" s="1">
        <v>45366</v>
      </c>
      <c r="C1921" t="s">
        <v>1437</v>
      </c>
      <c r="D1921" t="s">
        <v>1438</v>
      </c>
      <c r="E1921" t="s">
        <v>2</v>
      </c>
      <c r="F1921" t="s">
        <v>1439</v>
      </c>
      <c r="G1921" t="s">
        <v>439</v>
      </c>
      <c r="H1921">
        <v>67522</v>
      </c>
      <c r="I1921" t="s">
        <v>2733</v>
      </c>
      <c r="J1921" t="s">
        <v>2734</v>
      </c>
      <c r="K1921" t="s">
        <v>2735</v>
      </c>
      <c r="L1921" t="s">
        <v>1439</v>
      </c>
      <c r="M1921" t="s">
        <v>439</v>
      </c>
      <c r="N1921">
        <v>67522</v>
      </c>
      <c r="O1921" t="s">
        <v>1442</v>
      </c>
      <c r="P1921" t="s">
        <v>2736</v>
      </c>
      <c r="Q1921" t="s">
        <v>38</v>
      </c>
      <c r="R1921">
        <v>415139</v>
      </c>
      <c r="S1921" t="s">
        <v>2451</v>
      </c>
      <c r="T1921" s="2">
        <v>9</v>
      </c>
      <c r="U1921">
        <v>0</v>
      </c>
      <c r="V1921" t="s">
        <v>260</v>
      </c>
      <c r="W1921">
        <v>0</v>
      </c>
      <c r="X1921">
        <v>0</v>
      </c>
      <c r="Y1921">
        <v>0</v>
      </c>
      <c r="Z1921" t="s">
        <v>88</v>
      </c>
      <c r="AA1921" t="s">
        <v>251</v>
      </c>
      <c r="AB1921" t="s">
        <v>10</v>
      </c>
      <c r="AC1921">
        <v>0</v>
      </c>
      <c r="AD1921">
        <v>0</v>
      </c>
      <c r="AE1921">
        <v>9442811873</v>
      </c>
      <c r="AF1921">
        <v>5298.01</v>
      </c>
      <c r="AG1921">
        <v>0</v>
      </c>
      <c r="AH1921">
        <v>0</v>
      </c>
      <c r="AI1921">
        <v>5298.01</v>
      </c>
      <c r="AJ1921" t="s">
        <v>2</v>
      </c>
      <c r="AK1921" t="s">
        <v>11</v>
      </c>
    </row>
    <row r="1922" spans="1:37">
      <c r="A1922">
        <v>257872</v>
      </c>
      <c r="B1922" s="1">
        <v>45366</v>
      </c>
      <c r="C1922" t="s">
        <v>1437</v>
      </c>
      <c r="D1922" t="s">
        <v>1438</v>
      </c>
      <c r="E1922" t="s">
        <v>2</v>
      </c>
      <c r="F1922" t="s">
        <v>1439</v>
      </c>
      <c r="G1922" t="s">
        <v>439</v>
      </c>
      <c r="H1922">
        <v>67522</v>
      </c>
      <c r="I1922" t="s">
        <v>2733</v>
      </c>
      <c r="J1922" t="s">
        <v>2734</v>
      </c>
      <c r="K1922" t="s">
        <v>2735</v>
      </c>
      <c r="L1922" t="s">
        <v>1439</v>
      </c>
      <c r="M1922" t="s">
        <v>439</v>
      </c>
      <c r="N1922">
        <v>67522</v>
      </c>
      <c r="O1922" t="s">
        <v>1442</v>
      </c>
      <c r="P1922" t="s">
        <v>2736</v>
      </c>
      <c r="Q1922" t="s">
        <v>38</v>
      </c>
      <c r="R1922">
        <v>415139</v>
      </c>
      <c r="S1922" t="s">
        <v>2451</v>
      </c>
      <c r="T1922" s="2">
        <v>9</v>
      </c>
      <c r="U1922">
        <v>0</v>
      </c>
      <c r="V1922" t="s">
        <v>260</v>
      </c>
      <c r="W1922">
        <v>1</v>
      </c>
      <c r="X1922">
        <v>1</v>
      </c>
      <c r="Y1922">
        <v>0</v>
      </c>
      <c r="Z1922" t="s">
        <v>2743</v>
      </c>
      <c r="AA1922" t="s">
        <v>2744</v>
      </c>
      <c r="AB1922" t="s">
        <v>14</v>
      </c>
      <c r="AC1922">
        <v>1029.3468</v>
      </c>
      <c r="AD1922">
        <v>1029.3499999999999</v>
      </c>
      <c r="AE1922">
        <v>9442811873</v>
      </c>
      <c r="AF1922">
        <v>5298.01</v>
      </c>
      <c r="AG1922">
        <v>0</v>
      </c>
      <c r="AH1922">
        <v>0</v>
      </c>
      <c r="AI1922">
        <v>5298.01</v>
      </c>
      <c r="AJ1922" t="s">
        <v>2</v>
      </c>
      <c r="AK1922" t="s">
        <v>11</v>
      </c>
    </row>
    <row r="1923" spans="1:37">
      <c r="A1923">
        <v>257872</v>
      </c>
      <c r="B1923" s="1">
        <v>45366</v>
      </c>
      <c r="C1923" t="s">
        <v>1437</v>
      </c>
      <c r="D1923" t="s">
        <v>1438</v>
      </c>
      <c r="E1923" t="s">
        <v>2</v>
      </c>
      <c r="F1923" t="s">
        <v>1439</v>
      </c>
      <c r="G1923" t="s">
        <v>439</v>
      </c>
      <c r="H1923">
        <v>67522</v>
      </c>
      <c r="I1923" t="s">
        <v>2733</v>
      </c>
      <c r="J1923" t="s">
        <v>2734</v>
      </c>
      <c r="K1923" t="s">
        <v>2735</v>
      </c>
      <c r="L1923" t="s">
        <v>1439</v>
      </c>
      <c r="M1923" t="s">
        <v>439</v>
      </c>
      <c r="N1923">
        <v>67522</v>
      </c>
      <c r="O1923" t="s">
        <v>1442</v>
      </c>
      <c r="P1923" t="s">
        <v>2736</v>
      </c>
      <c r="Q1923" t="s">
        <v>38</v>
      </c>
      <c r="R1923">
        <v>415139</v>
      </c>
      <c r="S1923" t="s">
        <v>2451</v>
      </c>
      <c r="T1923" s="2">
        <v>9</v>
      </c>
      <c r="U1923">
        <v>0</v>
      </c>
      <c r="V1923" t="s">
        <v>260</v>
      </c>
      <c r="W1923">
        <v>0</v>
      </c>
      <c r="X1923">
        <v>0</v>
      </c>
      <c r="Y1923">
        <v>0</v>
      </c>
      <c r="Z1923" t="s">
        <v>88</v>
      </c>
      <c r="AA1923" t="s">
        <v>251</v>
      </c>
      <c r="AB1923" t="s">
        <v>10</v>
      </c>
      <c r="AC1923">
        <v>0</v>
      </c>
      <c r="AD1923">
        <v>0</v>
      </c>
      <c r="AE1923">
        <v>9442811873</v>
      </c>
      <c r="AF1923">
        <v>5298.01</v>
      </c>
      <c r="AG1923">
        <v>0</v>
      </c>
      <c r="AH1923">
        <v>0</v>
      </c>
      <c r="AI1923">
        <v>5298.01</v>
      </c>
      <c r="AJ1923" t="s">
        <v>2</v>
      </c>
      <c r="AK1923" t="s">
        <v>11</v>
      </c>
    </row>
    <row r="1924" spans="1:37">
      <c r="A1924">
        <v>257872</v>
      </c>
      <c r="B1924" s="1">
        <v>45366</v>
      </c>
      <c r="C1924" t="s">
        <v>1437</v>
      </c>
      <c r="D1924" t="s">
        <v>1438</v>
      </c>
      <c r="E1924" t="s">
        <v>2</v>
      </c>
      <c r="F1924" t="s">
        <v>1439</v>
      </c>
      <c r="G1924" t="s">
        <v>439</v>
      </c>
      <c r="H1924">
        <v>67522</v>
      </c>
      <c r="I1924" t="s">
        <v>2733</v>
      </c>
      <c r="J1924" t="s">
        <v>2734</v>
      </c>
      <c r="K1924" t="s">
        <v>2735</v>
      </c>
      <c r="L1924" t="s">
        <v>1439</v>
      </c>
      <c r="M1924" t="s">
        <v>439</v>
      </c>
      <c r="N1924">
        <v>67522</v>
      </c>
      <c r="O1924" t="s">
        <v>1442</v>
      </c>
      <c r="P1924" t="s">
        <v>2736</v>
      </c>
      <c r="Q1924" t="s">
        <v>38</v>
      </c>
      <c r="R1924">
        <v>415139</v>
      </c>
      <c r="S1924" t="s">
        <v>2451</v>
      </c>
      <c r="T1924" s="2">
        <v>9</v>
      </c>
      <c r="U1924">
        <v>0</v>
      </c>
      <c r="V1924" t="s">
        <v>260</v>
      </c>
      <c r="W1924">
        <v>1</v>
      </c>
      <c r="X1924">
        <v>1</v>
      </c>
      <c r="Y1924">
        <v>0</v>
      </c>
      <c r="Z1924" t="s">
        <v>2745</v>
      </c>
      <c r="AA1924" t="s">
        <v>2746</v>
      </c>
      <c r="AB1924" t="s">
        <v>14</v>
      </c>
      <c r="AC1924">
        <v>524.38419999999996</v>
      </c>
      <c r="AD1924">
        <v>524.38</v>
      </c>
      <c r="AE1924">
        <v>9442811873</v>
      </c>
      <c r="AF1924">
        <v>5298.01</v>
      </c>
      <c r="AG1924">
        <v>0</v>
      </c>
      <c r="AH1924">
        <v>0</v>
      </c>
      <c r="AI1924">
        <v>5298.01</v>
      </c>
      <c r="AJ1924" t="s">
        <v>2</v>
      </c>
      <c r="AK1924" t="s">
        <v>11</v>
      </c>
    </row>
    <row r="1925" spans="1:37">
      <c r="A1925">
        <v>257872</v>
      </c>
      <c r="B1925" s="1">
        <v>45366</v>
      </c>
      <c r="C1925" t="s">
        <v>1437</v>
      </c>
      <c r="D1925" t="s">
        <v>1438</v>
      </c>
      <c r="E1925" t="s">
        <v>2</v>
      </c>
      <c r="F1925" t="s">
        <v>1439</v>
      </c>
      <c r="G1925" t="s">
        <v>439</v>
      </c>
      <c r="H1925">
        <v>67522</v>
      </c>
      <c r="I1925" t="s">
        <v>2733</v>
      </c>
      <c r="J1925" t="s">
        <v>2734</v>
      </c>
      <c r="K1925" t="s">
        <v>2735</v>
      </c>
      <c r="L1925" t="s">
        <v>1439</v>
      </c>
      <c r="M1925" t="s">
        <v>439</v>
      </c>
      <c r="N1925">
        <v>67522</v>
      </c>
      <c r="O1925" t="s">
        <v>1442</v>
      </c>
      <c r="P1925" t="s">
        <v>2736</v>
      </c>
      <c r="Q1925" t="s">
        <v>38</v>
      </c>
      <c r="R1925">
        <v>415139</v>
      </c>
      <c r="S1925" t="s">
        <v>2451</v>
      </c>
      <c r="T1925" s="2">
        <v>9</v>
      </c>
      <c r="U1925">
        <v>0</v>
      </c>
      <c r="V1925" t="s">
        <v>260</v>
      </c>
      <c r="W1925">
        <v>0</v>
      </c>
      <c r="X1925">
        <v>0</v>
      </c>
      <c r="Y1925">
        <v>0</v>
      </c>
      <c r="Z1925" t="s">
        <v>88</v>
      </c>
      <c r="AA1925" t="s">
        <v>251</v>
      </c>
      <c r="AB1925" t="s">
        <v>10</v>
      </c>
      <c r="AC1925">
        <v>0</v>
      </c>
      <c r="AD1925">
        <v>0</v>
      </c>
      <c r="AE1925">
        <v>9442811873</v>
      </c>
      <c r="AF1925">
        <v>5298.01</v>
      </c>
      <c r="AG1925">
        <v>0</v>
      </c>
      <c r="AH1925">
        <v>0</v>
      </c>
      <c r="AI1925">
        <v>5298.01</v>
      </c>
      <c r="AJ1925" t="s">
        <v>2</v>
      </c>
      <c r="AK1925" t="s">
        <v>11</v>
      </c>
    </row>
    <row r="1926" spans="1:37">
      <c r="A1926">
        <v>257872</v>
      </c>
      <c r="B1926" s="1">
        <v>45366</v>
      </c>
      <c r="C1926" t="s">
        <v>1437</v>
      </c>
      <c r="D1926" t="s">
        <v>1438</v>
      </c>
      <c r="E1926" t="s">
        <v>2</v>
      </c>
      <c r="F1926" t="s">
        <v>1439</v>
      </c>
      <c r="G1926" t="s">
        <v>439</v>
      </c>
      <c r="H1926">
        <v>67522</v>
      </c>
      <c r="I1926" t="s">
        <v>2733</v>
      </c>
      <c r="J1926" t="s">
        <v>2734</v>
      </c>
      <c r="K1926" t="s">
        <v>2735</v>
      </c>
      <c r="L1926" t="s">
        <v>1439</v>
      </c>
      <c r="M1926" t="s">
        <v>439</v>
      </c>
      <c r="N1926">
        <v>67522</v>
      </c>
      <c r="O1926" t="s">
        <v>1442</v>
      </c>
      <c r="P1926" t="s">
        <v>2736</v>
      </c>
      <c r="Q1926" t="s">
        <v>38</v>
      </c>
      <c r="R1926">
        <v>415139</v>
      </c>
      <c r="S1926" t="s">
        <v>2451</v>
      </c>
      <c r="T1926" s="2">
        <v>9</v>
      </c>
      <c r="U1926">
        <v>0</v>
      </c>
      <c r="V1926" t="s">
        <v>260</v>
      </c>
      <c r="W1926">
        <v>1</v>
      </c>
      <c r="X1926">
        <v>1</v>
      </c>
      <c r="Y1926">
        <v>0</v>
      </c>
      <c r="Z1926" t="s">
        <v>2747</v>
      </c>
      <c r="AA1926" t="s">
        <v>2748</v>
      </c>
      <c r="AB1926" t="s">
        <v>14</v>
      </c>
      <c r="AC1926">
        <v>1029.3468</v>
      </c>
      <c r="AD1926">
        <v>1029.3499999999999</v>
      </c>
      <c r="AE1926">
        <v>9442811873</v>
      </c>
      <c r="AF1926">
        <v>5298.01</v>
      </c>
      <c r="AG1926">
        <v>0</v>
      </c>
      <c r="AH1926">
        <v>0</v>
      </c>
      <c r="AI1926">
        <v>5298.01</v>
      </c>
      <c r="AJ1926" t="s">
        <v>2</v>
      </c>
      <c r="AK1926" t="s">
        <v>11</v>
      </c>
    </row>
    <row r="1927" spans="1:37">
      <c r="A1927">
        <v>257872</v>
      </c>
      <c r="B1927" s="1">
        <v>45366</v>
      </c>
      <c r="C1927" t="s">
        <v>1437</v>
      </c>
      <c r="D1927" t="s">
        <v>1438</v>
      </c>
      <c r="E1927" t="s">
        <v>2</v>
      </c>
      <c r="F1927" t="s">
        <v>1439</v>
      </c>
      <c r="G1927" t="s">
        <v>439</v>
      </c>
      <c r="H1927">
        <v>67522</v>
      </c>
      <c r="I1927" t="s">
        <v>2733</v>
      </c>
      <c r="J1927" t="s">
        <v>2734</v>
      </c>
      <c r="K1927" t="s">
        <v>2735</v>
      </c>
      <c r="L1927" t="s">
        <v>1439</v>
      </c>
      <c r="M1927" t="s">
        <v>439</v>
      </c>
      <c r="N1927">
        <v>67522</v>
      </c>
      <c r="O1927" t="s">
        <v>1442</v>
      </c>
      <c r="P1927" t="s">
        <v>2736</v>
      </c>
      <c r="Q1927" t="s">
        <v>38</v>
      </c>
      <c r="R1927">
        <v>415139</v>
      </c>
      <c r="S1927" t="s">
        <v>2451</v>
      </c>
      <c r="T1927" s="2">
        <v>9</v>
      </c>
      <c r="U1927">
        <v>0</v>
      </c>
      <c r="V1927" t="s">
        <v>260</v>
      </c>
      <c r="W1927">
        <v>0</v>
      </c>
      <c r="X1927">
        <v>0</v>
      </c>
      <c r="Y1927">
        <v>0</v>
      </c>
      <c r="Z1927" t="s">
        <v>88</v>
      </c>
      <c r="AA1927" t="s">
        <v>251</v>
      </c>
      <c r="AB1927" t="s">
        <v>10</v>
      </c>
      <c r="AC1927">
        <v>0</v>
      </c>
      <c r="AD1927">
        <v>0</v>
      </c>
      <c r="AE1927">
        <v>9442811873</v>
      </c>
      <c r="AF1927">
        <v>5298.01</v>
      </c>
      <c r="AG1927">
        <v>0</v>
      </c>
      <c r="AH1927">
        <v>0</v>
      </c>
      <c r="AI1927">
        <v>5298.01</v>
      </c>
      <c r="AJ1927" t="s">
        <v>2</v>
      </c>
      <c r="AK1927" t="s">
        <v>11</v>
      </c>
    </row>
    <row r="1928" spans="1:37">
      <c r="A1928">
        <v>257872</v>
      </c>
      <c r="B1928" s="1">
        <v>45366</v>
      </c>
      <c r="C1928" t="s">
        <v>1437</v>
      </c>
      <c r="D1928" t="s">
        <v>1438</v>
      </c>
      <c r="E1928" t="s">
        <v>2</v>
      </c>
      <c r="F1928" t="s">
        <v>1439</v>
      </c>
      <c r="G1928" t="s">
        <v>439</v>
      </c>
      <c r="H1928">
        <v>67522</v>
      </c>
      <c r="I1928" t="s">
        <v>2733</v>
      </c>
      <c r="J1928" t="s">
        <v>2734</v>
      </c>
      <c r="K1928" t="s">
        <v>2735</v>
      </c>
      <c r="L1928" t="s">
        <v>1439</v>
      </c>
      <c r="M1928" t="s">
        <v>439</v>
      </c>
      <c r="N1928">
        <v>67522</v>
      </c>
      <c r="O1928" t="s">
        <v>1442</v>
      </c>
      <c r="P1928" t="s">
        <v>2736</v>
      </c>
      <c r="Q1928" t="s">
        <v>38</v>
      </c>
      <c r="R1928">
        <v>415139</v>
      </c>
      <c r="S1928" t="s">
        <v>2451</v>
      </c>
      <c r="T1928" s="2">
        <v>9</v>
      </c>
      <c r="U1928">
        <v>0</v>
      </c>
      <c r="V1928" t="s">
        <v>260</v>
      </c>
      <c r="W1928">
        <v>1</v>
      </c>
      <c r="X1928">
        <v>1</v>
      </c>
      <c r="Y1928">
        <v>0</v>
      </c>
      <c r="Z1928" t="s">
        <v>183</v>
      </c>
      <c r="AA1928" t="s">
        <v>184</v>
      </c>
      <c r="AB1928" t="s">
        <v>14</v>
      </c>
      <c r="AC1928">
        <v>25</v>
      </c>
      <c r="AD1928">
        <v>25</v>
      </c>
      <c r="AE1928">
        <v>9442811873</v>
      </c>
      <c r="AF1928">
        <v>5298.01</v>
      </c>
      <c r="AG1928">
        <v>0</v>
      </c>
      <c r="AH1928">
        <v>0</v>
      </c>
      <c r="AI1928">
        <v>5298.01</v>
      </c>
      <c r="AJ1928" t="s">
        <v>2</v>
      </c>
      <c r="AK1928" t="s">
        <v>11</v>
      </c>
    </row>
    <row r="1929" spans="1:37">
      <c r="A1929">
        <v>257871</v>
      </c>
      <c r="B1929" s="1">
        <v>45366</v>
      </c>
      <c r="C1929" t="s">
        <v>853</v>
      </c>
      <c r="D1929" t="s">
        <v>854</v>
      </c>
      <c r="E1929" t="s">
        <v>855</v>
      </c>
      <c r="F1929" t="s">
        <v>856</v>
      </c>
      <c r="G1929" t="s">
        <v>539</v>
      </c>
      <c r="H1929">
        <v>28269</v>
      </c>
      <c r="I1929" t="s">
        <v>853</v>
      </c>
      <c r="J1929" t="s">
        <v>854</v>
      </c>
      <c r="K1929" t="s">
        <v>2749</v>
      </c>
      <c r="L1929" t="s">
        <v>856</v>
      </c>
      <c r="M1929" t="s">
        <v>539</v>
      </c>
      <c r="N1929">
        <v>28269</v>
      </c>
      <c r="O1929" t="s">
        <v>860</v>
      </c>
      <c r="P1929" t="s">
        <v>2750</v>
      </c>
      <c r="Q1929" t="s">
        <v>21</v>
      </c>
      <c r="R1929">
        <v>415110</v>
      </c>
      <c r="S1929" t="s">
        <v>2451</v>
      </c>
      <c r="T1929" s="2">
        <v>7</v>
      </c>
      <c r="U1929">
        <v>0</v>
      </c>
      <c r="V1929" t="s">
        <v>260</v>
      </c>
      <c r="W1929">
        <v>0</v>
      </c>
      <c r="X1929">
        <v>0</v>
      </c>
      <c r="Y1929">
        <v>0</v>
      </c>
      <c r="Z1929" t="s">
        <v>9</v>
      </c>
      <c r="AA1929" t="s">
        <v>2</v>
      </c>
      <c r="AB1929" t="s">
        <v>10</v>
      </c>
      <c r="AC1929">
        <v>0</v>
      </c>
      <c r="AD1929">
        <v>0</v>
      </c>
      <c r="AE1929">
        <v>9442812385</v>
      </c>
      <c r="AF1929">
        <v>4117.95</v>
      </c>
      <c r="AG1929">
        <v>0</v>
      </c>
      <c r="AH1929">
        <v>0</v>
      </c>
      <c r="AI1929">
        <v>4117.95</v>
      </c>
      <c r="AJ1929" t="s">
        <v>2</v>
      </c>
      <c r="AK1929" t="s">
        <v>11</v>
      </c>
    </row>
    <row r="1930" spans="1:37">
      <c r="A1930">
        <v>257871</v>
      </c>
      <c r="B1930" s="1">
        <v>45366</v>
      </c>
      <c r="C1930" t="s">
        <v>853</v>
      </c>
      <c r="D1930" t="s">
        <v>854</v>
      </c>
      <c r="E1930" t="s">
        <v>855</v>
      </c>
      <c r="F1930" t="s">
        <v>856</v>
      </c>
      <c r="G1930" t="s">
        <v>539</v>
      </c>
      <c r="H1930">
        <v>28269</v>
      </c>
      <c r="I1930" t="s">
        <v>853</v>
      </c>
      <c r="J1930" t="s">
        <v>854</v>
      </c>
      <c r="K1930" t="s">
        <v>2749</v>
      </c>
      <c r="L1930" t="s">
        <v>856</v>
      </c>
      <c r="M1930" t="s">
        <v>539</v>
      </c>
      <c r="N1930">
        <v>28269</v>
      </c>
      <c r="O1930" t="s">
        <v>860</v>
      </c>
      <c r="P1930" t="s">
        <v>2750</v>
      </c>
      <c r="Q1930" t="s">
        <v>21</v>
      </c>
      <c r="R1930">
        <v>415110</v>
      </c>
      <c r="S1930" t="s">
        <v>2451</v>
      </c>
      <c r="T1930" s="2">
        <v>7</v>
      </c>
      <c r="U1930">
        <v>0</v>
      </c>
      <c r="V1930" t="s">
        <v>260</v>
      </c>
      <c r="W1930">
        <v>4</v>
      </c>
      <c r="X1930">
        <v>4</v>
      </c>
      <c r="Y1930">
        <v>0</v>
      </c>
      <c r="Z1930" t="s">
        <v>2751</v>
      </c>
      <c r="AA1930" t="s">
        <v>2597</v>
      </c>
      <c r="AB1930" t="s">
        <v>14</v>
      </c>
      <c r="AC1930">
        <v>617.80409999999995</v>
      </c>
      <c r="AD1930">
        <v>2471.2199999999998</v>
      </c>
      <c r="AE1930">
        <v>9442812385</v>
      </c>
      <c r="AF1930">
        <v>4117.95</v>
      </c>
      <c r="AG1930">
        <v>0</v>
      </c>
      <c r="AH1930">
        <v>0</v>
      </c>
      <c r="AI1930">
        <v>4117.95</v>
      </c>
      <c r="AJ1930" t="s">
        <v>2</v>
      </c>
      <c r="AK1930" t="s">
        <v>11</v>
      </c>
    </row>
    <row r="1931" spans="1:37">
      <c r="A1931">
        <v>257871</v>
      </c>
      <c r="B1931" s="1">
        <v>45366</v>
      </c>
      <c r="C1931" t="s">
        <v>853</v>
      </c>
      <c r="D1931" t="s">
        <v>854</v>
      </c>
      <c r="E1931" t="s">
        <v>855</v>
      </c>
      <c r="F1931" t="s">
        <v>856</v>
      </c>
      <c r="G1931" t="s">
        <v>539</v>
      </c>
      <c r="H1931">
        <v>28269</v>
      </c>
      <c r="I1931" t="s">
        <v>853</v>
      </c>
      <c r="J1931" t="s">
        <v>854</v>
      </c>
      <c r="K1931" t="s">
        <v>2749</v>
      </c>
      <c r="L1931" t="s">
        <v>856</v>
      </c>
      <c r="M1931" t="s">
        <v>539</v>
      </c>
      <c r="N1931">
        <v>28269</v>
      </c>
      <c r="O1931" t="s">
        <v>860</v>
      </c>
      <c r="P1931" t="s">
        <v>2750</v>
      </c>
      <c r="Q1931" t="s">
        <v>21</v>
      </c>
      <c r="R1931">
        <v>415110</v>
      </c>
      <c r="S1931" t="s">
        <v>2451</v>
      </c>
      <c r="T1931" s="2">
        <v>7</v>
      </c>
      <c r="U1931">
        <v>0</v>
      </c>
      <c r="V1931" t="s">
        <v>260</v>
      </c>
      <c r="W1931">
        <v>0</v>
      </c>
      <c r="X1931">
        <v>0</v>
      </c>
      <c r="Y1931">
        <v>0</v>
      </c>
      <c r="Z1931" t="s">
        <v>88</v>
      </c>
      <c r="AA1931" t="s">
        <v>107</v>
      </c>
      <c r="AB1931" t="s">
        <v>10</v>
      </c>
      <c r="AC1931">
        <v>0</v>
      </c>
      <c r="AD1931">
        <v>0</v>
      </c>
      <c r="AE1931">
        <v>9442812385</v>
      </c>
      <c r="AF1931">
        <v>4117.95</v>
      </c>
      <c r="AG1931">
        <v>0</v>
      </c>
      <c r="AH1931">
        <v>0</v>
      </c>
      <c r="AI1931">
        <v>4117.95</v>
      </c>
      <c r="AJ1931" t="s">
        <v>2</v>
      </c>
      <c r="AK1931" t="s">
        <v>11</v>
      </c>
    </row>
    <row r="1932" spans="1:37">
      <c r="A1932">
        <v>257871</v>
      </c>
      <c r="B1932" s="1">
        <v>45366</v>
      </c>
      <c r="C1932" t="s">
        <v>853</v>
      </c>
      <c r="D1932" t="s">
        <v>854</v>
      </c>
      <c r="E1932" t="s">
        <v>855</v>
      </c>
      <c r="F1932" t="s">
        <v>856</v>
      </c>
      <c r="G1932" t="s">
        <v>539</v>
      </c>
      <c r="H1932">
        <v>28269</v>
      </c>
      <c r="I1932" t="s">
        <v>853</v>
      </c>
      <c r="J1932" t="s">
        <v>854</v>
      </c>
      <c r="K1932" t="s">
        <v>2749</v>
      </c>
      <c r="L1932" t="s">
        <v>856</v>
      </c>
      <c r="M1932" t="s">
        <v>539</v>
      </c>
      <c r="N1932">
        <v>28269</v>
      </c>
      <c r="O1932" t="s">
        <v>860</v>
      </c>
      <c r="P1932" t="s">
        <v>2750</v>
      </c>
      <c r="Q1932" t="s">
        <v>21</v>
      </c>
      <c r="R1932">
        <v>415110</v>
      </c>
      <c r="S1932" t="s">
        <v>2451</v>
      </c>
      <c r="T1932" s="2">
        <v>7</v>
      </c>
      <c r="U1932">
        <v>0</v>
      </c>
      <c r="V1932" t="s">
        <v>260</v>
      </c>
      <c r="W1932">
        <v>1</v>
      </c>
      <c r="X1932">
        <v>1</v>
      </c>
      <c r="Y1932">
        <v>0</v>
      </c>
      <c r="Z1932" t="s">
        <v>2752</v>
      </c>
      <c r="AA1932" t="s">
        <v>929</v>
      </c>
      <c r="AB1932" t="s">
        <v>14</v>
      </c>
      <c r="AC1932">
        <v>617.80409999999995</v>
      </c>
      <c r="AD1932">
        <v>617.79999999999995</v>
      </c>
      <c r="AE1932">
        <v>9442812385</v>
      </c>
      <c r="AF1932">
        <v>4117.95</v>
      </c>
      <c r="AG1932">
        <v>0</v>
      </c>
      <c r="AH1932">
        <v>0</v>
      </c>
      <c r="AI1932">
        <v>4117.95</v>
      </c>
      <c r="AJ1932" t="s">
        <v>2</v>
      </c>
      <c r="AK1932" t="s">
        <v>11</v>
      </c>
    </row>
    <row r="1933" spans="1:37">
      <c r="A1933">
        <v>257871</v>
      </c>
      <c r="B1933" s="1">
        <v>45366</v>
      </c>
      <c r="C1933" t="s">
        <v>853</v>
      </c>
      <c r="D1933" t="s">
        <v>854</v>
      </c>
      <c r="E1933" t="s">
        <v>855</v>
      </c>
      <c r="F1933" t="s">
        <v>856</v>
      </c>
      <c r="G1933" t="s">
        <v>539</v>
      </c>
      <c r="H1933">
        <v>28269</v>
      </c>
      <c r="I1933" t="s">
        <v>853</v>
      </c>
      <c r="J1933" t="s">
        <v>854</v>
      </c>
      <c r="K1933" t="s">
        <v>2749</v>
      </c>
      <c r="L1933" t="s">
        <v>856</v>
      </c>
      <c r="M1933" t="s">
        <v>539</v>
      </c>
      <c r="N1933">
        <v>28269</v>
      </c>
      <c r="O1933" t="s">
        <v>860</v>
      </c>
      <c r="P1933" t="s">
        <v>2750</v>
      </c>
      <c r="Q1933" t="s">
        <v>21</v>
      </c>
      <c r="R1933">
        <v>415110</v>
      </c>
      <c r="S1933" t="s">
        <v>2451</v>
      </c>
      <c r="T1933" s="2">
        <v>7</v>
      </c>
      <c r="U1933">
        <v>0</v>
      </c>
      <c r="V1933" t="s">
        <v>260</v>
      </c>
      <c r="W1933">
        <v>0</v>
      </c>
      <c r="X1933">
        <v>0</v>
      </c>
      <c r="Y1933">
        <v>0</v>
      </c>
      <c r="Z1933" t="s">
        <v>88</v>
      </c>
      <c r="AA1933" t="s">
        <v>107</v>
      </c>
      <c r="AB1933" t="s">
        <v>10</v>
      </c>
      <c r="AC1933">
        <v>0</v>
      </c>
      <c r="AD1933">
        <v>0</v>
      </c>
      <c r="AE1933">
        <v>9442812385</v>
      </c>
      <c r="AF1933">
        <v>4117.95</v>
      </c>
      <c r="AG1933">
        <v>0</v>
      </c>
      <c r="AH1933">
        <v>0</v>
      </c>
      <c r="AI1933">
        <v>4117.95</v>
      </c>
      <c r="AJ1933" t="s">
        <v>2</v>
      </c>
      <c r="AK1933" t="s">
        <v>11</v>
      </c>
    </row>
    <row r="1934" spans="1:37">
      <c r="A1934">
        <v>257871</v>
      </c>
      <c r="B1934" s="1">
        <v>45366</v>
      </c>
      <c r="C1934" t="s">
        <v>853</v>
      </c>
      <c r="D1934" t="s">
        <v>854</v>
      </c>
      <c r="E1934" t="s">
        <v>855</v>
      </c>
      <c r="F1934" t="s">
        <v>856</v>
      </c>
      <c r="G1934" t="s">
        <v>539</v>
      </c>
      <c r="H1934">
        <v>28269</v>
      </c>
      <c r="I1934" t="s">
        <v>853</v>
      </c>
      <c r="J1934" t="s">
        <v>854</v>
      </c>
      <c r="K1934" t="s">
        <v>2749</v>
      </c>
      <c r="L1934" t="s">
        <v>856</v>
      </c>
      <c r="M1934" t="s">
        <v>539</v>
      </c>
      <c r="N1934">
        <v>28269</v>
      </c>
      <c r="O1934" t="s">
        <v>860</v>
      </c>
      <c r="P1934" t="s">
        <v>2750</v>
      </c>
      <c r="Q1934" t="s">
        <v>21</v>
      </c>
      <c r="R1934">
        <v>415110</v>
      </c>
      <c r="S1934" t="s">
        <v>2451</v>
      </c>
      <c r="T1934" s="2">
        <v>7</v>
      </c>
      <c r="U1934">
        <v>0</v>
      </c>
      <c r="V1934" t="s">
        <v>260</v>
      </c>
      <c r="W1934">
        <v>1</v>
      </c>
      <c r="X1934">
        <v>1</v>
      </c>
      <c r="Y1934">
        <v>0</v>
      </c>
      <c r="Z1934" t="s">
        <v>2753</v>
      </c>
      <c r="AA1934" t="s">
        <v>2754</v>
      </c>
      <c r="AB1934" t="s">
        <v>14</v>
      </c>
      <c r="AC1934">
        <v>1003.9309</v>
      </c>
      <c r="AD1934">
        <v>1003.93</v>
      </c>
      <c r="AE1934">
        <v>9442812385</v>
      </c>
      <c r="AF1934">
        <v>4117.95</v>
      </c>
      <c r="AG1934">
        <v>0</v>
      </c>
      <c r="AH1934">
        <v>0</v>
      </c>
      <c r="AI1934">
        <v>4117.95</v>
      </c>
      <c r="AJ1934" t="s">
        <v>2</v>
      </c>
      <c r="AK1934" t="s">
        <v>11</v>
      </c>
    </row>
    <row r="1935" spans="1:37">
      <c r="A1935">
        <v>257871</v>
      </c>
      <c r="B1935" s="1">
        <v>45366</v>
      </c>
      <c r="C1935" t="s">
        <v>853</v>
      </c>
      <c r="D1935" t="s">
        <v>854</v>
      </c>
      <c r="E1935" t="s">
        <v>855</v>
      </c>
      <c r="F1935" t="s">
        <v>856</v>
      </c>
      <c r="G1935" t="s">
        <v>539</v>
      </c>
      <c r="H1935">
        <v>28269</v>
      </c>
      <c r="I1935" t="s">
        <v>853</v>
      </c>
      <c r="J1935" t="s">
        <v>854</v>
      </c>
      <c r="K1935" t="s">
        <v>2749</v>
      </c>
      <c r="L1935" t="s">
        <v>856</v>
      </c>
      <c r="M1935" t="s">
        <v>539</v>
      </c>
      <c r="N1935">
        <v>28269</v>
      </c>
      <c r="O1935" t="s">
        <v>860</v>
      </c>
      <c r="P1935" t="s">
        <v>2750</v>
      </c>
      <c r="Q1935" t="s">
        <v>21</v>
      </c>
      <c r="R1935">
        <v>415110</v>
      </c>
      <c r="S1935" t="s">
        <v>2451</v>
      </c>
      <c r="T1935" s="2">
        <v>7</v>
      </c>
      <c r="U1935">
        <v>0</v>
      </c>
      <c r="V1935" t="s">
        <v>260</v>
      </c>
      <c r="W1935">
        <v>0</v>
      </c>
      <c r="X1935">
        <v>0</v>
      </c>
      <c r="Y1935">
        <v>0</v>
      </c>
      <c r="Z1935" t="s">
        <v>88</v>
      </c>
      <c r="AA1935" t="s">
        <v>251</v>
      </c>
      <c r="AB1935" t="s">
        <v>10</v>
      </c>
      <c r="AC1935">
        <v>0</v>
      </c>
      <c r="AD1935">
        <v>0</v>
      </c>
      <c r="AE1935">
        <v>9442812385</v>
      </c>
      <c r="AF1935">
        <v>4117.95</v>
      </c>
      <c r="AG1935">
        <v>0</v>
      </c>
      <c r="AH1935">
        <v>0</v>
      </c>
      <c r="AI1935">
        <v>4117.95</v>
      </c>
      <c r="AJ1935" t="s">
        <v>2</v>
      </c>
      <c r="AK1935" t="s">
        <v>11</v>
      </c>
    </row>
    <row r="1936" spans="1:37">
      <c r="A1936">
        <v>257871</v>
      </c>
      <c r="B1936" s="1">
        <v>45366</v>
      </c>
      <c r="C1936" t="s">
        <v>853</v>
      </c>
      <c r="D1936" t="s">
        <v>854</v>
      </c>
      <c r="E1936" t="s">
        <v>855</v>
      </c>
      <c r="F1936" t="s">
        <v>856</v>
      </c>
      <c r="G1936" t="s">
        <v>539</v>
      </c>
      <c r="H1936">
        <v>28269</v>
      </c>
      <c r="I1936" t="s">
        <v>853</v>
      </c>
      <c r="J1936" t="s">
        <v>854</v>
      </c>
      <c r="K1936" t="s">
        <v>2749</v>
      </c>
      <c r="L1936" t="s">
        <v>856</v>
      </c>
      <c r="M1936" t="s">
        <v>539</v>
      </c>
      <c r="N1936">
        <v>28269</v>
      </c>
      <c r="O1936" t="s">
        <v>860</v>
      </c>
      <c r="P1936" t="s">
        <v>2750</v>
      </c>
      <c r="Q1936" t="s">
        <v>21</v>
      </c>
      <c r="R1936">
        <v>415110</v>
      </c>
      <c r="S1936" t="s">
        <v>2451</v>
      </c>
      <c r="T1936" s="2">
        <v>7</v>
      </c>
      <c r="U1936">
        <v>0</v>
      </c>
      <c r="V1936" t="s">
        <v>260</v>
      </c>
      <c r="W1936">
        <v>1</v>
      </c>
      <c r="X1936">
        <v>1</v>
      </c>
      <c r="Y1936">
        <v>0</v>
      </c>
      <c r="Z1936" t="s">
        <v>183</v>
      </c>
      <c r="AA1936" t="s">
        <v>184</v>
      </c>
      <c r="AB1936" t="s">
        <v>14</v>
      </c>
      <c r="AC1936">
        <v>25</v>
      </c>
      <c r="AD1936">
        <v>25</v>
      </c>
      <c r="AE1936">
        <v>9442812385</v>
      </c>
      <c r="AF1936">
        <v>4117.95</v>
      </c>
      <c r="AG1936">
        <v>0</v>
      </c>
      <c r="AH1936">
        <v>0</v>
      </c>
      <c r="AI1936">
        <v>4117.95</v>
      </c>
      <c r="AJ1936" t="s">
        <v>2</v>
      </c>
      <c r="AK1936" t="s">
        <v>11</v>
      </c>
    </row>
    <row r="1937" spans="1:37">
      <c r="A1937">
        <v>257870</v>
      </c>
      <c r="B1937" s="1">
        <v>45366</v>
      </c>
      <c r="C1937" t="s">
        <v>1109</v>
      </c>
      <c r="D1937" t="s">
        <v>1110</v>
      </c>
      <c r="E1937" t="s">
        <v>2</v>
      </c>
      <c r="F1937" t="s">
        <v>694</v>
      </c>
      <c r="G1937" t="s">
        <v>67</v>
      </c>
      <c r="H1937">
        <v>78220</v>
      </c>
      <c r="I1937" t="s">
        <v>2755</v>
      </c>
      <c r="J1937" t="s">
        <v>2756</v>
      </c>
      <c r="K1937" t="s">
        <v>1678</v>
      </c>
      <c r="L1937" t="s">
        <v>694</v>
      </c>
      <c r="M1937" t="s">
        <v>67</v>
      </c>
      <c r="N1937">
        <v>78218</v>
      </c>
      <c r="O1937" t="s">
        <v>1113</v>
      </c>
      <c r="P1937" t="s">
        <v>2757</v>
      </c>
      <c r="Q1937" t="s">
        <v>6</v>
      </c>
      <c r="R1937">
        <v>415105</v>
      </c>
      <c r="S1937" t="s">
        <v>2451</v>
      </c>
      <c r="T1937" s="2">
        <v>6</v>
      </c>
      <c r="U1937">
        <v>0</v>
      </c>
      <c r="V1937" t="s">
        <v>260</v>
      </c>
      <c r="W1937">
        <v>0</v>
      </c>
      <c r="X1937">
        <v>0</v>
      </c>
      <c r="Y1937">
        <v>0</v>
      </c>
      <c r="Z1937" t="s">
        <v>9</v>
      </c>
      <c r="AA1937" t="s">
        <v>2</v>
      </c>
      <c r="AB1937" t="s">
        <v>10</v>
      </c>
      <c r="AC1937">
        <v>0</v>
      </c>
      <c r="AD1937">
        <v>0</v>
      </c>
      <c r="AE1937">
        <v>9442812002</v>
      </c>
      <c r="AF1937">
        <v>3919.41</v>
      </c>
      <c r="AG1937">
        <v>0</v>
      </c>
      <c r="AH1937">
        <v>0</v>
      </c>
      <c r="AI1937">
        <v>3919.41</v>
      </c>
      <c r="AJ1937" t="s">
        <v>2</v>
      </c>
      <c r="AK1937" t="s">
        <v>11</v>
      </c>
    </row>
    <row r="1938" spans="1:37">
      <c r="A1938">
        <v>257870</v>
      </c>
      <c r="B1938" s="1">
        <v>45366</v>
      </c>
      <c r="C1938" t="s">
        <v>1109</v>
      </c>
      <c r="D1938" t="s">
        <v>1110</v>
      </c>
      <c r="E1938" t="s">
        <v>2</v>
      </c>
      <c r="F1938" t="s">
        <v>694</v>
      </c>
      <c r="G1938" t="s">
        <v>67</v>
      </c>
      <c r="H1938">
        <v>78220</v>
      </c>
      <c r="I1938" t="s">
        <v>2755</v>
      </c>
      <c r="J1938" t="s">
        <v>2756</v>
      </c>
      <c r="K1938" t="s">
        <v>1678</v>
      </c>
      <c r="L1938" t="s">
        <v>694</v>
      </c>
      <c r="M1938" t="s">
        <v>67</v>
      </c>
      <c r="N1938">
        <v>78218</v>
      </c>
      <c r="O1938" t="s">
        <v>1113</v>
      </c>
      <c r="P1938" t="s">
        <v>2757</v>
      </c>
      <c r="Q1938" t="s">
        <v>6</v>
      </c>
      <c r="R1938">
        <v>415105</v>
      </c>
      <c r="S1938" t="s">
        <v>2451</v>
      </c>
      <c r="T1938" s="2">
        <v>6</v>
      </c>
      <c r="U1938">
        <v>0</v>
      </c>
      <c r="V1938" t="s">
        <v>260</v>
      </c>
      <c r="W1938">
        <v>1</v>
      </c>
      <c r="X1938">
        <v>1</v>
      </c>
      <c r="Y1938">
        <v>0</v>
      </c>
      <c r="Z1938" t="s">
        <v>2758</v>
      </c>
      <c r="AA1938" t="s">
        <v>2759</v>
      </c>
      <c r="AB1938" t="s">
        <v>14</v>
      </c>
      <c r="AC1938">
        <v>650.9443</v>
      </c>
      <c r="AD1938">
        <v>650.94000000000005</v>
      </c>
      <c r="AE1938">
        <v>9442812002</v>
      </c>
      <c r="AF1938">
        <v>3919.41</v>
      </c>
      <c r="AG1938">
        <v>0</v>
      </c>
      <c r="AH1938">
        <v>0</v>
      </c>
      <c r="AI1938">
        <v>3919.41</v>
      </c>
      <c r="AJ1938" t="s">
        <v>2</v>
      </c>
      <c r="AK1938" t="s">
        <v>11</v>
      </c>
    </row>
    <row r="1939" spans="1:37">
      <c r="A1939">
        <v>257870</v>
      </c>
      <c r="B1939" s="1">
        <v>45366</v>
      </c>
      <c r="C1939" t="s">
        <v>1109</v>
      </c>
      <c r="D1939" t="s">
        <v>1110</v>
      </c>
      <c r="E1939" t="s">
        <v>2</v>
      </c>
      <c r="F1939" t="s">
        <v>694</v>
      </c>
      <c r="G1939" t="s">
        <v>67</v>
      </c>
      <c r="H1939">
        <v>78220</v>
      </c>
      <c r="I1939" t="s">
        <v>2755</v>
      </c>
      <c r="J1939" t="s">
        <v>2756</v>
      </c>
      <c r="K1939" t="s">
        <v>1678</v>
      </c>
      <c r="L1939" t="s">
        <v>694</v>
      </c>
      <c r="M1939" t="s">
        <v>67</v>
      </c>
      <c r="N1939">
        <v>78218</v>
      </c>
      <c r="O1939" t="s">
        <v>1113</v>
      </c>
      <c r="P1939" t="s">
        <v>2757</v>
      </c>
      <c r="Q1939" t="s">
        <v>6</v>
      </c>
      <c r="R1939">
        <v>415105</v>
      </c>
      <c r="S1939" t="s">
        <v>2451</v>
      </c>
      <c r="T1939" s="2">
        <v>6</v>
      </c>
      <c r="U1939">
        <v>0</v>
      </c>
      <c r="V1939" t="s">
        <v>260</v>
      </c>
      <c r="W1939">
        <v>0</v>
      </c>
      <c r="X1939">
        <v>0</v>
      </c>
      <c r="Y1939">
        <v>0</v>
      </c>
      <c r="Z1939" t="s">
        <v>88</v>
      </c>
      <c r="AA1939" t="s">
        <v>298</v>
      </c>
      <c r="AB1939" t="s">
        <v>10</v>
      </c>
      <c r="AC1939">
        <v>0</v>
      </c>
      <c r="AD1939">
        <v>0</v>
      </c>
      <c r="AE1939">
        <v>9442812002</v>
      </c>
      <c r="AF1939">
        <v>3919.41</v>
      </c>
      <c r="AG1939">
        <v>0</v>
      </c>
      <c r="AH1939">
        <v>0</v>
      </c>
      <c r="AI1939">
        <v>3919.41</v>
      </c>
      <c r="AJ1939" t="s">
        <v>2</v>
      </c>
      <c r="AK1939" t="s">
        <v>11</v>
      </c>
    </row>
    <row r="1940" spans="1:37">
      <c r="A1940">
        <v>257870</v>
      </c>
      <c r="B1940" s="1">
        <v>45366</v>
      </c>
      <c r="C1940" t="s">
        <v>1109</v>
      </c>
      <c r="D1940" t="s">
        <v>1110</v>
      </c>
      <c r="E1940" t="s">
        <v>2</v>
      </c>
      <c r="F1940" t="s">
        <v>694</v>
      </c>
      <c r="G1940" t="s">
        <v>67</v>
      </c>
      <c r="H1940">
        <v>78220</v>
      </c>
      <c r="I1940" t="s">
        <v>2755</v>
      </c>
      <c r="J1940" t="s">
        <v>2756</v>
      </c>
      <c r="K1940" t="s">
        <v>1678</v>
      </c>
      <c r="L1940" t="s">
        <v>694</v>
      </c>
      <c r="M1940" t="s">
        <v>67</v>
      </c>
      <c r="N1940">
        <v>78218</v>
      </c>
      <c r="O1940" t="s">
        <v>1113</v>
      </c>
      <c r="P1940" t="s">
        <v>2757</v>
      </c>
      <c r="Q1940" t="s">
        <v>6</v>
      </c>
      <c r="R1940">
        <v>415105</v>
      </c>
      <c r="S1940" t="s">
        <v>2451</v>
      </c>
      <c r="T1940" s="2">
        <v>6</v>
      </c>
      <c r="U1940">
        <v>0</v>
      </c>
      <c r="V1940" t="s">
        <v>260</v>
      </c>
      <c r="W1940">
        <v>2</v>
      </c>
      <c r="X1940">
        <v>2</v>
      </c>
      <c r="Y1940">
        <v>0</v>
      </c>
      <c r="Z1940" t="s">
        <v>2751</v>
      </c>
      <c r="AA1940" t="s">
        <v>2597</v>
      </c>
      <c r="AB1940" t="s">
        <v>14</v>
      </c>
      <c r="AC1940">
        <v>617.80409999999995</v>
      </c>
      <c r="AD1940">
        <v>1235.6099999999999</v>
      </c>
      <c r="AE1940">
        <v>9442812002</v>
      </c>
      <c r="AF1940">
        <v>3919.41</v>
      </c>
      <c r="AG1940">
        <v>0</v>
      </c>
      <c r="AH1940">
        <v>0</v>
      </c>
      <c r="AI1940">
        <v>3919.41</v>
      </c>
      <c r="AJ1940" t="s">
        <v>2</v>
      </c>
      <c r="AK1940" t="s">
        <v>11</v>
      </c>
    </row>
    <row r="1941" spans="1:37">
      <c r="A1941">
        <v>257870</v>
      </c>
      <c r="B1941" s="1">
        <v>45366</v>
      </c>
      <c r="C1941" t="s">
        <v>1109</v>
      </c>
      <c r="D1941" t="s">
        <v>1110</v>
      </c>
      <c r="E1941" t="s">
        <v>2</v>
      </c>
      <c r="F1941" t="s">
        <v>694</v>
      </c>
      <c r="G1941" t="s">
        <v>67</v>
      </c>
      <c r="H1941">
        <v>78220</v>
      </c>
      <c r="I1941" t="s">
        <v>2755</v>
      </c>
      <c r="J1941" t="s">
        <v>2756</v>
      </c>
      <c r="K1941" t="s">
        <v>1678</v>
      </c>
      <c r="L1941" t="s">
        <v>694</v>
      </c>
      <c r="M1941" t="s">
        <v>67</v>
      </c>
      <c r="N1941">
        <v>78218</v>
      </c>
      <c r="O1941" t="s">
        <v>1113</v>
      </c>
      <c r="P1941" t="s">
        <v>2757</v>
      </c>
      <c r="Q1941" t="s">
        <v>6</v>
      </c>
      <c r="R1941">
        <v>415105</v>
      </c>
      <c r="S1941" t="s">
        <v>2451</v>
      </c>
      <c r="T1941" s="2">
        <v>6</v>
      </c>
      <c r="U1941">
        <v>0</v>
      </c>
      <c r="V1941" t="s">
        <v>260</v>
      </c>
      <c r="W1941">
        <v>0</v>
      </c>
      <c r="X1941">
        <v>0</v>
      </c>
      <c r="Y1941">
        <v>0</v>
      </c>
      <c r="Z1941" t="s">
        <v>88</v>
      </c>
      <c r="AA1941" t="s">
        <v>107</v>
      </c>
      <c r="AB1941" t="s">
        <v>10</v>
      </c>
      <c r="AC1941">
        <v>0</v>
      </c>
      <c r="AD1941">
        <v>0</v>
      </c>
      <c r="AE1941">
        <v>9442812002</v>
      </c>
      <c r="AF1941">
        <v>3919.41</v>
      </c>
      <c r="AG1941">
        <v>0</v>
      </c>
      <c r="AH1941">
        <v>0</v>
      </c>
      <c r="AI1941">
        <v>3919.41</v>
      </c>
      <c r="AJ1941" t="s">
        <v>2</v>
      </c>
      <c r="AK1941" t="s">
        <v>11</v>
      </c>
    </row>
    <row r="1942" spans="1:37">
      <c r="A1942">
        <v>257870</v>
      </c>
      <c r="B1942" s="1">
        <v>45366</v>
      </c>
      <c r="C1942" t="s">
        <v>1109</v>
      </c>
      <c r="D1942" t="s">
        <v>1110</v>
      </c>
      <c r="E1942" t="s">
        <v>2</v>
      </c>
      <c r="F1942" t="s">
        <v>694</v>
      </c>
      <c r="G1942" t="s">
        <v>67</v>
      </c>
      <c r="H1942">
        <v>78220</v>
      </c>
      <c r="I1942" t="s">
        <v>2755</v>
      </c>
      <c r="J1942" t="s">
        <v>2756</v>
      </c>
      <c r="K1942" t="s">
        <v>1678</v>
      </c>
      <c r="L1942" t="s">
        <v>694</v>
      </c>
      <c r="M1942" t="s">
        <v>67</v>
      </c>
      <c r="N1942">
        <v>78218</v>
      </c>
      <c r="O1942" t="s">
        <v>1113</v>
      </c>
      <c r="P1942" t="s">
        <v>2757</v>
      </c>
      <c r="Q1942" t="s">
        <v>6</v>
      </c>
      <c r="R1942">
        <v>415105</v>
      </c>
      <c r="S1942" t="s">
        <v>2451</v>
      </c>
      <c r="T1942" s="2">
        <v>6</v>
      </c>
      <c r="U1942">
        <v>0</v>
      </c>
      <c r="V1942" t="s">
        <v>260</v>
      </c>
      <c r="W1942">
        <v>1</v>
      </c>
      <c r="X1942">
        <v>1</v>
      </c>
      <c r="Y1942">
        <v>0</v>
      </c>
      <c r="Z1942" t="s">
        <v>2760</v>
      </c>
      <c r="AA1942" t="s">
        <v>2761</v>
      </c>
      <c r="AB1942" t="s">
        <v>14</v>
      </c>
      <c r="AC1942">
        <v>1003.9309</v>
      </c>
      <c r="AD1942">
        <v>1003.93</v>
      </c>
      <c r="AE1942">
        <v>9442812002</v>
      </c>
      <c r="AF1942">
        <v>3919.41</v>
      </c>
      <c r="AG1942">
        <v>0</v>
      </c>
      <c r="AH1942">
        <v>0</v>
      </c>
      <c r="AI1942">
        <v>3919.41</v>
      </c>
      <c r="AJ1942" t="s">
        <v>2</v>
      </c>
      <c r="AK1942" t="s">
        <v>11</v>
      </c>
    </row>
    <row r="1943" spans="1:37">
      <c r="A1943">
        <v>257870</v>
      </c>
      <c r="B1943" s="1">
        <v>45366</v>
      </c>
      <c r="C1943" t="s">
        <v>1109</v>
      </c>
      <c r="D1943" t="s">
        <v>1110</v>
      </c>
      <c r="E1943" t="s">
        <v>2</v>
      </c>
      <c r="F1943" t="s">
        <v>694</v>
      </c>
      <c r="G1943" t="s">
        <v>67</v>
      </c>
      <c r="H1943">
        <v>78220</v>
      </c>
      <c r="I1943" t="s">
        <v>2755</v>
      </c>
      <c r="J1943" t="s">
        <v>2756</v>
      </c>
      <c r="K1943" t="s">
        <v>1678</v>
      </c>
      <c r="L1943" t="s">
        <v>694</v>
      </c>
      <c r="M1943" t="s">
        <v>67</v>
      </c>
      <c r="N1943">
        <v>78218</v>
      </c>
      <c r="O1943" t="s">
        <v>1113</v>
      </c>
      <c r="P1943" t="s">
        <v>2757</v>
      </c>
      <c r="Q1943" t="s">
        <v>6</v>
      </c>
      <c r="R1943">
        <v>415105</v>
      </c>
      <c r="S1943" t="s">
        <v>2451</v>
      </c>
      <c r="T1943" s="2">
        <v>6</v>
      </c>
      <c r="U1943">
        <v>0</v>
      </c>
      <c r="V1943" t="s">
        <v>260</v>
      </c>
      <c r="W1943">
        <v>0</v>
      </c>
      <c r="X1943">
        <v>0</v>
      </c>
      <c r="Y1943">
        <v>0</v>
      </c>
      <c r="Z1943" t="s">
        <v>88</v>
      </c>
      <c r="AA1943" t="s">
        <v>251</v>
      </c>
      <c r="AB1943" t="s">
        <v>10</v>
      </c>
      <c r="AC1943">
        <v>0</v>
      </c>
      <c r="AD1943">
        <v>0</v>
      </c>
      <c r="AE1943">
        <v>9442812002</v>
      </c>
      <c r="AF1943">
        <v>3919.41</v>
      </c>
      <c r="AG1943">
        <v>0</v>
      </c>
      <c r="AH1943">
        <v>0</v>
      </c>
      <c r="AI1943">
        <v>3919.41</v>
      </c>
      <c r="AJ1943" t="s">
        <v>2</v>
      </c>
      <c r="AK1943" t="s">
        <v>11</v>
      </c>
    </row>
    <row r="1944" spans="1:37">
      <c r="A1944">
        <v>257870</v>
      </c>
      <c r="B1944" s="1">
        <v>45366</v>
      </c>
      <c r="C1944" t="s">
        <v>1109</v>
      </c>
      <c r="D1944" t="s">
        <v>1110</v>
      </c>
      <c r="E1944" t="s">
        <v>2</v>
      </c>
      <c r="F1944" t="s">
        <v>694</v>
      </c>
      <c r="G1944" t="s">
        <v>67</v>
      </c>
      <c r="H1944">
        <v>78220</v>
      </c>
      <c r="I1944" t="s">
        <v>2755</v>
      </c>
      <c r="J1944" t="s">
        <v>2756</v>
      </c>
      <c r="K1944" t="s">
        <v>1678</v>
      </c>
      <c r="L1944" t="s">
        <v>694</v>
      </c>
      <c r="M1944" t="s">
        <v>67</v>
      </c>
      <c r="N1944">
        <v>78218</v>
      </c>
      <c r="O1944" t="s">
        <v>1113</v>
      </c>
      <c r="P1944" t="s">
        <v>2757</v>
      </c>
      <c r="Q1944" t="s">
        <v>6</v>
      </c>
      <c r="R1944">
        <v>415105</v>
      </c>
      <c r="S1944" t="s">
        <v>2451</v>
      </c>
      <c r="T1944" s="2">
        <v>6</v>
      </c>
      <c r="U1944">
        <v>0</v>
      </c>
      <c r="V1944" t="s">
        <v>260</v>
      </c>
      <c r="W1944">
        <v>1</v>
      </c>
      <c r="X1944">
        <v>1</v>
      </c>
      <c r="Y1944">
        <v>0</v>
      </c>
      <c r="Z1944" t="s">
        <v>2762</v>
      </c>
      <c r="AA1944" t="s">
        <v>2763</v>
      </c>
      <c r="AB1944" t="s">
        <v>14</v>
      </c>
      <c r="AC1944">
        <v>1003.9309</v>
      </c>
      <c r="AD1944">
        <v>1003.93</v>
      </c>
      <c r="AE1944">
        <v>9442812002</v>
      </c>
      <c r="AF1944">
        <v>3919.41</v>
      </c>
      <c r="AG1944">
        <v>0</v>
      </c>
      <c r="AH1944">
        <v>0</v>
      </c>
      <c r="AI1944">
        <v>3919.41</v>
      </c>
      <c r="AJ1944" t="s">
        <v>2</v>
      </c>
      <c r="AK1944" t="s">
        <v>11</v>
      </c>
    </row>
    <row r="1945" spans="1:37">
      <c r="A1945">
        <v>257870</v>
      </c>
      <c r="B1945" s="1">
        <v>45366</v>
      </c>
      <c r="C1945" t="s">
        <v>1109</v>
      </c>
      <c r="D1945" t="s">
        <v>1110</v>
      </c>
      <c r="E1945" t="s">
        <v>2</v>
      </c>
      <c r="F1945" t="s">
        <v>694</v>
      </c>
      <c r="G1945" t="s">
        <v>67</v>
      </c>
      <c r="H1945">
        <v>78220</v>
      </c>
      <c r="I1945" t="s">
        <v>2755</v>
      </c>
      <c r="J1945" t="s">
        <v>2756</v>
      </c>
      <c r="K1945" t="s">
        <v>1678</v>
      </c>
      <c r="L1945" t="s">
        <v>694</v>
      </c>
      <c r="M1945" t="s">
        <v>67</v>
      </c>
      <c r="N1945">
        <v>78218</v>
      </c>
      <c r="O1945" t="s">
        <v>1113</v>
      </c>
      <c r="P1945" t="s">
        <v>2757</v>
      </c>
      <c r="Q1945" t="s">
        <v>6</v>
      </c>
      <c r="R1945">
        <v>415105</v>
      </c>
      <c r="S1945" t="s">
        <v>2451</v>
      </c>
      <c r="T1945" s="2">
        <v>6</v>
      </c>
      <c r="U1945">
        <v>0</v>
      </c>
      <c r="V1945" t="s">
        <v>260</v>
      </c>
      <c r="W1945">
        <v>0</v>
      </c>
      <c r="X1945">
        <v>0</v>
      </c>
      <c r="Y1945">
        <v>0</v>
      </c>
      <c r="Z1945" t="s">
        <v>88</v>
      </c>
      <c r="AA1945" t="s">
        <v>251</v>
      </c>
      <c r="AB1945" t="s">
        <v>10</v>
      </c>
      <c r="AC1945">
        <v>0</v>
      </c>
      <c r="AD1945">
        <v>0</v>
      </c>
      <c r="AE1945">
        <v>9442812002</v>
      </c>
      <c r="AF1945">
        <v>3919.41</v>
      </c>
      <c r="AG1945">
        <v>0</v>
      </c>
      <c r="AH1945">
        <v>0</v>
      </c>
      <c r="AI1945">
        <v>3919.41</v>
      </c>
      <c r="AJ1945" t="s">
        <v>2</v>
      </c>
      <c r="AK1945" t="s">
        <v>11</v>
      </c>
    </row>
    <row r="1946" spans="1:37">
      <c r="A1946">
        <v>257870</v>
      </c>
      <c r="B1946" s="1">
        <v>45366</v>
      </c>
      <c r="C1946" t="s">
        <v>1109</v>
      </c>
      <c r="D1946" t="s">
        <v>1110</v>
      </c>
      <c r="E1946" t="s">
        <v>2</v>
      </c>
      <c r="F1946" t="s">
        <v>694</v>
      </c>
      <c r="G1946" t="s">
        <v>67</v>
      </c>
      <c r="H1946">
        <v>78220</v>
      </c>
      <c r="I1946" t="s">
        <v>2755</v>
      </c>
      <c r="J1946" t="s">
        <v>2756</v>
      </c>
      <c r="K1946" t="s">
        <v>1678</v>
      </c>
      <c r="L1946" t="s">
        <v>694</v>
      </c>
      <c r="M1946" t="s">
        <v>67</v>
      </c>
      <c r="N1946">
        <v>78218</v>
      </c>
      <c r="O1946" t="s">
        <v>1113</v>
      </c>
      <c r="P1946" t="s">
        <v>2757</v>
      </c>
      <c r="Q1946" t="s">
        <v>6</v>
      </c>
      <c r="R1946">
        <v>415105</v>
      </c>
      <c r="S1946" t="s">
        <v>2451</v>
      </c>
      <c r="T1946" s="2">
        <v>6</v>
      </c>
      <c r="U1946">
        <v>0</v>
      </c>
      <c r="V1946" t="s">
        <v>260</v>
      </c>
      <c r="W1946">
        <v>0</v>
      </c>
      <c r="X1946">
        <v>0</v>
      </c>
      <c r="Y1946">
        <v>0</v>
      </c>
      <c r="Z1946" t="s">
        <v>88</v>
      </c>
      <c r="AA1946" t="s">
        <v>2</v>
      </c>
      <c r="AB1946" t="s">
        <v>10</v>
      </c>
      <c r="AC1946">
        <v>0</v>
      </c>
      <c r="AD1946">
        <v>0</v>
      </c>
      <c r="AE1946">
        <v>9442812002</v>
      </c>
      <c r="AF1946">
        <v>3919.41</v>
      </c>
      <c r="AG1946">
        <v>0</v>
      </c>
      <c r="AH1946">
        <v>0</v>
      </c>
      <c r="AI1946">
        <v>3919.41</v>
      </c>
      <c r="AJ1946" t="s">
        <v>2</v>
      </c>
      <c r="AK1946" t="s">
        <v>11</v>
      </c>
    </row>
    <row r="1947" spans="1:37">
      <c r="A1947">
        <v>257870</v>
      </c>
      <c r="B1947" s="1">
        <v>45366</v>
      </c>
      <c r="C1947" t="s">
        <v>1109</v>
      </c>
      <c r="D1947" t="s">
        <v>1110</v>
      </c>
      <c r="E1947" t="s">
        <v>2</v>
      </c>
      <c r="F1947" t="s">
        <v>694</v>
      </c>
      <c r="G1947" t="s">
        <v>67</v>
      </c>
      <c r="H1947">
        <v>78220</v>
      </c>
      <c r="I1947" t="s">
        <v>2755</v>
      </c>
      <c r="J1947" t="s">
        <v>2756</v>
      </c>
      <c r="K1947" t="s">
        <v>1678</v>
      </c>
      <c r="L1947" t="s">
        <v>694</v>
      </c>
      <c r="M1947" t="s">
        <v>67</v>
      </c>
      <c r="N1947">
        <v>78218</v>
      </c>
      <c r="O1947" t="s">
        <v>1113</v>
      </c>
      <c r="P1947" t="s">
        <v>2757</v>
      </c>
      <c r="Q1947" t="s">
        <v>6</v>
      </c>
      <c r="R1947">
        <v>415105</v>
      </c>
      <c r="S1947" t="s">
        <v>2451</v>
      </c>
      <c r="T1947" s="2">
        <v>6</v>
      </c>
      <c r="U1947">
        <v>0</v>
      </c>
      <c r="V1947" t="s">
        <v>260</v>
      </c>
      <c r="W1947">
        <v>1</v>
      </c>
      <c r="X1947">
        <v>1</v>
      </c>
      <c r="Y1947">
        <v>0</v>
      </c>
      <c r="Z1947" t="s">
        <v>183</v>
      </c>
      <c r="AA1947" t="s">
        <v>184</v>
      </c>
      <c r="AB1947" t="s">
        <v>14</v>
      </c>
      <c r="AC1947">
        <v>25</v>
      </c>
      <c r="AD1947">
        <v>25</v>
      </c>
      <c r="AE1947">
        <v>9442812002</v>
      </c>
      <c r="AF1947">
        <v>3919.41</v>
      </c>
      <c r="AG1947">
        <v>0</v>
      </c>
      <c r="AH1947">
        <v>0</v>
      </c>
      <c r="AI1947">
        <v>3919.41</v>
      </c>
      <c r="AJ1947" t="s">
        <v>2</v>
      </c>
      <c r="AK1947" t="s">
        <v>11</v>
      </c>
    </row>
    <row r="1948" spans="1:37">
      <c r="A1948">
        <v>257869</v>
      </c>
      <c r="B1948" s="1">
        <v>45366</v>
      </c>
      <c r="C1948" t="s">
        <v>1437</v>
      </c>
      <c r="D1948" t="s">
        <v>1438</v>
      </c>
      <c r="E1948" t="s">
        <v>2</v>
      </c>
      <c r="F1948" t="s">
        <v>1439</v>
      </c>
      <c r="G1948" t="s">
        <v>439</v>
      </c>
      <c r="H1948">
        <v>67522</v>
      </c>
      <c r="I1948" t="s">
        <v>2764</v>
      </c>
      <c r="J1948" t="s">
        <v>2765</v>
      </c>
      <c r="K1948" t="s">
        <v>2</v>
      </c>
      <c r="L1948" t="s">
        <v>2766</v>
      </c>
      <c r="M1948" t="s">
        <v>35</v>
      </c>
      <c r="N1948">
        <v>64501</v>
      </c>
      <c r="O1948" t="s">
        <v>1442</v>
      </c>
      <c r="P1948" t="s">
        <v>2767</v>
      </c>
      <c r="Q1948" t="s">
        <v>38</v>
      </c>
      <c r="R1948">
        <v>415092</v>
      </c>
      <c r="S1948" t="s">
        <v>2451</v>
      </c>
      <c r="T1948" s="2">
        <v>9</v>
      </c>
      <c r="U1948">
        <v>0</v>
      </c>
      <c r="V1948" t="s">
        <v>260</v>
      </c>
      <c r="W1948">
        <v>0</v>
      </c>
      <c r="X1948">
        <v>0</v>
      </c>
      <c r="Y1948">
        <v>0</v>
      </c>
      <c r="Z1948" t="s">
        <v>9</v>
      </c>
      <c r="AA1948" t="s">
        <v>2</v>
      </c>
      <c r="AB1948" t="s">
        <v>10</v>
      </c>
      <c r="AC1948">
        <v>0</v>
      </c>
      <c r="AD1948">
        <v>0</v>
      </c>
      <c r="AE1948">
        <v>9442812945</v>
      </c>
      <c r="AF1948">
        <v>4613.3599999999997</v>
      </c>
      <c r="AG1948">
        <v>0</v>
      </c>
      <c r="AH1948">
        <v>0</v>
      </c>
      <c r="AI1948">
        <v>4613.3599999999997</v>
      </c>
      <c r="AJ1948" t="s">
        <v>2</v>
      </c>
      <c r="AK1948" t="s">
        <v>11</v>
      </c>
    </row>
    <row r="1949" spans="1:37">
      <c r="A1949">
        <v>257869</v>
      </c>
      <c r="B1949" s="1">
        <v>45366</v>
      </c>
      <c r="C1949" t="s">
        <v>1437</v>
      </c>
      <c r="D1949" t="s">
        <v>1438</v>
      </c>
      <c r="E1949" t="s">
        <v>2</v>
      </c>
      <c r="F1949" t="s">
        <v>1439</v>
      </c>
      <c r="G1949" t="s">
        <v>439</v>
      </c>
      <c r="H1949">
        <v>67522</v>
      </c>
      <c r="I1949" t="s">
        <v>2764</v>
      </c>
      <c r="J1949" t="s">
        <v>2765</v>
      </c>
      <c r="K1949" t="s">
        <v>2</v>
      </c>
      <c r="L1949" t="s">
        <v>2766</v>
      </c>
      <c r="M1949" t="s">
        <v>35</v>
      </c>
      <c r="N1949">
        <v>64501</v>
      </c>
      <c r="O1949" t="s">
        <v>1442</v>
      </c>
      <c r="P1949" t="s">
        <v>2767</v>
      </c>
      <c r="Q1949" t="s">
        <v>38</v>
      </c>
      <c r="R1949">
        <v>415092</v>
      </c>
      <c r="S1949" t="s">
        <v>2451</v>
      </c>
      <c r="T1949" s="2">
        <v>9</v>
      </c>
      <c r="U1949">
        <v>0</v>
      </c>
      <c r="V1949" t="s">
        <v>260</v>
      </c>
      <c r="W1949">
        <v>3</v>
      </c>
      <c r="X1949">
        <v>3</v>
      </c>
      <c r="Y1949">
        <v>0</v>
      </c>
      <c r="Z1949" t="s">
        <v>2768</v>
      </c>
      <c r="AA1949" t="s">
        <v>2769</v>
      </c>
      <c r="AB1949" t="s">
        <v>14</v>
      </c>
      <c r="AC1949">
        <v>655.48030000000006</v>
      </c>
      <c r="AD1949">
        <v>1966.44</v>
      </c>
      <c r="AE1949">
        <v>9442812945</v>
      </c>
      <c r="AF1949">
        <v>4613.3599999999997</v>
      </c>
      <c r="AG1949">
        <v>0</v>
      </c>
      <c r="AH1949">
        <v>0</v>
      </c>
      <c r="AI1949">
        <v>4613.3599999999997</v>
      </c>
      <c r="AJ1949" t="s">
        <v>2</v>
      </c>
      <c r="AK1949" t="s">
        <v>11</v>
      </c>
    </row>
    <row r="1950" spans="1:37">
      <c r="A1950">
        <v>257869</v>
      </c>
      <c r="B1950" s="1">
        <v>45366</v>
      </c>
      <c r="C1950" t="s">
        <v>1437</v>
      </c>
      <c r="D1950" t="s">
        <v>1438</v>
      </c>
      <c r="E1950" t="s">
        <v>2</v>
      </c>
      <c r="F1950" t="s">
        <v>1439</v>
      </c>
      <c r="G1950" t="s">
        <v>439</v>
      </c>
      <c r="H1950">
        <v>67522</v>
      </c>
      <c r="I1950" t="s">
        <v>2764</v>
      </c>
      <c r="J1950" t="s">
        <v>2765</v>
      </c>
      <c r="K1950" t="s">
        <v>2</v>
      </c>
      <c r="L1950" t="s">
        <v>2766</v>
      </c>
      <c r="M1950" t="s">
        <v>35</v>
      </c>
      <c r="N1950">
        <v>64501</v>
      </c>
      <c r="O1950" t="s">
        <v>1442</v>
      </c>
      <c r="P1950" t="s">
        <v>2767</v>
      </c>
      <c r="Q1950" t="s">
        <v>38</v>
      </c>
      <c r="R1950">
        <v>415092</v>
      </c>
      <c r="S1950" t="s">
        <v>2451</v>
      </c>
      <c r="T1950" s="2">
        <v>9</v>
      </c>
      <c r="U1950">
        <v>0</v>
      </c>
      <c r="V1950" t="s">
        <v>260</v>
      </c>
      <c r="W1950">
        <v>0</v>
      </c>
      <c r="X1950">
        <v>0</v>
      </c>
      <c r="Y1950">
        <v>0</v>
      </c>
      <c r="Z1950" t="s">
        <v>88</v>
      </c>
      <c r="AA1950" t="s">
        <v>251</v>
      </c>
      <c r="AB1950" t="s">
        <v>10</v>
      </c>
      <c r="AC1950">
        <v>0</v>
      </c>
      <c r="AD1950">
        <v>0</v>
      </c>
      <c r="AE1950">
        <v>9442812945</v>
      </c>
      <c r="AF1950">
        <v>4613.3599999999997</v>
      </c>
      <c r="AG1950">
        <v>0</v>
      </c>
      <c r="AH1950">
        <v>0</v>
      </c>
      <c r="AI1950">
        <v>4613.3599999999997</v>
      </c>
      <c r="AJ1950" t="s">
        <v>2</v>
      </c>
      <c r="AK1950" t="s">
        <v>11</v>
      </c>
    </row>
    <row r="1951" spans="1:37">
      <c r="A1951">
        <v>257869</v>
      </c>
      <c r="B1951" s="1">
        <v>45366</v>
      </c>
      <c r="C1951" t="s">
        <v>1437</v>
      </c>
      <c r="D1951" t="s">
        <v>1438</v>
      </c>
      <c r="E1951" t="s">
        <v>2</v>
      </c>
      <c r="F1951" t="s">
        <v>1439</v>
      </c>
      <c r="G1951" t="s">
        <v>439</v>
      </c>
      <c r="H1951">
        <v>67522</v>
      </c>
      <c r="I1951" t="s">
        <v>2764</v>
      </c>
      <c r="J1951" t="s">
        <v>2765</v>
      </c>
      <c r="K1951" t="s">
        <v>2</v>
      </c>
      <c r="L1951" t="s">
        <v>2766</v>
      </c>
      <c r="M1951" t="s">
        <v>35</v>
      </c>
      <c r="N1951">
        <v>64501</v>
      </c>
      <c r="O1951" t="s">
        <v>1442</v>
      </c>
      <c r="P1951" t="s">
        <v>2767</v>
      </c>
      <c r="Q1951" t="s">
        <v>38</v>
      </c>
      <c r="R1951">
        <v>415092</v>
      </c>
      <c r="S1951" t="s">
        <v>2451</v>
      </c>
      <c r="T1951" s="2">
        <v>9</v>
      </c>
      <c r="U1951">
        <v>0</v>
      </c>
      <c r="V1951" t="s">
        <v>260</v>
      </c>
      <c r="W1951">
        <v>5</v>
      </c>
      <c r="X1951">
        <v>5</v>
      </c>
      <c r="Y1951">
        <v>0</v>
      </c>
      <c r="Z1951" t="s">
        <v>2770</v>
      </c>
      <c r="AA1951" t="s">
        <v>2771</v>
      </c>
      <c r="AB1951" t="s">
        <v>14</v>
      </c>
      <c r="AC1951">
        <v>524.38419999999996</v>
      </c>
      <c r="AD1951">
        <v>2621.92</v>
      </c>
      <c r="AE1951">
        <v>9442812945</v>
      </c>
      <c r="AF1951">
        <v>4613.3599999999997</v>
      </c>
      <c r="AG1951">
        <v>0</v>
      </c>
      <c r="AH1951">
        <v>0</v>
      </c>
      <c r="AI1951">
        <v>4613.3599999999997</v>
      </c>
      <c r="AJ1951" t="s">
        <v>2</v>
      </c>
      <c r="AK1951" t="s">
        <v>11</v>
      </c>
    </row>
    <row r="1952" spans="1:37">
      <c r="A1952">
        <v>257869</v>
      </c>
      <c r="B1952" s="1">
        <v>45366</v>
      </c>
      <c r="C1952" t="s">
        <v>1437</v>
      </c>
      <c r="D1952" t="s">
        <v>1438</v>
      </c>
      <c r="E1952" t="s">
        <v>2</v>
      </c>
      <c r="F1952" t="s">
        <v>1439</v>
      </c>
      <c r="G1952" t="s">
        <v>439</v>
      </c>
      <c r="H1952">
        <v>67522</v>
      </c>
      <c r="I1952" t="s">
        <v>2764</v>
      </c>
      <c r="J1952" t="s">
        <v>2765</v>
      </c>
      <c r="K1952" t="s">
        <v>2</v>
      </c>
      <c r="L1952" t="s">
        <v>2766</v>
      </c>
      <c r="M1952" t="s">
        <v>35</v>
      </c>
      <c r="N1952">
        <v>64501</v>
      </c>
      <c r="O1952" t="s">
        <v>1442</v>
      </c>
      <c r="P1952" t="s">
        <v>2767</v>
      </c>
      <c r="Q1952" t="s">
        <v>38</v>
      </c>
      <c r="R1952">
        <v>415092</v>
      </c>
      <c r="S1952" t="s">
        <v>2451</v>
      </c>
      <c r="T1952" s="2">
        <v>9</v>
      </c>
      <c r="U1952">
        <v>0</v>
      </c>
      <c r="V1952" t="s">
        <v>260</v>
      </c>
      <c r="W1952">
        <v>0</v>
      </c>
      <c r="X1952">
        <v>0</v>
      </c>
      <c r="Y1952">
        <v>0</v>
      </c>
      <c r="Z1952" t="s">
        <v>88</v>
      </c>
      <c r="AA1952" t="s">
        <v>251</v>
      </c>
      <c r="AB1952" t="s">
        <v>10</v>
      </c>
      <c r="AC1952">
        <v>0</v>
      </c>
      <c r="AD1952">
        <v>0</v>
      </c>
      <c r="AE1952">
        <v>9442812945</v>
      </c>
      <c r="AF1952">
        <v>4613.3599999999997</v>
      </c>
      <c r="AG1952">
        <v>0</v>
      </c>
      <c r="AH1952">
        <v>0</v>
      </c>
      <c r="AI1952">
        <v>4613.3599999999997</v>
      </c>
      <c r="AJ1952" t="s">
        <v>2</v>
      </c>
      <c r="AK1952" t="s">
        <v>11</v>
      </c>
    </row>
    <row r="1953" spans="1:37">
      <c r="A1953">
        <v>257869</v>
      </c>
      <c r="B1953" s="1">
        <v>45366</v>
      </c>
      <c r="C1953" t="s">
        <v>1437</v>
      </c>
      <c r="D1953" t="s">
        <v>1438</v>
      </c>
      <c r="E1953" t="s">
        <v>2</v>
      </c>
      <c r="F1953" t="s">
        <v>1439</v>
      </c>
      <c r="G1953" t="s">
        <v>439</v>
      </c>
      <c r="H1953">
        <v>67522</v>
      </c>
      <c r="I1953" t="s">
        <v>2764</v>
      </c>
      <c r="J1953" t="s">
        <v>2765</v>
      </c>
      <c r="K1953" t="s">
        <v>2</v>
      </c>
      <c r="L1953" t="s">
        <v>2766</v>
      </c>
      <c r="M1953" t="s">
        <v>35</v>
      </c>
      <c r="N1953">
        <v>64501</v>
      </c>
      <c r="O1953" t="s">
        <v>1442</v>
      </c>
      <c r="P1953" t="s">
        <v>2767</v>
      </c>
      <c r="Q1953" t="s">
        <v>38</v>
      </c>
      <c r="R1953">
        <v>415092</v>
      </c>
      <c r="S1953" t="s">
        <v>2451</v>
      </c>
      <c r="T1953" s="2">
        <v>9</v>
      </c>
      <c r="U1953">
        <v>0</v>
      </c>
      <c r="V1953" t="s">
        <v>260</v>
      </c>
      <c r="W1953">
        <v>1</v>
      </c>
      <c r="X1953">
        <v>1</v>
      </c>
      <c r="Y1953">
        <v>0</v>
      </c>
      <c r="Z1953" t="s">
        <v>183</v>
      </c>
      <c r="AA1953" t="s">
        <v>184</v>
      </c>
      <c r="AB1953" t="s">
        <v>14</v>
      </c>
      <c r="AC1953">
        <v>25</v>
      </c>
      <c r="AD1953">
        <v>25</v>
      </c>
      <c r="AE1953">
        <v>9442812945</v>
      </c>
      <c r="AF1953">
        <v>4613.3599999999997</v>
      </c>
      <c r="AG1953">
        <v>0</v>
      </c>
      <c r="AH1953">
        <v>0</v>
      </c>
      <c r="AI1953">
        <v>4613.3599999999997</v>
      </c>
      <c r="AJ1953" t="s">
        <v>2</v>
      </c>
      <c r="AK1953" t="s">
        <v>11</v>
      </c>
    </row>
    <row r="1954" spans="1:37">
      <c r="A1954">
        <v>257868</v>
      </c>
      <c r="B1954" s="1">
        <v>45366</v>
      </c>
      <c r="C1954" t="s">
        <v>792</v>
      </c>
      <c r="D1954" t="s">
        <v>793</v>
      </c>
      <c r="E1954" t="s">
        <v>794</v>
      </c>
      <c r="F1954" t="s">
        <v>795</v>
      </c>
      <c r="G1954" t="s">
        <v>67</v>
      </c>
      <c r="H1954">
        <v>75019</v>
      </c>
      <c r="I1954" t="s">
        <v>2538</v>
      </c>
      <c r="J1954" t="s">
        <v>2539</v>
      </c>
      <c r="K1954" t="s">
        <v>794</v>
      </c>
      <c r="L1954" t="s">
        <v>795</v>
      </c>
      <c r="M1954" t="s">
        <v>67</v>
      </c>
      <c r="N1954">
        <v>75019</v>
      </c>
      <c r="O1954" t="s">
        <v>799</v>
      </c>
      <c r="P1954">
        <v>2276255</v>
      </c>
      <c r="Q1954" t="s">
        <v>38</v>
      </c>
      <c r="R1954">
        <v>414614</v>
      </c>
      <c r="S1954" t="s">
        <v>2451</v>
      </c>
      <c r="T1954" s="2">
        <v>13</v>
      </c>
      <c r="U1954">
        <v>0</v>
      </c>
      <c r="V1954" t="s">
        <v>153</v>
      </c>
      <c r="W1954">
        <v>0</v>
      </c>
      <c r="X1954">
        <v>0</v>
      </c>
      <c r="Y1954">
        <v>0</v>
      </c>
      <c r="Z1954" t="s">
        <v>9</v>
      </c>
      <c r="AA1954" t="s">
        <v>2</v>
      </c>
      <c r="AB1954" t="s">
        <v>10</v>
      </c>
      <c r="AC1954">
        <v>0</v>
      </c>
      <c r="AD1954">
        <v>0</v>
      </c>
      <c r="AE1954">
        <v>9442812750</v>
      </c>
      <c r="AF1954">
        <v>5201.7</v>
      </c>
      <c r="AG1954">
        <v>0</v>
      </c>
      <c r="AH1954">
        <v>0</v>
      </c>
      <c r="AI1954">
        <v>5201.7</v>
      </c>
      <c r="AJ1954" t="s">
        <v>2</v>
      </c>
      <c r="AK1954" t="s">
        <v>11</v>
      </c>
    </row>
    <row r="1955" spans="1:37">
      <c r="A1955">
        <v>257868</v>
      </c>
      <c r="B1955" s="1">
        <v>45366</v>
      </c>
      <c r="C1955" t="s">
        <v>792</v>
      </c>
      <c r="D1955" t="s">
        <v>793</v>
      </c>
      <c r="E1955" t="s">
        <v>794</v>
      </c>
      <c r="F1955" t="s">
        <v>795</v>
      </c>
      <c r="G1955" t="s">
        <v>67</v>
      </c>
      <c r="H1955">
        <v>75019</v>
      </c>
      <c r="I1955" t="s">
        <v>2538</v>
      </c>
      <c r="J1955" t="s">
        <v>2539</v>
      </c>
      <c r="K1955" t="s">
        <v>794</v>
      </c>
      <c r="L1955" t="s">
        <v>795</v>
      </c>
      <c r="M1955" t="s">
        <v>67</v>
      </c>
      <c r="N1955">
        <v>75019</v>
      </c>
      <c r="O1955" t="s">
        <v>799</v>
      </c>
      <c r="P1955">
        <v>2276255</v>
      </c>
      <c r="Q1955" t="s">
        <v>38</v>
      </c>
      <c r="R1955">
        <v>414614</v>
      </c>
      <c r="S1955" t="s">
        <v>2451</v>
      </c>
      <c r="T1955" s="2">
        <v>13</v>
      </c>
      <c r="U1955">
        <v>0</v>
      </c>
      <c r="V1955" t="s">
        <v>153</v>
      </c>
      <c r="W1955">
        <v>0</v>
      </c>
      <c r="X1955">
        <v>0</v>
      </c>
      <c r="Y1955">
        <v>0</v>
      </c>
      <c r="Z1955" t="s">
        <v>88</v>
      </c>
      <c r="AA1955" t="s">
        <v>311</v>
      </c>
      <c r="AB1955" t="s">
        <v>10</v>
      </c>
      <c r="AC1955">
        <v>0</v>
      </c>
      <c r="AD1955">
        <v>0</v>
      </c>
      <c r="AE1955">
        <v>9442812750</v>
      </c>
      <c r="AF1955">
        <v>5201.7</v>
      </c>
      <c r="AG1955">
        <v>0</v>
      </c>
      <c r="AH1955">
        <v>0</v>
      </c>
      <c r="AI1955">
        <v>5201.7</v>
      </c>
      <c r="AJ1955" t="s">
        <v>2</v>
      </c>
      <c r="AK1955" t="s">
        <v>11</v>
      </c>
    </row>
    <row r="1956" spans="1:37">
      <c r="A1956">
        <v>257868</v>
      </c>
      <c r="B1956" s="1">
        <v>45366</v>
      </c>
      <c r="C1956" t="s">
        <v>792</v>
      </c>
      <c r="D1956" t="s">
        <v>793</v>
      </c>
      <c r="E1956" t="s">
        <v>794</v>
      </c>
      <c r="F1956" t="s">
        <v>795</v>
      </c>
      <c r="G1956" t="s">
        <v>67</v>
      </c>
      <c r="H1956">
        <v>75019</v>
      </c>
      <c r="I1956" t="s">
        <v>2538</v>
      </c>
      <c r="J1956" t="s">
        <v>2539</v>
      </c>
      <c r="K1956" t="s">
        <v>794</v>
      </c>
      <c r="L1956" t="s">
        <v>795</v>
      </c>
      <c r="M1956" t="s">
        <v>67</v>
      </c>
      <c r="N1956">
        <v>75019</v>
      </c>
      <c r="O1956" t="s">
        <v>799</v>
      </c>
      <c r="P1956">
        <v>2276255</v>
      </c>
      <c r="Q1956" t="s">
        <v>38</v>
      </c>
      <c r="R1956">
        <v>414614</v>
      </c>
      <c r="S1956" t="s">
        <v>2451</v>
      </c>
      <c r="T1956" s="2">
        <v>13</v>
      </c>
      <c r="U1956">
        <v>0</v>
      </c>
      <c r="V1956" t="s">
        <v>153</v>
      </c>
      <c r="W1956">
        <v>0</v>
      </c>
      <c r="X1956">
        <v>0</v>
      </c>
      <c r="Y1956">
        <v>0</v>
      </c>
      <c r="Z1956" t="s">
        <v>88</v>
      </c>
      <c r="AA1956" t="s">
        <v>311</v>
      </c>
      <c r="AB1956" t="s">
        <v>10</v>
      </c>
      <c r="AC1956">
        <v>0</v>
      </c>
      <c r="AD1956">
        <v>0</v>
      </c>
      <c r="AE1956">
        <v>9442812750</v>
      </c>
      <c r="AF1956">
        <v>5201.7</v>
      </c>
      <c r="AG1956">
        <v>0</v>
      </c>
      <c r="AH1956">
        <v>0</v>
      </c>
      <c r="AI1956">
        <v>5201.7</v>
      </c>
      <c r="AJ1956" t="s">
        <v>2</v>
      </c>
      <c r="AK1956" t="s">
        <v>11</v>
      </c>
    </row>
    <row r="1957" spans="1:37">
      <c r="A1957">
        <v>257868</v>
      </c>
      <c r="B1957" s="1">
        <v>45366</v>
      </c>
      <c r="C1957" t="s">
        <v>792</v>
      </c>
      <c r="D1957" t="s">
        <v>793</v>
      </c>
      <c r="E1957" t="s">
        <v>794</v>
      </c>
      <c r="F1957" t="s">
        <v>795</v>
      </c>
      <c r="G1957" t="s">
        <v>67</v>
      </c>
      <c r="H1957">
        <v>75019</v>
      </c>
      <c r="I1957" t="s">
        <v>2538</v>
      </c>
      <c r="J1957" t="s">
        <v>2539</v>
      </c>
      <c r="K1957" t="s">
        <v>794</v>
      </c>
      <c r="L1957" t="s">
        <v>795</v>
      </c>
      <c r="M1957" t="s">
        <v>67</v>
      </c>
      <c r="N1957">
        <v>75019</v>
      </c>
      <c r="O1957" t="s">
        <v>799</v>
      </c>
      <c r="P1957">
        <v>2276255</v>
      </c>
      <c r="Q1957" t="s">
        <v>38</v>
      </c>
      <c r="R1957">
        <v>414614</v>
      </c>
      <c r="S1957" t="s">
        <v>2451</v>
      </c>
      <c r="T1957" s="2">
        <v>13</v>
      </c>
      <c r="U1957">
        <v>0</v>
      </c>
      <c r="V1957" t="s">
        <v>153</v>
      </c>
      <c r="W1957">
        <v>2</v>
      </c>
      <c r="X1957">
        <v>2</v>
      </c>
      <c r="Y1957">
        <v>0</v>
      </c>
      <c r="Z1957" t="s">
        <v>2772</v>
      </c>
      <c r="AA1957" t="s">
        <v>2773</v>
      </c>
      <c r="AB1957" t="s">
        <v>14</v>
      </c>
      <c r="AC1957">
        <v>995.46</v>
      </c>
      <c r="AD1957">
        <v>1990.92</v>
      </c>
      <c r="AE1957">
        <v>9442812750</v>
      </c>
      <c r="AF1957">
        <v>5201.7</v>
      </c>
      <c r="AG1957">
        <v>0</v>
      </c>
      <c r="AH1957">
        <v>0</v>
      </c>
      <c r="AI1957">
        <v>5201.7</v>
      </c>
      <c r="AJ1957" t="s">
        <v>2</v>
      </c>
      <c r="AK1957" t="s">
        <v>11</v>
      </c>
    </row>
    <row r="1958" spans="1:37">
      <c r="A1958">
        <v>257868</v>
      </c>
      <c r="B1958" s="1">
        <v>45366</v>
      </c>
      <c r="C1958" t="s">
        <v>792</v>
      </c>
      <c r="D1958" t="s">
        <v>793</v>
      </c>
      <c r="E1958" t="s">
        <v>794</v>
      </c>
      <c r="F1958" t="s">
        <v>795</v>
      </c>
      <c r="G1958" t="s">
        <v>67</v>
      </c>
      <c r="H1958">
        <v>75019</v>
      </c>
      <c r="I1958" t="s">
        <v>2538</v>
      </c>
      <c r="J1958" t="s">
        <v>2539</v>
      </c>
      <c r="K1958" t="s">
        <v>794</v>
      </c>
      <c r="L1958" t="s">
        <v>795</v>
      </c>
      <c r="M1958" t="s">
        <v>67</v>
      </c>
      <c r="N1958">
        <v>75019</v>
      </c>
      <c r="O1958" t="s">
        <v>799</v>
      </c>
      <c r="P1958">
        <v>2276255</v>
      </c>
      <c r="Q1958" t="s">
        <v>38</v>
      </c>
      <c r="R1958">
        <v>414614</v>
      </c>
      <c r="S1958" t="s">
        <v>2451</v>
      </c>
      <c r="T1958" s="2">
        <v>13</v>
      </c>
      <c r="U1958">
        <v>0</v>
      </c>
      <c r="V1958" t="s">
        <v>153</v>
      </c>
      <c r="W1958">
        <v>0</v>
      </c>
      <c r="X1958">
        <v>0</v>
      </c>
      <c r="Y1958">
        <v>0</v>
      </c>
      <c r="Z1958" t="s">
        <v>88</v>
      </c>
      <c r="AA1958" t="s">
        <v>251</v>
      </c>
      <c r="AB1958" t="s">
        <v>10</v>
      </c>
      <c r="AC1958">
        <v>0</v>
      </c>
      <c r="AD1958">
        <v>0</v>
      </c>
      <c r="AE1958">
        <v>9442812750</v>
      </c>
      <c r="AF1958">
        <v>5201.7</v>
      </c>
      <c r="AG1958">
        <v>0</v>
      </c>
      <c r="AH1958">
        <v>0</v>
      </c>
      <c r="AI1958">
        <v>5201.7</v>
      </c>
      <c r="AJ1958" t="s">
        <v>2</v>
      </c>
      <c r="AK1958" t="s">
        <v>11</v>
      </c>
    </row>
    <row r="1959" spans="1:37">
      <c r="A1959">
        <v>257868</v>
      </c>
      <c r="B1959" s="1">
        <v>45366</v>
      </c>
      <c r="C1959" t="s">
        <v>792</v>
      </c>
      <c r="D1959" t="s">
        <v>793</v>
      </c>
      <c r="E1959" t="s">
        <v>794</v>
      </c>
      <c r="F1959" t="s">
        <v>795</v>
      </c>
      <c r="G1959" t="s">
        <v>67</v>
      </c>
      <c r="H1959">
        <v>75019</v>
      </c>
      <c r="I1959" t="s">
        <v>2538</v>
      </c>
      <c r="J1959" t="s">
        <v>2539</v>
      </c>
      <c r="K1959" t="s">
        <v>794</v>
      </c>
      <c r="L1959" t="s">
        <v>795</v>
      </c>
      <c r="M1959" t="s">
        <v>67</v>
      </c>
      <c r="N1959">
        <v>75019</v>
      </c>
      <c r="O1959" t="s">
        <v>799</v>
      </c>
      <c r="P1959">
        <v>2276255</v>
      </c>
      <c r="Q1959" t="s">
        <v>38</v>
      </c>
      <c r="R1959">
        <v>414614</v>
      </c>
      <c r="S1959" t="s">
        <v>2451</v>
      </c>
      <c r="T1959" s="2">
        <v>13</v>
      </c>
      <c r="U1959">
        <v>0</v>
      </c>
      <c r="V1959" t="s">
        <v>153</v>
      </c>
      <c r="W1959">
        <v>2</v>
      </c>
      <c r="X1959">
        <v>2</v>
      </c>
      <c r="Y1959">
        <v>0</v>
      </c>
      <c r="Z1959" t="s">
        <v>2774</v>
      </c>
      <c r="AA1959" t="s">
        <v>2775</v>
      </c>
      <c r="AB1959" t="s">
        <v>14</v>
      </c>
      <c r="AC1959">
        <v>995.46</v>
      </c>
      <c r="AD1959">
        <v>1990.92</v>
      </c>
      <c r="AE1959">
        <v>9442812750</v>
      </c>
      <c r="AF1959">
        <v>5201.7</v>
      </c>
      <c r="AG1959">
        <v>0</v>
      </c>
      <c r="AH1959">
        <v>0</v>
      </c>
      <c r="AI1959">
        <v>5201.7</v>
      </c>
      <c r="AJ1959" t="s">
        <v>2</v>
      </c>
      <c r="AK1959" t="s">
        <v>11</v>
      </c>
    </row>
    <row r="1960" spans="1:37">
      <c r="A1960">
        <v>257868</v>
      </c>
      <c r="B1960" s="1">
        <v>45366</v>
      </c>
      <c r="C1960" t="s">
        <v>792</v>
      </c>
      <c r="D1960" t="s">
        <v>793</v>
      </c>
      <c r="E1960" t="s">
        <v>794</v>
      </c>
      <c r="F1960" t="s">
        <v>795</v>
      </c>
      <c r="G1960" t="s">
        <v>67</v>
      </c>
      <c r="H1960">
        <v>75019</v>
      </c>
      <c r="I1960" t="s">
        <v>2538</v>
      </c>
      <c r="J1960" t="s">
        <v>2539</v>
      </c>
      <c r="K1960" t="s">
        <v>794</v>
      </c>
      <c r="L1960" t="s">
        <v>795</v>
      </c>
      <c r="M1960" t="s">
        <v>67</v>
      </c>
      <c r="N1960">
        <v>75019</v>
      </c>
      <c r="O1960" t="s">
        <v>799</v>
      </c>
      <c r="P1960">
        <v>2276255</v>
      </c>
      <c r="Q1960" t="s">
        <v>38</v>
      </c>
      <c r="R1960">
        <v>414614</v>
      </c>
      <c r="S1960" t="s">
        <v>2451</v>
      </c>
      <c r="T1960" s="2">
        <v>13</v>
      </c>
      <c r="U1960">
        <v>0</v>
      </c>
      <c r="V1960" t="s">
        <v>153</v>
      </c>
      <c r="W1960">
        <v>0</v>
      </c>
      <c r="X1960">
        <v>0</v>
      </c>
      <c r="Y1960">
        <v>0</v>
      </c>
      <c r="Z1960" t="s">
        <v>88</v>
      </c>
      <c r="AA1960" t="s">
        <v>251</v>
      </c>
      <c r="AB1960" t="s">
        <v>10</v>
      </c>
      <c r="AC1960">
        <v>0</v>
      </c>
      <c r="AD1960">
        <v>0</v>
      </c>
      <c r="AE1960">
        <v>9442812750</v>
      </c>
      <c r="AF1960">
        <v>5201.7</v>
      </c>
      <c r="AG1960">
        <v>0</v>
      </c>
      <c r="AH1960">
        <v>0</v>
      </c>
      <c r="AI1960">
        <v>5201.7</v>
      </c>
      <c r="AJ1960" t="s">
        <v>2</v>
      </c>
      <c r="AK1960" t="s">
        <v>11</v>
      </c>
    </row>
    <row r="1961" spans="1:37">
      <c r="A1961">
        <v>257868</v>
      </c>
      <c r="B1961" s="1">
        <v>45366</v>
      </c>
      <c r="C1961" t="s">
        <v>792</v>
      </c>
      <c r="D1961" t="s">
        <v>793</v>
      </c>
      <c r="E1961" t="s">
        <v>794</v>
      </c>
      <c r="F1961" t="s">
        <v>795</v>
      </c>
      <c r="G1961" t="s">
        <v>67</v>
      </c>
      <c r="H1961">
        <v>75019</v>
      </c>
      <c r="I1961" t="s">
        <v>2538</v>
      </c>
      <c r="J1961" t="s">
        <v>2539</v>
      </c>
      <c r="K1961" t="s">
        <v>794</v>
      </c>
      <c r="L1961" t="s">
        <v>795</v>
      </c>
      <c r="M1961" t="s">
        <v>67</v>
      </c>
      <c r="N1961">
        <v>75019</v>
      </c>
      <c r="O1961" t="s">
        <v>799</v>
      </c>
      <c r="P1961">
        <v>2276255</v>
      </c>
      <c r="Q1961" t="s">
        <v>38</v>
      </c>
      <c r="R1961">
        <v>414614</v>
      </c>
      <c r="S1961" t="s">
        <v>2451</v>
      </c>
      <c r="T1961" s="2">
        <v>13</v>
      </c>
      <c r="U1961">
        <v>0</v>
      </c>
      <c r="V1961" t="s">
        <v>153</v>
      </c>
      <c r="W1961">
        <v>7</v>
      </c>
      <c r="X1961">
        <v>7</v>
      </c>
      <c r="Y1961">
        <v>0</v>
      </c>
      <c r="Z1961" t="s">
        <v>1099</v>
      </c>
      <c r="AA1961" t="s">
        <v>1100</v>
      </c>
      <c r="AB1961" t="s">
        <v>14</v>
      </c>
      <c r="AC1961">
        <v>140.83000000000001</v>
      </c>
      <c r="AD1961">
        <v>985.81</v>
      </c>
      <c r="AE1961">
        <v>9442812750</v>
      </c>
      <c r="AF1961">
        <v>5201.7</v>
      </c>
      <c r="AG1961">
        <v>0</v>
      </c>
      <c r="AH1961">
        <v>0</v>
      </c>
      <c r="AI1961">
        <v>5201.7</v>
      </c>
      <c r="AJ1961" t="s">
        <v>2</v>
      </c>
      <c r="AK1961" t="s">
        <v>11</v>
      </c>
    </row>
    <row r="1962" spans="1:37">
      <c r="A1962">
        <v>257868</v>
      </c>
      <c r="B1962" s="1">
        <v>45366</v>
      </c>
      <c r="C1962" t="s">
        <v>792</v>
      </c>
      <c r="D1962" t="s">
        <v>793</v>
      </c>
      <c r="E1962" t="s">
        <v>794</v>
      </c>
      <c r="F1962" t="s">
        <v>795</v>
      </c>
      <c r="G1962" t="s">
        <v>67</v>
      </c>
      <c r="H1962">
        <v>75019</v>
      </c>
      <c r="I1962" t="s">
        <v>2538</v>
      </c>
      <c r="J1962" t="s">
        <v>2539</v>
      </c>
      <c r="K1962" t="s">
        <v>794</v>
      </c>
      <c r="L1962" t="s">
        <v>795</v>
      </c>
      <c r="M1962" t="s">
        <v>67</v>
      </c>
      <c r="N1962">
        <v>75019</v>
      </c>
      <c r="O1962" t="s">
        <v>799</v>
      </c>
      <c r="P1962">
        <v>2276255</v>
      </c>
      <c r="Q1962" t="s">
        <v>38</v>
      </c>
      <c r="R1962">
        <v>414614</v>
      </c>
      <c r="S1962" t="s">
        <v>2451</v>
      </c>
      <c r="T1962" s="2">
        <v>13</v>
      </c>
      <c r="U1962">
        <v>0</v>
      </c>
      <c r="V1962" t="s">
        <v>153</v>
      </c>
      <c r="W1962">
        <v>0</v>
      </c>
      <c r="X1962">
        <v>0</v>
      </c>
      <c r="Y1962">
        <v>0</v>
      </c>
      <c r="Z1962" t="s">
        <v>88</v>
      </c>
      <c r="AA1962" t="s">
        <v>656</v>
      </c>
      <c r="AB1962" t="s">
        <v>10</v>
      </c>
      <c r="AC1962">
        <v>0</v>
      </c>
      <c r="AD1962">
        <v>0</v>
      </c>
      <c r="AE1962">
        <v>9442812750</v>
      </c>
      <c r="AF1962">
        <v>5201.7</v>
      </c>
      <c r="AG1962">
        <v>0</v>
      </c>
      <c r="AH1962">
        <v>0</v>
      </c>
      <c r="AI1962">
        <v>5201.7</v>
      </c>
      <c r="AJ1962" t="s">
        <v>2</v>
      </c>
      <c r="AK1962" t="s">
        <v>11</v>
      </c>
    </row>
    <row r="1963" spans="1:37">
      <c r="A1963">
        <v>257868</v>
      </c>
      <c r="B1963" s="1">
        <v>45366</v>
      </c>
      <c r="C1963" t="s">
        <v>792</v>
      </c>
      <c r="D1963" t="s">
        <v>793</v>
      </c>
      <c r="E1963" t="s">
        <v>794</v>
      </c>
      <c r="F1963" t="s">
        <v>795</v>
      </c>
      <c r="G1963" t="s">
        <v>67</v>
      </c>
      <c r="H1963">
        <v>75019</v>
      </c>
      <c r="I1963" t="s">
        <v>2538</v>
      </c>
      <c r="J1963" t="s">
        <v>2539</v>
      </c>
      <c r="K1963" t="s">
        <v>794</v>
      </c>
      <c r="L1963" t="s">
        <v>795</v>
      </c>
      <c r="M1963" t="s">
        <v>67</v>
      </c>
      <c r="N1963">
        <v>75019</v>
      </c>
      <c r="O1963" t="s">
        <v>799</v>
      </c>
      <c r="P1963">
        <v>2276255</v>
      </c>
      <c r="Q1963" t="s">
        <v>38</v>
      </c>
      <c r="R1963">
        <v>414614</v>
      </c>
      <c r="S1963" t="s">
        <v>2451</v>
      </c>
      <c r="T1963" s="2">
        <v>13</v>
      </c>
      <c r="U1963">
        <v>0</v>
      </c>
      <c r="V1963" t="s">
        <v>153</v>
      </c>
      <c r="W1963">
        <v>1</v>
      </c>
      <c r="X1963">
        <v>1</v>
      </c>
      <c r="Y1963">
        <v>0</v>
      </c>
      <c r="Z1963" t="s">
        <v>183</v>
      </c>
      <c r="AA1963" t="s">
        <v>184</v>
      </c>
      <c r="AB1963" t="s">
        <v>14</v>
      </c>
      <c r="AC1963">
        <v>25</v>
      </c>
      <c r="AD1963">
        <v>25</v>
      </c>
      <c r="AE1963">
        <v>9442812750</v>
      </c>
      <c r="AF1963">
        <v>5201.7</v>
      </c>
      <c r="AG1963">
        <v>0</v>
      </c>
      <c r="AH1963">
        <v>0</v>
      </c>
      <c r="AI1963">
        <v>5201.7</v>
      </c>
      <c r="AJ1963" t="s">
        <v>2</v>
      </c>
      <c r="AK1963" t="s">
        <v>11</v>
      </c>
    </row>
    <row r="1964" spans="1:37">
      <c r="A1964">
        <v>257868</v>
      </c>
      <c r="B1964" s="1">
        <v>45366</v>
      </c>
      <c r="C1964" t="s">
        <v>792</v>
      </c>
      <c r="D1964" t="s">
        <v>793</v>
      </c>
      <c r="E1964" t="s">
        <v>794</v>
      </c>
      <c r="F1964" t="s">
        <v>795</v>
      </c>
      <c r="G1964" t="s">
        <v>67</v>
      </c>
      <c r="H1964">
        <v>75019</v>
      </c>
      <c r="I1964" t="s">
        <v>2538</v>
      </c>
      <c r="J1964" t="s">
        <v>2539</v>
      </c>
      <c r="K1964" t="s">
        <v>794</v>
      </c>
      <c r="L1964" t="s">
        <v>795</v>
      </c>
      <c r="M1964" t="s">
        <v>67</v>
      </c>
      <c r="N1964">
        <v>75019</v>
      </c>
      <c r="O1964" t="s">
        <v>799</v>
      </c>
      <c r="P1964">
        <v>2276255</v>
      </c>
      <c r="Q1964" t="s">
        <v>38</v>
      </c>
      <c r="R1964">
        <v>414614</v>
      </c>
      <c r="S1964" t="s">
        <v>2451</v>
      </c>
      <c r="T1964" s="2">
        <v>13</v>
      </c>
      <c r="U1964">
        <v>0</v>
      </c>
      <c r="V1964" t="s">
        <v>153</v>
      </c>
      <c r="W1964">
        <v>1</v>
      </c>
      <c r="X1964">
        <v>1</v>
      </c>
      <c r="Y1964">
        <v>0</v>
      </c>
      <c r="Z1964" t="s">
        <v>2776</v>
      </c>
      <c r="AA1964" t="s">
        <v>2777</v>
      </c>
      <c r="AB1964" t="s">
        <v>14</v>
      </c>
      <c r="AC1964">
        <v>209.04640000000001</v>
      </c>
      <c r="AD1964">
        <v>209.05</v>
      </c>
      <c r="AE1964">
        <v>9442812750</v>
      </c>
      <c r="AF1964">
        <v>5201.7</v>
      </c>
      <c r="AG1964">
        <v>0</v>
      </c>
      <c r="AH1964">
        <v>0</v>
      </c>
      <c r="AI1964">
        <v>5201.7</v>
      </c>
      <c r="AJ1964" t="s">
        <v>2</v>
      </c>
      <c r="AK1964" t="s">
        <v>11</v>
      </c>
    </row>
    <row r="1965" spans="1:37">
      <c r="A1965">
        <v>257868</v>
      </c>
      <c r="B1965" s="1">
        <v>45366</v>
      </c>
      <c r="C1965" t="s">
        <v>792</v>
      </c>
      <c r="D1965" t="s">
        <v>793</v>
      </c>
      <c r="E1965" t="s">
        <v>794</v>
      </c>
      <c r="F1965" t="s">
        <v>795</v>
      </c>
      <c r="G1965" t="s">
        <v>67</v>
      </c>
      <c r="H1965">
        <v>75019</v>
      </c>
      <c r="I1965" t="s">
        <v>2538</v>
      </c>
      <c r="J1965" t="s">
        <v>2539</v>
      </c>
      <c r="K1965" t="s">
        <v>794</v>
      </c>
      <c r="L1965" t="s">
        <v>795</v>
      </c>
      <c r="M1965" t="s">
        <v>67</v>
      </c>
      <c r="N1965">
        <v>75019</v>
      </c>
      <c r="O1965" t="s">
        <v>799</v>
      </c>
      <c r="P1965">
        <v>2276255</v>
      </c>
      <c r="Q1965" t="s">
        <v>38</v>
      </c>
      <c r="R1965">
        <v>414614</v>
      </c>
      <c r="S1965" t="s">
        <v>2451</v>
      </c>
      <c r="T1965" s="2">
        <v>13</v>
      </c>
      <c r="U1965">
        <v>0</v>
      </c>
      <c r="V1965" t="s">
        <v>153</v>
      </c>
      <c r="W1965">
        <v>0</v>
      </c>
      <c r="X1965">
        <v>0</v>
      </c>
      <c r="Y1965">
        <v>0</v>
      </c>
      <c r="Z1965" t="s">
        <v>88</v>
      </c>
      <c r="AA1965" t="s">
        <v>251</v>
      </c>
      <c r="AB1965" t="s">
        <v>10</v>
      </c>
      <c r="AC1965">
        <v>0</v>
      </c>
      <c r="AD1965">
        <v>0</v>
      </c>
      <c r="AE1965">
        <v>9442812750</v>
      </c>
      <c r="AF1965">
        <v>5201.7</v>
      </c>
      <c r="AG1965">
        <v>0</v>
      </c>
      <c r="AH1965">
        <v>0</v>
      </c>
      <c r="AI1965">
        <v>5201.7</v>
      </c>
      <c r="AJ1965" t="s">
        <v>2</v>
      </c>
      <c r="AK1965" t="s">
        <v>11</v>
      </c>
    </row>
    <row r="1966" spans="1:37">
      <c r="A1966">
        <v>257867</v>
      </c>
      <c r="B1966" s="1">
        <v>45366</v>
      </c>
      <c r="C1966" t="s">
        <v>728</v>
      </c>
      <c r="D1966" t="s">
        <v>729</v>
      </c>
      <c r="E1966" t="s">
        <v>2</v>
      </c>
      <c r="F1966" t="s">
        <v>730</v>
      </c>
      <c r="G1966" t="s">
        <v>731</v>
      </c>
      <c r="H1966">
        <v>18045</v>
      </c>
      <c r="I1966" t="s">
        <v>2710</v>
      </c>
      <c r="J1966" t="s">
        <v>2711</v>
      </c>
      <c r="K1966" t="s">
        <v>2</v>
      </c>
      <c r="L1966" t="s">
        <v>730</v>
      </c>
      <c r="M1966" t="s">
        <v>731</v>
      </c>
      <c r="N1966">
        <v>18045</v>
      </c>
      <c r="O1966" t="s">
        <v>736</v>
      </c>
      <c r="P1966">
        <v>2271608</v>
      </c>
      <c r="Q1966" t="s">
        <v>38</v>
      </c>
      <c r="R1966">
        <v>412790</v>
      </c>
      <c r="S1966" t="s">
        <v>2451</v>
      </c>
      <c r="T1966" s="2">
        <v>21</v>
      </c>
      <c r="U1966">
        <v>0</v>
      </c>
      <c r="V1966" t="s">
        <v>153</v>
      </c>
      <c r="W1966">
        <v>0</v>
      </c>
      <c r="X1966">
        <v>0</v>
      </c>
      <c r="Y1966">
        <v>0</v>
      </c>
      <c r="Z1966" t="s">
        <v>9</v>
      </c>
      <c r="AA1966" t="s">
        <v>2</v>
      </c>
      <c r="AB1966" t="s">
        <v>10</v>
      </c>
      <c r="AC1966">
        <v>0</v>
      </c>
      <c r="AD1966">
        <v>0</v>
      </c>
      <c r="AE1966">
        <v>9442814194</v>
      </c>
      <c r="AF1966">
        <v>3162.6</v>
      </c>
      <c r="AG1966">
        <v>0</v>
      </c>
      <c r="AH1966">
        <v>0</v>
      </c>
      <c r="AI1966">
        <v>3162.6</v>
      </c>
      <c r="AJ1966" t="s">
        <v>2</v>
      </c>
      <c r="AK1966" t="s">
        <v>11</v>
      </c>
    </row>
    <row r="1967" spans="1:37">
      <c r="A1967">
        <v>257867</v>
      </c>
      <c r="B1967" s="1">
        <v>45366</v>
      </c>
      <c r="C1967" t="s">
        <v>728</v>
      </c>
      <c r="D1967" t="s">
        <v>729</v>
      </c>
      <c r="E1967" t="s">
        <v>2</v>
      </c>
      <c r="F1967" t="s">
        <v>730</v>
      </c>
      <c r="G1967" t="s">
        <v>731</v>
      </c>
      <c r="H1967">
        <v>18045</v>
      </c>
      <c r="I1967" t="s">
        <v>2710</v>
      </c>
      <c r="J1967" t="s">
        <v>2711</v>
      </c>
      <c r="K1967" t="s">
        <v>2</v>
      </c>
      <c r="L1967" t="s">
        <v>730</v>
      </c>
      <c r="M1967" t="s">
        <v>731</v>
      </c>
      <c r="N1967">
        <v>18045</v>
      </c>
      <c r="O1967" t="s">
        <v>736</v>
      </c>
      <c r="P1967">
        <v>2271608</v>
      </c>
      <c r="Q1967" t="s">
        <v>38</v>
      </c>
      <c r="R1967">
        <v>412790</v>
      </c>
      <c r="S1967" t="s">
        <v>2451</v>
      </c>
      <c r="T1967" s="2">
        <v>21</v>
      </c>
      <c r="U1967">
        <v>0</v>
      </c>
      <c r="V1967" t="s">
        <v>153</v>
      </c>
      <c r="W1967">
        <v>20</v>
      </c>
      <c r="X1967">
        <v>20</v>
      </c>
      <c r="Y1967">
        <v>0</v>
      </c>
      <c r="Z1967" t="s">
        <v>2778</v>
      </c>
      <c r="AA1967" t="s">
        <v>2779</v>
      </c>
      <c r="AB1967" t="s">
        <v>14</v>
      </c>
      <c r="AC1967">
        <v>156.88</v>
      </c>
      <c r="AD1967">
        <v>3137.6</v>
      </c>
      <c r="AE1967">
        <v>9442814194</v>
      </c>
      <c r="AF1967">
        <v>3162.6</v>
      </c>
      <c r="AG1967">
        <v>0</v>
      </c>
      <c r="AH1967">
        <v>0</v>
      </c>
      <c r="AI1967">
        <v>3162.6</v>
      </c>
      <c r="AJ1967" t="s">
        <v>2</v>
      </c>
      <c r="AK1967" t="s">
        <v>11</v>
      </c>
    </row>
    <row r="1968" spans="1:37">
      <c r="A1968">
        <v>257867</v>
      </c>
      <c r="B1968" s="1">
        <v>45366</v>
      </c>
      <c r="C1968" t="s">
        <v>728</v>
      </c>
      <c r="D1968" t="s">
        <v>729</v>
      </c>
      <c r="E1968" t="s">
        <v>2</v>
      </c>
      <c r="F1968" t="s">
        <v>730</v>
      </c>
      <c r="G1968" t="s">
        <v>731</v>
      </c>
      <c r="H1968">
        <v>18045</v>
      </c>
      <c r="I1968" t="s">
        <v>2710</v>
      </c>
      <c r="J1968" t="s">
        <v>2711</v>
      </c>
      <c r="K1968" t="s">
        <v>2</v>
      </c>
      <c r="L1968" t="s">
        <v>730</v>
      </c>
      <c r="M1968" t="s">
        <v>731</v>
      </c>
      <c r="N1968">
        <v>18045</v>
      </c>
      <c r="O1968" t="s">
        <v>736</v>
      </c>
      <c r="P1968">
        <v>2271608</v>
      </c>
      <c r="Q1968" t="s">
        <v>38</v>
      </c>
      <c r="R1968">
        <v>412790</v>
      </c>
      <c r="S1968" t="s">
        <v>2451</v>
      </c>
      <c r="T1968" s="2">
        <v>21</v>
      </c>
      <c r="U1968">
        <v>0</v>
      </c>
      <c r="V1968" t="s">
        <v>153</v>
      </c>
      <c r="W1968">
        <v>0</v>
      </c>
      <c r="X1968">
        <v>0</v>
      </c>
      <c r="Y1968">
        <v>0</v>
      </c>
      <c r="Z1968" t="s">
        <v>88</v>
      </c>
      <c r="AA1968" t="s">
        <v>298</v>
      </c>
      <c r="AB1968" t="s">
        <v>10</v>
      </c>
      <c r="AC1968">
        <v>0</v>
      </c>
      <c r="AD1968">
        <v>0</v>
      </c>
      <c r="AE1968">
        <v>9442814194</v>
      </c>
      <c r="AF1968">
        <v>3162.6</v>
      </c>
      <c r="AG1968">
        <v>0</v>
      </c>
      <c r="AH1968">
        <v>0</v>
      </c>
      <c r="AI1968">
        <v>3162.6</v>
      </c>
      <c r="AJ1968" t="s">
        <v>2</v>
      </c>
      <c r="AK1968" t="s">
        <v>11</v>
      </c>
    </row>
    <row r="1969" spans="1:37">
      <c r="A1969">
        <v>257867</v>
      </c>
      <c r="B1969" s="1">
        <v>45366</v>
      </c>
      <c r="C1969" t="s">
        <v>728</v>
      </c>
      <c r="D1969" t="s">
        <v>729</v>
      </c>
      <c r="E1969" t="s">
        <v>2</v>
      </c>
      <c r="F1969" t="s">
        <v>730</v>
      </c>
      <c r="G1969" t="s">
        <v>731</v>
      </c>
      <c r="H1969">
        <v>18045</v>
      </c>
      <c r="I1969" t="s">
        <v>2710</v>
      </c>
      <c r="J1969" t="s">
        <v>2711</v>
      </c>
      <c r="K1969" t="s">
        <v>2</v>
      </c>
      <c r="L1969" t="s">
        <v>730</v>
      </c>
      <c r="M1969" t="s">
        <v>731</v>
      </c>
      <c r="N1969">
        <v>18045</v>
      </c>
      <c r="O1969" t="s">
        <v>736</v>
      </c>
      <c r="P1969">
        <v>2271608</v>
      </c>
      <c r="Q1969" t="s">
        <v>38</v>
      </c>
      <c r="R1969">
        <v>412790</v>
      </c>
      <c r="S1969" t="s">
        <v>2451</v>
      </c>
      <c r="T1969" s="2">
        <v>21</v>
      </c>
      <c r="U1969">
        <v>0</v>
      </c>
      <c r="V1969" t="s">
        <v>153</v>
      </c>
      <c r="W1969">
        <v>1</v>
      </c>
      <c r="X1969">
        <v>1</v>
      </c>
      <c r="Y1969">
        <v>0</v>
      </c>
      <c r="Z1969" t="s">
        <v>183</v>
      </c>
      <c r="AA1969" t="s">
        <v>184</v>
      </c>
      <c r="AB1969" t="s">
        <v>14</v>
      </c>
      <c r="AC1969">
        <v>25</v>
      </c>
      <c r="AD1969">
        <v>25</v>
      </c>
      <c r="AE1969">
        <v>9442814194</v>
      </c>
      <c r="AF1969">
        <v>3162.6</v>
      </c>
      <c r="AG1969">
        <v>0</v>
      </c>
      <c r="AH1969">
        <v>0</v>
      </c>
      <c r="AI1969">
        <v>3162.6</v>
      </c>
      <c r="AJ1969" t="s">
        <v>2</v>
      </c>
      <c r="AK1969" t="s">
        <v>11</v>
      </c>
    </row>
    <row r="1970" spans="1:37">
      <c r="A1970">
        <v>257866</v>
      </c>
      <c r="B1970" s="1">
        <v>45366</v>
      </c>
      <c r="C1970" t="s">
        <v>1413</v>
      </c>
      <c r="D1970" t="s">
        <v>1414</v>
      </c>
      <c r="E1970" t="s">
        <v>2</v>
      </c>
      <c r="F1970" t="s">
        <v>558</v>
      </c>
      <c r="G1970" t="s">
        <v>28</v>
      </c>
      <c r="H1970">
        <v>32809</v>
      </c>
      <c r="I1970" t="s">
        <v>1415</v>
      </c>
      <c r="J1970" t="s">
        <v>2780</v>
      </c>
      <c r="K1970" t="s">
        <v>2</v>
      </c>
      <c r="L1970" t="s">
        <v>1417</v>
      </c>
      <c r="M1970" t="s">
        <v>28</v>
      </c>
      <c r="N1970">
        <v>32809</v>
      </c>
      <c r="O1970" t="s">
        <v>1418</v>
      </c>
      <c r="P1970">
        <v>2277199</v>
      </c>
      <c r="Q1970" t="s">
        <v>38</v>
      </c>
      <c r="R1970">
        <v>415017</v>
      </c>
      <c r="S1970" t="s">
        <v>2451</v>
      </c>
      <c r="T1970" s="2">
        <v>16</v>
      </c>
      <c r="U1970">
        <v>0</v>
      </c>
      <c r="V1970" t="s">
        <v>153</v>
      </c>
      <c r="W1970">
        <v>0</v>
      </c>
      <c r="X1970">
        <v>0</v>
      </c>
      <c r="Y1970">
        <v>0</v>
      </c>
      <c r="Z1970" t="s">
        <v>9</v>
      </c>
      <c r="AA1970" t="s">
        <v>2</v>
      </c>
      <c r="AB1970" t="s">
        <v>10</v>
      </c>
      <c r="AC1970">
        <v>0</v>
      </c>
      <c r="AD1970">
        <v>0</v>
      </c>
      <c r="AE1970">
        <v>9442817554</v>
      </c>
      <c r="AF1970">
        <v>5549.14</v>
      </c>
      <c r="AG1970">
        <v>0</v>
      </c>
      <c r="AH1970">
        <v>0</v>
      </c>
      <c r="AI1970">
        <v>5549.14</v>
      </c>
      <c r="AJ1970" t="s">
        <v>2</v>
      </c>
      <c r="AK1970" t="s">
        <v>11</v>
      </c>
    </row>
    <row r="1971" spans="1:37">
      <c r="A1971">
        <v>257866</v>
      </c>
      <c r="B1971" s="1">
        <v>45366</v>
      </c>
      <c r="C1971" t="s">
        <v>1413</v>
      </c>
      <c r="D1971" t="s">
        <v>1414</v>
      </c>
      <c r="E1971" t="s">
        <v>2</v>
      </c>
      <c r="F1971" t="s">
        <v>558</v>
      </c>
      <c r="G1971" t="s">
        <v>28</v>
      </c>
      <c r="H1971">
        <v>32809</v>
      </c>
      <c r="I1971" t="s">
        <v>1415</v>
      </c>
      <c r="J1971" t="s">
        <v>2780</v>
      </c>
      <c r="K1971" t="s">
        <v>2</v>
      </c>
      <c r="L1971" t="s">
        <v>1417</v>
      </c>
      <c r="M1971" t="s">
        <v>28</v>
      </c>
      <c r="N1971">
        <v>32809</v>
      </c>
      <c r="O1971" t="s">
        <v>1418</v>
      </c>
      <c r="P1971">
        <v>2277199</v>
      </c>
      <c r="Q1971" t="s">
        <v>38</v>
      </c>
      <c r="R1971">
        <v>415017</v>
      </c>
      <c r="S1971" t="s">
        <v>2451</v>
      </c>
      <c r="T1971" s="2">
        <v>16</v>
      </c>
      <c r="U1971">
        <v>0</v>
      </c>
      <c r="V1971" t="s">
        <v>153</v>
      </c>
      <c r="W1971">
        <v>2</v>
      </c>
      <c r="X1971">
        <v>2</v>
      </c>
      <c r="Y1971">
        <v>0</v>
      </c>
      <c r="Z1971" t="s">
        <v>2781</v>
      </c>
      <c r="AA1971" t="s">
        <v>2782</v>
      </c>
      <c r="AB1971" t="s">
        <v>14</v>
      </c>
      <c r="AC1971">
        <v>213.59</v>
      </c>
      <c r="AD1971">
        <v>427.18</v>
      </c>
      <c r="AE1971">
        <v>9442817554</v>
      </c>
      <c r="AF1971">
        <v>5549.14</v>
      </c>
      <c r="AG1971">
        <v>0</v>
      </c>
      <c r="AH1971">
        <v>0</v>
      </c>
      <c r="AI1971">
        <v>5549.14</v>
      </c>
      <c r="AJ1971" t="s">
        <v>2</v>
      </c>
      <c r="AK1971" t="s">
        <v>11</v>
      </c>
    </row>
    <row r="1972" spans="1:37">
      <c r="A1972">
        <v>257866</v>
      </c>
      <c r="B1972" s="1">
        <v>45366</v>
      </c>
      <c r="C1972" t="s">
        <v>1413</v>
      </c>
      <c r="D1972" t="s">
        <v>1414</v>
      </c>
      <c r="E1972" t="s">
        <v>2</v>
      </c>
      <c r="F1972" t="s">
        <v>558</v>
      </c>
      <c r="G1972" t="s">
        <v>28</v>
      </c>
      <c r="H1972">
        <v>32809</v>
      </c>
      <c r="I1972" t="s">
        <v>1415</v>
      </c>
      <c r="J1972" t="s">
        <v>2780</v>
      </c>
      <c r="K1972" t="s">
        <v>2</v>
      </c>
      <c r="L1972" t="s">
        <v>1417</v>
      </c>
      <c r="M1972" t="s">
        <v>28</v>
      </c>
      <c r="N1972">
        <v>32809</v>
      </c>
      <c r="O1972" t="s">
        <v>1418</v>
      </c>
      <c r="P1972">
        <v>2277199</v>
      </c>
      <c r="Q1972" t="s">
        <v>38</v>
      </c>
      <c r="R1972">
        <v>415017</v>
      </c>
      <c r="S1972" t="s">
        <v>2451</v>
      </c>
      <c r="T1972" s="2">
        <v>16</v>
      </c>
      <c r="U1972">
        <v>0</v>
      </c>
      <c r="V1972" t="s">
        <v>153</v>
      </c>
      <c r="W1972">
        <v>0</v>
      </c>
      <c r="X1972">
        <v>0</v>
      </c>
      <c r="Y1972">
        <v>0</v>
      </c>
      <c r="Z1972" t="s">
        <v>88</v>
      </c>
      <c r="AA1972" t="s">
        <v>196</v>
      </c>
      <c r="AB1972" t="s">
        <v>10</v>
      </c>
      <c r="AC1972">
        <v>0</v>
      </c>
      <c r="AD1972">
        <v>0</v>
      </c>
      <c r="AE1972">
        <v>9442817554</v>
      </c>
      <c r="AF1972">
        <v>5549.14</v>
      </c>
      <c r="AG1972">
        <v>0</v>
      </c>
      <c r="AH1972">
        <v>0</v>
      </c>
      <c r="AI1972">
        <v>5549.14</v>
      </c>
      <c r="AJ1972" t="s">
        <v>2</v>
      </c>
      <c r="AK1972" t="s">
        <v>11</v>
      </c>
    </row>
    <row r="1973" spans="1:37">
      <c r="A1973">
        <v>257866</v>
      </c>
      <c r="B1973" s="1">
        <v>45366</v>
      </c>
      <c r="C1973" t="s">
        <v>1413</v>
      </c>
      <c r="D1973" t="s">
        <v>1414</v>
      </c>
      <c r="E1973" t="s">
        <v>2</v>
      </c>
      <c r="F1973" t="s">
        <v>558</v>
      </c>
      <c r="G1973" t="s">
        <v>28</v>
      </c>
      <c r="H1973">
        <v>32809</v>
      </c>
      <c r="I1973" t="s">
        <v>1415</v>
      </c>
      <c r="J1973" t="s">
        <v>2780</v>
      </c>
      <c r="K1973" t="s">
        <v>2</v>
      </c>
      <c r="L1973" t="s">
        <v>1417</v>
      </c>
      <c r="M1973" t="s">
        <v>28</v>
      </c>
      <c r="N1973">
        <v>32809</v>
      </c>
      <c r="O1973" t="s">
        <v>1418</v>
      </c>
      <c r="P1973">
        <v>2277199</v>
      </c>
      <c r="Q1973" t="s">
        <v>38</v>
      </c>
      <c r="R1973">
        <v>415017</v>
      </c>
      <c r="S1973" t="s">
        <v>2451</v>
      </c>
      <c r="T1973" s="2">
        <v>16</v>
      </c>
      <c r="U1973">
        <v>0</v>
      </c>
      <c r="V1973" t="s">
        <v>153</v>
      </c>
      <c r="W1973">
        <v>9</v>
      </c>
      <c r="X1973">
        <v>9</v>
      </c>
      <c r="Y1973">
        <v>0</v>
      </c>
      <c r="Z1973" t="s">
        <v>312</v>
      </c>
      <c r="AA1973" t="s">
        <v>313</v>
      </c>
      <c r="AB1973" t="s">
        <v>14</v>
      </c>
      <c r="AC1973">
        <v>119.44</v>
      </c>
      <c r="AD1973">
        <v>1074.96</v>
      </c>
      <c r="AE1973">
        <v>9442817554</v>
      </c>
      <c r="AF1973">
        <v>5549.14</v>
      </c>
      <c r="AG1973">
        <v>0</v>
      </c>
      <c r="AH1973">
        <v>0</v>
      </c>
      <c r="AI1973">
        <v>5549.14</v>
      </c>
      <c r="AJ1973" t="s">
        <v>2</v>
      </c>
      <c r="AK1973" t="s">
        <v>11</v>
      </c>
    </row>
    <row r="1974" spans="1:37">
      <c r="A1974">
        <v>257866</v>
      </c>
      <c r="B1974" s="1">
        <v>45366</v>
      </c>
      <c r="C1974" t="s">
        <v>1413</v>
      </c>
      <c r="D1974" t="s">
        <v>1414</v>
      </c>
      <c r="E1974" t="s">
        <v>2</v>
      </c>
      <c r="F1974" t="s">
        <v>558</v>
      </c>
      <c r="G1974" t="s">
        <v>28</v>
      </c>
      <c r="H1974">
        <v>32809</v>
      </c>
      <c r="I1974" t="s">
        <v>1415</v>
      </c>
      <c r="J1974" t="s">
        <v>2780</v>
      </c>
      <c r="K1974" t="s">
        <v>2</v>
      </c>
      <c r="L1974" t="s">
        <v>1417</v>
      </c>
      <c r="M1974" t="s">
        <v>28</v>
      </c>
      <c r="N1974">
        <v>32809</v>
      </c>
      <c r="O1974" t="s">
        <v>1418</v>
      </c>
      <c r="P1974">
        <v>2277199</v>
      </c>
      <c r="Q1974" t="s">
        <v>38</v>
      </c>
      <c r="R1974">
        <v>415017</v>
      </c>
      <c r="S1974" t="s">
        <v>2451</v>
      </c>
      <c r="T1974" s="2">
        <v>16</v>
      </c>
      <c r="U1974">
        <v>0</v>
      </c>
      <c r="V1974" t="s">
        <v>153</v>
      </c>
      <c r="W1974">
        <v>0</v>
      </c>
      <c r="X1974">
        <v>0</v>
      </c>
      <c r="Y1974">
        <v>0</v>
      </c>
      <c r="Z1974" t="s">
        <v>88</v>
      </c>
      <c r="AA1974" t="s">
        <v>314</v>
      </c>
      <c r="AB1974" t="s">
        <v>10</v>
      </c>
      <c r="AC1974">
        <v>0</v>
      </c>
      <c r="AD1974">
        <v>0</v>
      </c>
      <c r="AE1974">
        <v>9442817554</v>
      </c>
      <c r="AF1974">
        <v>5549.14</v>
      </c>
      <c r="AG1974">
        <v>0</v>
      </c>
      <c r="AH1974">
        <v>0</v>
      </c>
      <c r="AI1974">
        <v>5549.14</v>
      </c>
      <c r="AJ1974" t="s">
        <v>2</v>
      </c>
      <c r="AK1974" t="s">
        <v>11</v>
      </c>
    </row>
    <row r="1975" spans="1:37">
      <c r="A1975">
        <v>257866</v>
      </c>
      <c r="B1975" s="1">
        <v>45366</v>
      </c>
      <c r="C1975" t="s">
        <v>1413</v>
      </c>
      <c r="D1975" t="s">
        <v>1414</v>
      </c>
      <c r="E1975" t="s">
        <v>2</v>
      </c>
      <c r="F1975" t="s">
        <v>558</v>
      </c>
      <c r="G1975" t="s">
        <v>28</v>
      </c>
      <c r="H1975">
        <v>32809</v>
      </c>
      <c r="I1975" t="s">
        <v>1415</v>
      </c>
      <c r="J1975" t="s">
        <v>2780</v>
      </c>
      <c r="K1975" t="s">
        <v>2</v>
      </c>
      <c r="L1975" t="s">
        <v>1417</v>
      </c>
      <c r="M1975" t="s">
        <v>28</v>
      </c>
      <c r="N1975">
        <v>32809</v>
      </c>
      <c r="O1975" t="s">
        <v>1418</v>
      </c>
      <c r="P1975">
        <v>2277199</v>
      </c>
      <c r="Q1975" t="s">
        <v>38</v>
      </c>
      <c r="R1975">
        <v>415017</v>
      </c>
      <c r="S1975" t="s">
        <v>2451</v>
      </c>
      <c r="T1975" s="2">
        <v>16</v>
      </c>
      <c r="U1975">
        <v>0</v>
      </c>
      <c r="V1975" t="s">
        <v>153</v>
      </c>
      <c r="W1975">
        <v>1</v>
      </c>
      <c r="X1975">
        <v>1</v>
      </c>
      <c r="Y1975">
        <v>0</v>
      </c>
      <c r="Z1975" t="s">
        <v>2783</v>
      </c>
      <c r="AA1975" t="s">
        <v>2784</v>
      </c>
      <c r="AB1975" t="s">
        <v>14</v>
      </c>
      <c r="AC1975">
        <v>149.30000000000001</v>
      </c>
      <c r="AD1975">
        <v>149.30000000000001</v>
      </c>
      <c r="AE1975">
        <v>9442817554</v>
      </c>
      <c r="AF1975">
        <v>5549.14</v>
      </c>
      <c r="AG1975">
        <v>0</v>
      </c>
      <c r="AH1975">
        <v>0</v>
      </c>
      <c r="AI1975">
        <v>5549.14</v>
      </c>
      <c r="AJ1975" t="s">
        <v>2</v>
      </c>
      <c r="AK1975" t="s">
        <v>11</v>
      </c>
    </row>
    <row r="1976" spans="1:37">
      <c r="A1976">
        <v>257866</v>
      </c>
      <c r="B1976" s="1">
        <v>45366</v>
      </c>
      <c r="C1976" t="s">
        <v>1413</v>
      </c>
      <c r="D1976" t="s">
        <v>1414</v>
      </c>
      <c r="E1976" t="s">
        <v>2</v>
      </c>
      <c r="F1976" t="s">
        <v>558</v>
      </c>
      <c r="G1976" t="s">
        <v>28</v>
      </c>
      <c r="H1976">
        <v>32809</v>
      </c>
      <c r="I1976" t="s">
        <v>1415</v>
      </c>
      <c r="J1976" t="s">
        <v>2780</v>
      </c>
      <c r="K1976" t="s">
        <v>2</v>
      </c>
      <c r="L1976" t="s">
        <v>1417</v>
      </c>
      <c r="M1976" t="s">
        <v>28</v>
      </c>
      <c r="N1976">
        <v>32809</v>
      </c>
      <c r="O1976" t="s">
        <v>1418</v>
      </c>
      <c r="P1976">
        <v>2277199</v>
      </c>
      <c r="Q1976" t="s">
        <v>38</v>
      </c>
      <c r="R1976">
        <v>415017</v>
      </c>
      <c r="S1976" t="s">
        <v>2451</v>
      </c>
      <c r="T1976" s="2">
        <v>16</v>
      </c>
      <c r="U1976">
        <v>0</v>
      </c>
      <c r="V1976" t="s">
        <v>153</v>
      </c>
      <c r="W1976">
        <v>0</v>
      </c>
      <c r="X1976">
        <v>0</v>
      </c>
      <c r="Y1976">
        <v>0</v>
      </c>
      <c r="Z1976" t="s">
        <v>88</v>
      </c>
      <c r="AA1976" t="s">
        <v>317</v>
      </c>
      <c r="AB1976" t="s">
        <v>10</v>
      </c>
      <c r="AC1976">
        <v>0</v>
      </c>
      <c r="AD1976">
        <v>0</v>
      </c>
      <c r="AE1976">
        <v>9442817554</v>
      </c>
      <c r="AF1976">
        <v>5549.14</v>
      </c>
      <c r="AG1976">
        <v>0</v>
      </c>
      <c r="AH1976">
        <v>0</v>
      </c>
      <c r="AI1976">
        <v>5549.14</v>
      </c>
      <c r="AJ1976" t="s">
        <v>2</v>
      </c>
      <c r="AK1976" t="s">
        <v>11</v>
      </c>
    </row>
    <row r="1977" spans="1:37">
      <c r="A1977">
        <v>257866</v>
      </c>
      <c r="B1977" s="1">
        <v>45366</v>
      </c>
      <c r="C1977" t="s">
        <v>1413</v>
      </c>
      <c r="D1977" t="s">
        <v>1414</v>
      </c>
      <c r="E1977" t="s">
        <v>2</v>
      </c>
      <c r="F1977" t="s">
        <v>558</v>
      </c>
      <c r="G1977" t="s">
        <v>28</v>
      </c>
      <c r="H1977">
        <v>32809</v>
      </c>
      <c r="I1977" t="s">
        <v>1415</v>
      </c>
      <c r="J1977" t="s">
        <v>2780</v>
      </c>
      <c r="K1977" t="s">
        <v>2</v>
      </c>
      <c r="L1977" t="s">
        <v>1417</v>
      </c>
      <c r="M1977" t="s">
        <v>28</v>
      </c>
      <c r="N1977">
        <v>32809</v>
      </c>
      <c r="O1977" t="s">
        <v>1418</v>
      </c>
      <c r="P1977">
        <v>2277199</v>
      </c>
      <c r="Q1977" t="s">
        <v>38</v>
      </c>
      <c r="R1977">
        <v>415017</v>
      </c>
      <c r="S1977" t="s">
        <v>2451</v>
      </c>
      <c r="T1977" s="2">
        <v>16</v>
      </c>
      <c r="U1977">
        <v>0</v>
      </c>
      <c r="V1977" t="s">
        <v>153</v>
      </c>
      <c r="W1977">
        <v>3</v>
      </c>
      <c r="X1977">
        <v>3</v>
      </c>
      <c r="Y1977">
        <v>0</v>
      </c>
      <c r="Z1977" t="s">
        <v>2785</v>
      </c>
      <c r="AA1977" t="s">
        <v>2786</v>
      </c>
      <c r="AB1977" t="s">
        <v>14</v>
      </c>
      <c r="AC1977">
        <v>1290.9000000000001</v>
      </c>
      <c r="AD1977">
        <v>3872.7</v>
      </c>
      <c r="AE1977">
        <v>9442817554</v>
      </c>
      <c r="AF1977">
        <v>5549.14</v>
      </c>
      <c r="AG1977">
        <v>0</v>
      </c>
      <c r="AH1977">
        <v>0</v>
      </c>
      <c r="AI1977">
        <v>5549.14</v>
      </c>
      <c r="AJ1977" t="s">
        <v>2</v>
      </c>
      <c r="AK1977" t="s">
        <v>11</v>
      </c>
    </row>
    <row r="1978" spans="1:37">
      <c r="A1978">
        <v>257866</v>
      </c>
      <c r="B1978" s="1">
        <v>45366</v>
      </c>
      <c r="C1978" t="s">
        <v>1413</v>
      </c>
      <c r="D1978" t="s">
        <v>1414</v>
      </c>
      <c r="E1978" t="s">
        <v>2</v>
      </c>
      <c r="F1978" t="s">
        <v>558</v>
      </c>
      <c r="G1978" t="s">
        <v>28</v>
      </c>
      <c r="H1978">
        <v>32809</v>
      </c>
      <c r="I1978" t="s">
        <v>1415</v>
      </c>
      <c r="J1978" t="s">
        <v>2780</v>
      </c>
      <c r="K1978" t="s">
        <v>2</v>
      </c>
      <c r="L1978" t="s">
        <v>1417</v>
      </c>
      <c r="M1978" t="s">
        <v>28</v>
      </c>
      <c r="N1978">
        <v>32809</v>
      </c>
      <c r="O1978" t="s">
        <v>1418</v>
      </c>
      <c r="P1978">
        <v>2277199</v>
      </c>
      <c r="Q1978" t="s">
        <v>38</v>
      </c>
      <c r="R1978">
        <v>415017</v>
      </c>
      <c r="S1978" t="s">
        <v>2451</v>
      </c>
      <c r="T1978" s="2">
        <v>16</v>
      </c>
      <c r="U1978">
        <v>0</v>
      </c>
      <c r="V1978" t="s">
        <v>153</v>
      </c>
      <c r="W1978">
        <v>0</v>
      </c>
      <c r="X1978">
        <v>0</v>
      </c>
      <c r="Y1978">
        <v>0</v>
      </c>
      <c r="Z1978" t="s">
        <v>88</v>
      </c>
      <c r="AA1978" t="s">
        <v>298</v>
      </c>
      <c r="AB1978" t="s">
        <v>10</v>
      </c>
      <c r="AC1978">
        <v>0</v>
      </c>
      <c r="AD1978">
        <v>0</v>
      </c>
      <c r="AE1978">
        <v>9442817554</v>
      </c>
      <c r="AF1978">
        <v>5549.14</v>
      </c>
      <c r="AG1978">
        <v>0</v>
      </c>
      <c r="AH1978">
        <v>0</v>
      </c>
      <c r="AI1978">
        <v>5549.14</v>
      </c>
      <c r="AJ1978" t="s">
        <v>2</v>
      </c>
      <c r="AK1978" t="s">
        <v>11</v>
      </c>
    </row>
    <row r="1979" spans="1:37">
      <c r="A1979">
        <v>257866</v>
      </c>
      <c r="B1979" s="1">
        <v>45366</v>
      </c>
      <c r="C1979" t="s">
        <v>1413</v>
      </c>
      <c r="D1979" t="s">
        <v>1414</v>
      </c>
      <c r="E1979" t="s">
        <v>2</v>
      </c>
      <c r="F1979" t="s">
        <v>558</v>
      </c>
      <c r="G1979" t="s">
        <v>28</v>
      </c>
      <c r="H1979">
        <v>32809</v>
      </c>
      <c r="I1979" t="s">
        <v>1415</v>
      </c>
      <c r="J1979" t="s">
        <v>2780</v>
      </c>
      <c r="K1979" t="s">
        <v>2</v>
      </c>
      <c r="L1979" t="s">
        <v>1417</v>
      </c>
      <c r="M1979" t="s">
        <v>28</v>
      </c>
      <c r="N1979">
        <v>32809</v>
      </c>
      <c r="O1979" t="s">
        <v>1418</v>
      </c>
      <c r="P1979">
        <v>2277199</v>
      </c>
      <c r="Q1979" t="s">
        <v>38</v>
      </c>
      <c r="R1979">
        <v>415017</v>
      </c>
      <c r="S1979" t="s">
        <v>2451</v>
      </c>
      <c r="T1979" s="2">
        <v>16</v>
      </c>
      <c r="U1979">
        <v>0</v>
      </c>
      <c r="V1979" t="s">
        <v>153</v>
      </c>
      <c r="W1979">
        <v>1</v>
      </c>
      <c r="X1979">
        <v>1</v>
      </c>
      <c r="Y1979">
        <v>0</v>
      </c>
      <c r="Z1979" t="s">
        <v>183</v>
      </c>
      <c r="AA1979" t="s">
        <v>184</v>
      </c>
      <c r="AB1979" t="s">
        <v>14</v>
      </c>
      <c r="AC1979">
        <v>25</v>
      </c>
      <c r="AD1979">
        <v>25</v>
      </c>
      <c r="AE1979">
        <v>9442817554</v>
      </c>
      <c r="AF1979">
        <v>5549.14</v>
      </c>
      <c r="AG1979">
        <v>0</v>
      </c>
      <c r="AH1979">
        <v>0</v>
      </c>
      <c r="AI1979">
        <v>5549.14</v>
      </c>
      <c r="AJ1979" t="s">
        <v>2</v>
      </c>
      <c r="AK1979" t="s">
        <v>11</v>
      </c>
    </row>
    <row r="1980" spans="1:37">
      <c r="A1980">
        <v>257865</v>
      </c>
      <c r="B1980" s="1">
        <v>45366</v>
      </c>
      <c r="C1980" t="s">
        <v>2787</v>
      </c>
      <c r="D1980" t="s">
        <v>2788</v>
      </c>
      <c r="E1980" t="s">
        <v>2789</v>
      </c>
      <c r="F1980" t="s">
        <v>2790</v>
      </c>
      <c r="G1980" t="s">
        <v>35</v>
      </c>
      <c r="H1980">
        <v>64068</v>
      </c>
      <c r="I1980" t="s">
        <v>2791</v>
      </c>
      <c r="J1980" t="s">
        <v>2792</v>
      </c>
      <c r="K1980" t="s">
        <v>2793</v>
      </c>
      <c r="L1980" t="s">
        <v>2794</v>
      </c>
      <c r="M1980" t="s">
        <v>35</v>
      </c>
      <c r="N1980">
        <v>64068</v>
      </c>
      <c r="O1980" t="s">
        <v>2795</v>
      </c>
      <c r="P1980">
        <v>2277329</v>
      </c>
      <c r="Q1980" t="s">
        <v>38</v>
      </c>
      <c r="R1980">
        <v>415061</v>
      </c>
      <c r="S1980" t="s">
        <v>2451</v>
      </c>
      <c r="T1980" s="2">
        <v>11</v>
      </c>
      <c r="U1980">
        <v>0</v>
      </c>
      <c r="V1980" t="s">
        <v>153</v>
      </c>
      <c r="W1980">
        <v>0</v>
      </c>
      <c r="X1980">
        <v>0</v>
      </c>
      <c r="Y1980">
        <v>0</v>
      </c>
      <c r="Z1980" t="s">
        <v>9</v>
      </c>
      <c r="AA1980" t="s">
        <v>2</v>
      </c>
      <c r="AB1980" t="s">
        <v>10</v>
      </c>
      <c r="AC1980">
        <v>0</v>
      </c>
      <c r="AD1980">
        <v>0</v>
      </c>
      <c r="AE1980">
        <v>9442816832</v>
      </c>
      <c r="AF1980">
        <v>2901.82</v>
      </c>
      <c r="AG1980">
        <v>0</v>
      </c>
      <c r="AH1980">
        <v>0</v>
      </c>
      <c r="AI1980">
        <v>2901.82</v>
      </c>
      <c r="AJ1980" t="s">
        <v>2</v>
      </c>
      <c r="AK1980" t="s">
        <v>11</v>
      </c>
    </row>
    <row r="1981" spans="1:37">
      <c r="A1981">
        <v>257865</v>
      </c>
      <c r="B1981" s="1">
        <v>45366</v>
      </c>
      <c r="C1981" t="s">
        <v>2787</v>
      </c>
      <c r="D1981" t="s">
        <v>2788</v>
      </c>
      <c r="E1981" t="s">
        <v>2789</v>
      </c>
      <c r="F1981" t="s">
        <v>2790</v>
      </c>
      <c r="G1981" t="s">
        <v>35</v>
      </c>
      <c r="H1981">
        <v>64068</v>
      </c>
      <c r="I1981" t="s">
        <v>2791</v>
      </c>
      <c r="J1981" t="s">
        <v>2792</v>
      </c>
      <c r="K1981" t="s">
        <v>2793</v>
      </c>
      <c r="L1981" t="s">
        <v>2794</v>
      </c>
      <c r="M1981" t="s">
        <v>35</v>
      </c>
      <c r="N1981">
        <v>64068</v>
      </c>
      <c r="O1981" t="s">
        <v>2795</v>
      </c>
      <c r="P1981">
        <v>2277329</v>
      </c>
      <c r="Q1981" t="s">
        <v>38</v>
      </c>
      <c r="R1981">
        <v>415061</v>
      </c>
      <c r="S1981" t="s">
        <v>2451</v>
      </c>
      <c r="T1981" s="2">
        <v>11</v>
      </c>
      <c r="U1981">
        <v>0</v>
      </c>
      <c r="V1981" t="s">
        <v>153</v>
      </c>
      <c r="W1981">
        <v>1</v>
      </c>
      <c r="X1981">
        <v>1</v>
      </c>
      <c r="Y1981">
        <v>0</v>
      </c>
      <c r="Z1981" t="s">
        <v>2796</v>
      </c>
      <c r="AA1981" t="s">
        <v>2797</v>
      </c>
      <c r="AB1981" t="s">
        <v>14</v>
      </c>
      <c r="AC1981">
        <v>995.46</v>
      </c>
      <c r="AD1981">
        <v>995.46</v>
      </c>
      <c r="AE1981">
        <v>9442816832</v>
      </c>
      <c r="AF1981">
        <v>2901.82</v>
      </c>
      <c r="AG1981">
        <v>0</v>
      </c>
      <c r="AH1981">
        <v>0</v>
      </c>
      <c r="AI1981">
        <v>2901.82</v>
      </c>
      <c r="AJ1981" t="s">
        <v>2</v>
      </c>
      <c r="AK1981" t="s">
        <v>11</v>
      </c>
    </row>
    <row r="1982" spans="1:37">
      <c r="A1982">
        <v>257865</v>
      </c>
      <c r="B1982" s="1">
        <v>45366</v>
      </c>
      <c r="C1982" t="s">
        <v>2787</v>
      </c>
      <c r="D1982" t="s">
        <v>2788</v>
      </c>
      <c r="E1982" t="s">
        <v>2789</v>
      </c>
      <c r="F1982" t="s">
        <v>2790</v>
      </c>
      <c r="G1982" t="s">
        <v>35</v>
      </c>
      <c r="H1982">
        <v>64068</v>
      </c>
      <c r="I1982" t="s">
        <v>2791</v>
      </c>
      <c r="J1982" t="s">
        <v>2792</v>
      </c>
      <c r="K1982" t="s">
        <v>2793</v>
      </c>
      <c r="L1982" t="s">
        <v>2794</v>
      </c>
      <c r="M1982" t="s">
        <v>35</v>
      </c>
      <c r="N1982">
        <v>64068</v>
      </c>
      <c r="O1982" t="s">
        <v>2795</v>
      </c>
      <c r="P1982">
        <v>2277329</v>
      </c>
      <c r="Q1982" t="s">
        <v>38</v>
      </c>
      <c r="R1982">
        <v>415061</v>
      </c>
      <c r="S1982" t="s">
        <v>2451</v>
      </c>
      <c r="T1982" s="2">
        <v>11</v>
      </c>
      <c r="U1982">
        <v>0</v>
      </c>
      <c r="V1982" t="s">
        <v>153</v>
      </c>
      <c r="W1982">
        <v>0</v>
      </c>
      <c r="X1982">
        <v>0</v>
      </c>
      <c r="Y1982">
        <v>0</v>
      </c>
      <c r="Z1982" t="s">
        <v>88</v>
      </c>
      <c r="AA1982" t="s">
        <v>251</v>
      </c>
      <c r="AB1982" t="s">
        <v>10</v>
      </c>
      <c r="AC1982">
        <v>0</v>
      </c>
      <c r="AD1982">
        <v>0</v>
      </c>
      <c r="AE1982">
        <v>9442816832</v>
      </c>
      <c r="AF1982">
        <v>2901.82</v>
      </c>
      <c r="AG1982">
        <v>0</v>
      </c>
      <c r="AH1982">
        <v>0</v>
      </c>
      <c r="AI1982">
        <v>2901.82</v>
      </c>
      <c r="AJ1982" t="s">
        <v>2</v>
      </c>
      <c r="AK1982" t="s">
        <v>11</v>
      </c>
    </row>
    <row r="1983" spans="1:37">
      <c r="A1983">
        <v>257865</v>
      </c>
      <c r="B1983" s="1">
        <v>45366</v>
      </c>
      <c r="C1983" t="s">
        <v>2787</v>
      </c>
      <c r="D1983" t="s">
        <v>2788</v>
      </c>
      <c r="E1983" t="s">
        <v>2789</v>
      </c>
      <c r="F1983" t="s">
        <v>2790</v>
      </c>
      <c r="G1983" t="s">
        <v>35</v>
      </c>
      <c r="H1983">
        <v>64068</v>
      </c>
      <c r="I1983" t="s">
        <v>2791</v>
      </c>
      <c r="J1983" t="s">
        <v>2792</v>
      </c>
      <c r="K1983" t="s">
        <v>2793</v>
      </c>
      <c r="L1983" t="s">
        <v>2794</v>
      </c>
      <c r="M1983" t="s">
        <v>35</v>
      </c>
      <c r="N1983">
        <v>64068</v>
      </c>
      <c r="O1983" t="s">
        <v>2795</v>
      </c>
      <c r="P1983">
        <v>2277329</v>
      </c>
      <c r="Q1983" t="s">
        <v>38</v>
      </c>
      <c r="R1983">
        <v>415061</v>
      </c>
      <c r="S1983" t="s">
        <v>2451</v>
      </c>
      <c r="T1983" s="2">
        <v>11</v>
      </c>
      <c r="U1983">
        <v>0</v>
      </c>
      <c r="V1983" t="s">
        <v>153</v>
      </c>
      <c r="W1983">
        <v>4</v>
      </c>
      <c r="X1983">
        <v>4</v>
      </c>
      <c r="Y1983">
        <v>0</v>
      </c>
      <c r="Z1983" t="s">
        <v>2798</v>
      </c>
      <c r="AA1983" t="s">
        <v>2799</v>
      </c>
      <c r="AB1983" t="s">
        <v>14</v>
      </c>
      <c r="AC1983">
        <v>209.04</v>
      </c>
      <c r="AD1983">
        <v>836.16</v>
      </c>
      <c r="AE1983">
        <v>9442816832</v>
      </c>
      <c r="AF1983">
        <v>2901.82</v>
      </c>
      <c r="AG1983">
        <v>0</v>
      </c>
      <c r="AH1983">
        <v>0</v>
      </c>
      <c r="AI1983">
        <v>2901.82</v>
      </c>
      <c r="AJ1983" t="s">
        <v>2</v>
      </c>
      <c r="AK1983" t="s">
        <v>11</v>
      </c>
    </row>
    <row r="1984" spans="1:37">
      <c r="A1984">
        <v>257865</v>
      </c>
      <c r="B1984" s="1">
        <v>45366</v>
      </c>
      <c r="C1984" t="s">
        <v>2787</v>
      </c>
      <c r="D1984" t="s">
        <v>2788</v>
      </c>
      <c r="E1984" t="s">
        <v>2789</v>
      </c>
      <c r="F1984" t="s">
        <v>2790</v>
      </c>
      <c r="G1984" t="s">
        <v>35</v>
      </c>
      <c r="H1984">
        <v>64068</v>
      </c>
      <c r="I1984" t="s">
        <v>2791</v>
      </c>
      <c r="J1984" t="s">
        <v>2792</v>
      </c>
      <c r="K1984" t="s">
        <v>2793</v>
      </c>
      <c r="L1984" t="s">
        <v>2794</v>
      </c>
      <c r="M1984" t="s">
        <v>35</v>
      </c>
      <c r="N1984">
        <v>64068</v>
      </c>
      <c r="O1984" t="s">
        <v>2795</v>
      </c>
      <c r="P1984">
        <v>2277329</v>
      </c>
      <c r="Q1984" t="s">
        <v>38</v>
      </c>
      <c r="R1984">
        <v>415061</v>
      </c>
      <c r="S1984" t="s">
        <v>2451</v>
      </c>
      <c r="T1984" s="2">
        <v>11</v>
      </c>
      <c r="U1984">
        <v>0</v>
      </c>
      <c r="V1984" t="s">
        <v>153</v>
      </c>
      <c r="W1984">
        <v>0</v>
      </c>
      <c r="X1984">
        <v>0</v>
      </c>
      <c r="Y1984">
        <v>0</v>
      </c>
      <c r="Z1984" t="s">
        <v>88</v>
      </c>
      <c r="AA1984" t="s">
        <v>251</v>
      </c>
      <c r="AB1984" t="s">
        <v>10</v>
      </c>
      <c r="AC1984">
        <v>0</v>
      </c>
      <c r="AD1984">
        <v>0</v>
      </c>
      <c r="AE1984">
        <v>9442816832</v>
      </c>
      <c r="AF1984">
        <v>2901.82</v>
      </c>
      <c r="AG1984">
        <v>0</v>
      </c>
      <c r="AH1984">
        <v>0</v>
      </c>
      <c r="AI1984">
        <v>2901.82</v>
      </c>
      <c r="AJ1984" t="s">
        <v>2</v>
      </c>
      <c r="AK1984" t="s">
        <v>11</v>
      </c>
    </row>
    <row r="1985" spans="1:37">
      <c r="A1985">
        <v>257865</v>
      </c>
      <c r="B1985" s="1">
        <v>45366</v>
      </c>
      <c r="C1985" t="s">
        <v>2787</v>
      </c>
      <c r="D1985" t="s">
        <v>2788</v>
      </c>
      <c r="E1985" t="s">
        <v>2789</v>
      </c>
      <c r="F1985" t="s">
        <v>2790</v>
      </c>
      <c r="G1985" t="s">
        <v>35</v>
      </c>
      <c r="H1985">
        <v>64068</v>
      </c>
      <c r="I1985" t="s">
        <v>2791</v>
      </c>
      <c r="J1985" t="s">
        <v>2792</v>
      </c>
      <c r="K1985" t="s">
        <v>2793</v>
      </c>
      <c r="L1985" t="s">
        <v>2794</v>
      </c>
      <c r="M1985" t="s">
        <v>35</v>
      </c>
      <c r="N1985">
        <v>64068</v>
      </c>
      <c r="O1985" t="s">
        <v>2795</v>
      </c>
      <c r="P1985">
        <v>2277329</v>
      </c>
      <c r="Q1985" t="s">
        <v>38</v>
      </c>
      <c r="R1985">
        <v>415061</v>
      </c>
      <c r="S1985" t="s">
        <v>2451</v>
      </c>
      <c r="T1985" s="2">
        <v>11</v>
      </c>
      <c r="U1985">
        <v>0</v>
      </c>
      <c r="V1985" t="s">
        <v>153</v>
      </c>
      <c r="W1985">
        <v>5</v>
      </c>
      <c r="X1985">
        <v>5</v>
      </c>
      <c r="Y1985">
        <v>0</v>
      </c>
      <c r="Z1985" t="s">
        <v>2800</v>
      </c>
      <c r="AA1985" t="s">
        <v>2801</v>
      </c>
      <c r="AB1985" t="s">
        <v>14</v>
      </c>
      <c r="AC1985">
        <v>209.04</v>
      </c>
      <c r="AD1985">
        <v>1045.2</v>
      </c>
      <c r="AE1985">
        <v>9442816832</v>
      </c>
      <c r="AF1985">
        <v>2901.82</v>
      </c>
      <c r="AG1985">
        <v>0</v>
      </c>
      <c r="AH1985">
        <v>0</v>
      </c>
      <c r="AI1985">
        <v>2901.82</v>
      </c>
      <c r="AJ1985" t="s">
        <v>2</v>
      </c>
      <c r="AK1985" t="s">
        <v>11</v>
      </c>
    </row>
    <row r="1986" spans="1:37">
      <c r="A1986">
        <v>257865</v>
      </c>
      <c r="B1986" s="1">
        <v>45366</v>
      </c>
      <c r="C1986" t="s">
        <v>2787</v>
      </c>
      <c r="D1986" t="s">
        <v>2788</v>
      </c>
      <c r="E1986" t="s">
        <v>2789</v>
      </c>
      <c r="F1986" t="s">
        <v>2790</v>
      </c>
      <c r="G1986" t="s">
        <v>35</v>
      </c>
      <c r="H1986">
        <v>64068</v>
      </c>
      <c r="I1986" t="s">
        <v>2791</v>
      </c>
      <c r="J1986" t="s">
        <v>2792</v>
      </c>
      <c r="K1986" t="s">
        <v>2793</v>
      </c>
      <c r="L1986" t="s">
        <v>2794</v>
      </c>
      <c r="M1986" t="s">
        <v>35</v>
      </c>
      <c r="N1986">
        <v>64068</v>
      </c>
      <c r="O1986" t="s">
        <v>2795</v>
      </c>
      <c r="P1986">
        <v>2277329</v>
      </c>
      <c r="Q1986" t="s">
        <v>38</v>
      </c>
      <c r="R1986">
        <v>415061</v>
      </c>
      <c r="S1986" t="s">
        <v>2451</v>
      </c>
      <c r="T1986" s="2">
        <v>11</v>
      </c>
      <c r="U1986">
        <v>0</v>
      </c>
      <c r="V1986" t="s">
        <v>153</v>
      </c>
      <c r="W1986">
        <v>0</v>
      </c>
      <c r="X1986">
        <v>0</v>
      </c>
      <c r="Y1986">
        <v>0</v>
      </c>
      <c r="Z1986" t="s">
        <v>88</v>
      </c>
      <c r="AA1986" t="s">
        <v>251</v>
      </c>
      <c r="AB1986" t="s">
        <v>10</v>
      </c>
      <c r="AC1986">
        <v>0</v>
      </c>
      <c r="AD1986">
        <v>0</v>
      </c>
      <c r="AE1986">
        <v>9442816832</v>
      </c>
      <c r="AF1986">
        <v>2901.82</v>
      </c>
      <c r="AG1986">
        <v>0</v>
      </c>
      <c r="AH1986">
        <v>0</v>
      </c>
      <c r="AI1986">
        <v>2901.82</v>
      </c>
      <c r="AJ1986" t="s">
        <v>2</v>
      </c>
      <c r="AK1986" t="s">
        <v>11</v>
      </c>
    </row>
    <row r="1987" spans="1:37">
      <c r="A1987">
        <v>257865</v>
      </c>
      <c r="B1987" s="1">
        <v>45366</v>
      </c>
      <c r="C1987" t="s">
        <v>2787</v>
      </c>
      <c r="D1987" t="s">
        <v>2788</v>
      </c>
      <c r="E1987" t="s">
        <v>2789</v>
      </c>
      <c r="F1987" t="s">
        <v>2790</v>
      </c>
      <c r="G1987" t="s">
        <v>35</v>
      </c>
      <c r="H1987">
        <v>64068</v>
      </c>
      <c r="I1987" t="s">
        <v>2791</v>
      </c>
      <c r="J1987" t="s">
        <v>2792</v>
      </c>
      <c r="K1987" t="s">
        <v>2793</v>
      </c>
      <c r="L1987" t="s">
        <v>2794</v>
      </c>
      <c r="M1987" t="s">
        <v>35</v>
      </c>
      <c r="N1987">
        <v>64068</v>
      </c>
      <c r="O1987" t="s">
        <v>2795</v>
      </c>
      <c r="P1987">
        <v>2277329</v>
      </c>
      <c r="Q1987" t="s">
        <v>38</v>
      </c>
      <c r="R1987">
        <v>415061</v>
      </c>
      <c r="S1987" t="s">
        <v>2451</v>
      </c>
      <c r="T1987" s="2">
        <v>11</v>
      </c>
      <c r="U1987">
        <v>0</v>
      </c>
      <c r="V1987" t="s">
        <v>153</v>
      </c>
      <c r="W1987">
        <v>1</v>
      </c>
      <c r="X1987">
        <v>1</v>
      </c>
      <c r="Y1987">
        <v>0</v>
      </c>
      <c r="Z1987" t="s">
        <v>183</v>
      </c>
      <c r="AA1987" t="s">
        <v>184</v>
      </c>
      <c r="AB1987" t="s">
        <v>14</v>
      </c>
      <c r="AC1987">
        <v>25</v>
      </c>
      <c r="AD1987">
        <v>25</v>
      </c>
      <c r="AE1987">
        <v>9442816832</v>
      </c>
      <c r="AF1987">
        <v>2901.82</v>
      </c>
      <c r="AG1987">
        <v>0</v>
      </c>
      <c r="AH1987">
        <v>0</v>
      </c>
      <c r="AI1987">
        <v>2901.82</v>
      </c>
      <c r="AJ1987" t="s">
        <v>2</v>
      </c>
      <c r="AK1987" t="s">
        <v>11</v>
      </c>
    </row>
    <row r="1988" spans="1:37">
      <c r="A1988">
        <v>257864</v>
      </c>
      <c r="B1988" s="1">
        <v>45366</v>
      </c>
      <c r="C1988" t="s">
        <v>2802</v>
      </c>
      <c r="D1988" t="s">
        <v>2803</v>
      </c>
      <c r="E1988" t="s">
        <v>2</v>
      </c>
      <c r="F1988" t="s">
        <v>66</v>
      </c>
      <c r="G1988" t="s">
        <v>67</v>
      </c>
      <c r="H1988">
        <v>75220</v>
      </c>
      <c r="I1988" t="s">
        <v>2802</v>
      </c>
      <c r="J1988" t="s">
        <v>2803</v>
      </c>
      <c r="K1988" t="s">
        <v>2</v>
      </c>
      <c r="L1988" t="s">
        <v>66</v>
      </c>
      <c r="M1988" t="s">
        <v>67</v>
      </c>
      <c r="N1988">
        <v>75220</v>
      </c>
      <c r="O1988" t="s">
        <v>2804</v>
      </c>
      <c r="P1988" t="s">
        <v>2805</v>
      </c>
      <c r="Q1988" t="s">
        <v>21</v>
      </c>
      <c r="R1988">
        <v>415145</v>
      </c>
      <c r="S1988" t="s">
        <v>2451</v>
      </c>
      <c r="T1988" s="2">
        <v>12</v>
      </c>
      <c r="U1988">
        <v>0</v>
      </c>
      <c r="V1988" t="s">
        <v>236</v>
      </c>
      <c r="W1988">
        <v>0</v>
      </c>
      <c r="X1988">
        <v>0</v>
      </c>
      <c r="Y1988">
        <v>0</v>
      </c>
      <c r="Z1988" t="s">
        <v>9</v>
      </c>
      <c r="AA1988" t="s">
        <v>2</v>
      </c>
      <c r="AB1988" t="s">
        <v>10</v>
      </c>
      <c r="AC1988">
        <v>0</v>
      </c>
      <c r="AD1988">
        <v>0</v>
      </c>
      <c r="AE1988">
        <v>9442818033</v>
      </c>
      <c r="AF1988">
        <v>2542.89</v>
      </c>
      <c r="AG1988">
        <v>0</v>
      </c>
      <c r="AH1988">
        <v>0</v>
      </c>
      <c r="AI1988">
        <v>2542.89</v>
      </c>
      <c r="AJ1988" t="s">
        <v>2</v>
      </c>
      <c r="AK1988" t="s">
        <v>11</v>
      </c>
    </row>
    <row r="1989" spans="1:37">
      <c r="A1989">
        <v>257864</v>
      </c>
      <c r="B1989" s="1">
        <v>45366</v>
      </c>
      <c r="C1989" t="s">
        <v>2802</v>
      </c>
      <c r="D1989" t="s">
        <v>2803</v>
      </c>
      <c r="E1989" t="s">
        <v>2</v>
      </c>
      <c r="F1989" t="s">
        <v>66</v>
      </c>
      <c r="G1989" t="s">
        <v>67</v>
      </c>
      <c r="H1989">
        <v>75220</v>
      </c>
      <c r="I1989" t="s">
        <v>2802</v>
      </c>
      <c r="J1989" t="s">
        <v>2803</v>
      </c>
      <c r="K1989" t="s">
        <v>2</v>
      </c>
      <c r="L1989" t="s">
        <v>66</v>
      </c>
      <c r="M1989" t="s">
        <v>67</v>
      </c>
      <c r="N1989">
        <v>75220</v>
      </c>
      <c r="O1989" t="s">
        <v>2804</v>
      </c>
      <c r="P1989" t="s">
        <v>2805</v>
      </c>
      <c r="Q1989" t="s">
        <v>21</v>
      </c>
      <c r="R1989">
        <v>415145</v>
      </c>
      <c r="S1989" t="s">
        <v>2451</v>
      </c>
      <c r="T1989" s="2">
        <v>12</v>
      </c>
      <c r="U1989">
        <v>0</v>
      </c>
      <c r="V1989" t="s">
        <v>236</v>
      </c>
      <c r="W1989">
        <v>2</v>
      </c>
      <c r="X1989">
        <v>2</v>
      </c>
      <c r="Y1989">
        <v>0</v>
      </c>
      <c r="Z1989" t="s">
        <v>2806</v>
      </c>
      <c r="AA1989" t="s">
        <v>393</v>
      </c>
      <c r="AB1989" t="s">
        <v>14</v>
      </c>
      <c r="AC1989">
        <v>323.26229999999998</v>
      </c>
      <c r="AD1989">
        <v>646.52</v>
      </c>
      <c r="AE1989">
        <v>9442818033</v>
      </c>
      <c r="AF1989">
        <v>2542.89</v>
      </c>
      <c r="AG1989">
        <v>0</v>
      </c>
      <c r="AH1989">
        <v>0</v>
      </c>
      <c r="AI1989">
        <v>2542.89</v>
      </c>
      <c r="AJ1989" t="s">
        <v>2</v>
      </c>
      <c r="AK1989" t="s">
        <v>11</v>
      </c>
    </row>
    <row r="1990" spans="1:37">
      <c r="A1990">
        <v>257864</v>
      </c>
      <c r="B1990" s="1">
        <v>45366</v>
      </c>
      <c r="C1990" t="s">
        <v>2802</v>
      </c>
      <c r="D1990" t="s">
        <v>2803</v>
      </c>
      <c r="E1990" t="s">
        <v>2</v>
      </c>
      <c r="F1990" t="s">
        <v>66</v>
      </c>
      <c r="G1990" t="s">
        <v>67</v>
      </c>
      <c r="H1990">
        <v>75220</v>
      </c>
      <c r="I1990" t="s">
        <v>2802</v>
      </c>
      <c r="J1990" t="s">
        <v>2803</v>
      </c>
      <c r="K1990" t="s">
        <v>2</v>
      </c>
      <c r="L1990" t="s">
        <v>66</v>
      </c>
      <c r="M1990" t="s">
        <v>67</v>
      </c>
      <c r="N1990">
        <v>75220</v>
      </c>
      <c r="O1990" t="s">
        <v>2804</v>
      </c>
      <c r="P1990" t="s">
        <v>2805</v>
      </c>
      <c r="Q1990" t="s">
        <v>21</v>
      </c>
      <c r="R1990">
        <v>415145</v>
      </c>
      <c r="S1990" t="s">
        <v>2451</v>
      </c>
      <c r="T1990" s="2">
        <v>12</v>
      </c>
      <c r="U1990">
        <v>0</v>
      </c>
      <c r="V1990" t="s">
        <v>236</v>
      </c>
      <c r="W1990">
        <v>0</v>
      </c>
      <c r="X1990">
        <v>0</v>
      </c>
      <c r="Y1990">
        <v>0</v>
      </c>
      <c r="Z1990" t="s">
        <v>88</v>
      </c>
      <c r="AA1990" t="s">
        <v>144</v>
      </c>
      <c r="AB1990" t="s">
        <v>10</v>
      </c>
      <c r="AC1990">
        <v>0</v>
      </c>
      <c r="AD1990">
        <v>0</v>
      </c>
      <c r="AE1990">
        <v>9442818033</v>
      </c>
      <c r="AF1990">
        <v>2542.89</v>
      </c>
      <c r="AG1990">
        <v>0</v>
      </c>
      <c r="AH1990">
        <v>0</v>
      </c>
      <c r="AI1990">
        <v>2542.89</v>
      </c>
      <c r="AJ1990" t="s">
        <v>2</v>
      </c>
      <c r="AK1990" t="s">
        <v>11</v>
      </c>
    </row>
    <row r="1991" spans="1:37">
      <c r="A1991">
        <v>257864</v>
      </c>
      <c r="B1991" s="1">
        <v>45366</v>
      </c>
      <c r="C1991" t="s">
        <v>2802</v>
      </c>
      <c r="D1991" t="s">
        <v>2803</v>
      </c>
      <c r="E1991" t="s">
        <v>2</v>
      </c>
      <c r="F1991" t="s">
        <v>66</v>
      </c>
      <c r="G1991" t="s">
        <v>67</v>
      </c>
      <c r="H1991">
        <v>75220</v>
      </c>
      <c r="I1991" t="s">
        <v>2802</v>
      </c>
      <c r="J1991" t="s">
        <v>2803</v>
      </c>
      <c r="K1991" t="s">
        <v>2</v>
      </c>
      <c r="L1991" t="s">
        <v>66</v>
      </c>
      <c r="M1991" t="s">
        <v>67</v>
      </c>
      <c r="N1991">
        <v>75220</v>
      </c>
      <c r="O1991" t="s">
        <v>2804</v>
      </c>
      <c r="P1991" t="s">
        <v>2805</v>
      </c>
      <c r="Q1991" t="s">
        <v>21</v>
      </c>
      <c r="R1991">
        <v>415145</v>
      </c>
      <c r="S1991" t="s">
        <v>2451</v>
      </c>
      <c r="T1991" s="2">
        <v>12</v>
      </c>
      <c r="U1991">
        <v>0</v>
      </c>
      <c r="V1991" t="s">
        <v>236</v>
      </c>
      <c r="W1991">
        <v>1</v>
      </c>
      <c r="X1991">
        <v>1</v>
      </c>
      <c r="Y1991">
        <v>0</v>
      </c>
      <c r="Z1991" t="s">
        <v>2807</v>
      </c>
      <c r="AA1991" t="s">
        <v>2808</v>
      </c>
      <c r="AB1991" t="s">
        <v>14</v>
      </c>
      <c r="AC1991">
        <v>365.48329999999999</v>
      </c>
      <c r="AD1991">
        <v>365.48</v>
      </c>
      <c r="AE1991">
        <v>9442818033</v>
      </c>
      <c r="AF1991">
        <v>2542.89</v>
      </c>
      <c r="AG1991">
        <v>0</v>
      </c>
      <c r="AH1991">
        <v>0</v>
      </c>
      <c r="AI1991">
        <v>2542.89</v>
      </c>
      <c r="AJ1991" t="s">
        <v>2</v>
      </c>
      <c r="AK1991" t="s">
        <v>11</v>
      </c>
    </row>
    <row r="1992" spans="1:37">
      <c r="A1992">
        <v>257864</v>
      </c>
      <c r="B1992" s="1">
        <v>45366</v>
      </c>
      <c r="C1992" t="s">
        <v>2802</v>
      </c>
      <c r="D1992" t="s">
        <v>2803</v>
      </c>
      <c r="E1992" t="s">
        <v>2</v>
      </c>
      <c r="F1992" t="s">
        <v>66</v>
      </c>
      <c r="G1992" t="s">
        <v>67</v>
      </c>
      <c r="H1992">
        <v>75220</v>
      </c>
      <c r="I1992" t="s">
        <v>2802</v>
      </c>
      <c r="J1992" t="s">
        <v>2803</v>
      </c>
      <c r="K1992" t="s">
        <v>2</v>
      </c>
      <c r="L1992" t="s">
        <v>66</v>
      </c>
      <c r="M1992" t="s">
        <v>67</v>
      </c>
      <c r="N1992">
        <v>75220</v>
      </c>
      <c r="O1992" t="s">
        <v>2804</v>
      </c>
      <c r="P1992" t="s">
        <v>2805</v>
      </c>
      <c r="Q1992" t="s">
        <v>21</v>
      </c>
      <c r="R1992">
        <v>415145</v>
      </c>
      <c r="S1992" t="s">
        <v>2451</v>
      </c>
      <c r="T1992" s="2">
        <v>12</v>
      </c>
      <c r="U1992">
        <v>0</v>
      </c>
      <c r="V1992" t="s">
        <v>236</v>
      </c>
      <c r="W1992">
        <v>0</v>
      </c>
      <c r="X1992">
        <v>0</v>
      </c>
      <c r="Y1992">
        <v>0</v>
      </c>
      <c r="Z1992" t="s">
        <v>88</v>
      </c>
      <c r="AA1992" t="s">
        <v>144</v>
      </c>
      <c r="AB1992" t="s">
        <v>10</v>
      </c>
      <c r="AC1992">
        <v>0</v>
      </c>
      <c r="AD1992">
        <v>0</v>
      </c>
      <c r="AE1992">
        <v>9442818033</v>
      </c>
      <c r="AF1992">
        <v>2542.89</v>
      </c>
      <c r="AG1992">
        <v>0</v>
      </c>
      <c r="AH1992">
        <v>0</v>
      </c>
      <c r="AI1992">
        <v>2542.89</v>
      </c>
      <c r="AJ1992" t="s">
        <v>2</v>
      </c>
      <c r="AK1992" t="s">
        <v>11</v>
      </c>
    </row>
    <row r="1993" spans="1:37">
      <c r="A1993">
        <v>257864</v>
      </c>
      <c r="B1993" s="1">
        <v>45366</v>
      </c>
      <c r="C1993" t="s">
        <v>2802</v>
      </c>
      <c r="D1993" t="s">
        <v>2803</v>
      </c>
      <c r="E1993" t="s">
        <v>2</v>
      </c>
      <c r="F1993" t="s">
        <v>66</v>
      </c>
      <c r="G1993" t="s">
        <v>67</v>
      </c>
      <c r="H1993">
        <v>75220</v>
      </c>
      <c r="I1993" t="s">
        <v>2802</v>
      </c>
      <c r="J1993" t="s">
        <v>2803</v>
      </c>
      <c r="K1993" t="s">
        <v>2</v>
      </c>
      <c r="L1993" t="s">
        <v>66</v>
      </c>
      <c r="M1993" t="s">
        <v>67</v>
      </c>
      <c r="N1993">
        <v>75220</v>
      </c>
      <c r="O1993" t="s">
        <v>2804</v>
      </c>
      <c r="P1993" t="s">
        <v>2805</v>
      </c>
      <c r="Q1993" t="s">
        <v>21</v>
      </c>
      <c r="R1993">
        <v>415145</v>
      </c>
      <c r="S1993" t="s">
        <v>2451</v>
      </c>
      <c r="T1993" s="2">
        <v>12</v>
      </c>
      <c r="U1993">
        <v>0</v>
      </c>
      <c r="V1993" t="s">
        <v>236</v>
      </c>
      <c r="W1993">
        <v>2</v>
      </c>
      <c r="X1993">
        <v>2</v>
      </c>
      <c r="Y1993">
        <v>0</v>
      </c>
      <c r="Z1993" t="s">
        <v>312</v>
      </c>
      <c r="AA1993" t="s">
        <v>313</v>
      </c>
      <c r="AB1993" t="s">
        <v>14</v>
      </c>
      <c r="AC1993">
        <v>120.4532</v>
      </c>
      <c r="AD1993">
        <v>240.91</v>
      </c>
      <c r="AE1993">
        <v>9442818033</v>
      </c>
      <c r="AF1993">
        <v>2542.89</v>
      </c>
      <c r="AG1993">
        <v>0</v>
      </c>
      <c r="AH1993">
        <v>0</v>
      </c>
      <c r="AI1993">
        <v>2542.89</v>
      </c>
      <c r="AJ1993" t="s">
        <v>2</v>
      </c>
      <c r="AK1993" t="s">
        <v>11</v>
      </c>
    </row>
    <row r="1994" spans="1:37">
      <c r="A1994">
        <v>257864</v>
      </c>
      <c r="B1994" s="1">
        <v>45366</v>
      </c>
      <c r="C1994" t="s">
        <v>2802</v>
      </c>
      <c r="D1994" t="s">
        <v>2803</v>
      </c>
      <c r="E1994" t="s">
        <v>2</v>
      </c>
      <c r="F1994" t="s">
        <v>66</v>
      </c>
      <c r="G1994" t="s">
        <v>67</v>
      </c>
      <c r="H1994">
        <v>75220</v>
      </c>
      <c r="I1994" t="s">
        <v>2802</v>
      </c>
      <c r="J1994" t="s">
        <v>2803</v>
      </c>
      <c r="K1994" t="s">
        <v>2</v>
      </c>
      <c r="L1994" t="s">
        <v>66</v>
      </c>
      <c r="M1994" t="s">
        <v>67</v>
      </c>
      <c r="N1994">
        <v>75220</v>
      </c>
      <c r="O1994" t="s">
        <v>2804</v>
      </c>
      <c r="P1994" t="s">
        <v>2805</v>
      </c>
      <c r="Q1994" t="s">
        <v>21</v>
      </c>
      <c r="R1994">
        <v>415145</v>
      </c>
      <c r="S1994" t="s">
        <v>2451</v>
      </c>
      <c r="T1994" s="2">
        <v>12</v>
      </c>
      <c r="U1994">
        <v>0</v>
      </c>
      <c r="V1994" t="s">
        <v>236</v>
      </c>
      <c r="W1994">
        <v>0</v>
      </c>
      <c r="X1994">
        <v>0</v>
      </c>
      <c r="Y1994">
        <v>0</v>
      </c>
      <c r="Z1994" t="s">
        <v>88</v>
      </c>
      <c r="AA1994" t="s">
        <v>314</v>
      </c>
      <c r="AB1994" t="s">
        <v>10</v>
      </c>
      <c r="AC1994">
        <v>0</v>
      </c>
      <c r="AD1994">
        <v>0</v>
      </c>
      <c r="AE1994">
        <v>9442818033</v>
      </c>
      <c r="AF1994">
        <v>2542.89</v>
      </c>
      <c r="AG1994">
        <v>0</v>
      </c>
      <c r="AH1994">
        <v>0</v>
      </c>
      <c r="AI1994">
        <v>2542.89</v>
      </c>
      <c r="AJ1994" t="s">
        <v>2</v>
      </c>
      <c r="AK1994" t="s">
        <v>11</v>
      </c>
    </row>
    <row r="1995" spans="1:37">
      <c r="A1995">
        <v>257864</v>
      </c>
      <c r="B1995" s="1">
        <v>45366</v>
      </c>
      <c r="C1995" t="s">
        <v>2802</v>
      </c>
      <c r="D1995" t="s">
        <v>2803</v>
      </c>
      <c r="E1995" t="s">
        <v>2</v>
      </c>
      <c r="F1995" t="s">
        <v>66</v>
      </c>
      <c r="G1995" t="s">
        <v>67</v>
      </c>
      <c r="H1995">
        <v>75220</v>
      </c>
      <c r="I1995" t="s">
        <v>2802</v>
      </c>
      <c r="J1995" t="s">
        <v>2803</v>
      </c>
      <c r="K1995" t="s">
        <v>2</v>
      </c>
      <c r="L1995" t="s">
        <v>66</v>
      </c>
      <c r="M1995" t="s">
        <v>67</v>
      </c>
      <c r="N1995">
        <v>75220</v>
      </c>
      <c r="O1995" t="s">
        <v>2804</v>
      </c>
      <c r="P1995" t="s">
        <v>2805</v>
      </c>
      <c r="Q1995" t="s">
        <v>21</v>
      </c>
      <c r="R1995">
        <v>415145</v>
      </c>
      <c r="S1995" t="s">
        <v>2451</v>
      </c>
      <c r="T1995" s="2">
        <v>12</v>
      </c>
      <c r="U1995">
        <v>0</v>
      </c>
      <c r="V1995" t="s">
        <v>236</v>
      </c>
      <c r="W1995">
        <v>1</v>
      </c>
      <c r="X1995">
        <v>1</v>
      </c>
      <c r="Y1995">
        <v>0</v>
      </c>
      <c r="Z1995" t="s">
        <v>2809</v>
      </c>
      <c r="AA1995" t="s">
        <v>2810</v>
      </c>
      <c r="AB1995" t="s">
        <v>14</v>
      </c>
      <c r="AC1995">
        <v>210.82550000000001</v>
      </c>
      <c r="AD1995">
        <v>210.83</v>
      </c>
      <c r="AE1995">
        <v>9442818033</v>
      </c>
      <c r="AF1995">
        <v>2542.89</v>
      </c>
      <c r="AG1995">
        <v>0</v>
      </c>
      <c r="AH1995">
        <v>0</v>
      </c>
      <c r="AI1995">
        <v>2542.89</v>
      </c>
      <c r="AJ1995" t="s">
        <v>2</v>
      </c>
      <c r="AK1995" t="s">
        <v>11</v>
      </c>
    </row>
    <row r="1996" spans="1:37">
      <c r="A1996">
        <v>257864</v>
      </c>
      <c r="B1996" s="1">
        <v>45366</v>
      </c>
      <c r="C1996" t="s">
        <v>2802</v>
      </c>
      <c r="D1996" t="s">
        <v>2803</v>
      </c>
      <c r="E1996" t="s">
        <v>2</v>
      </c>
      <c r="F1996" t="s">
        <v>66</v>
      </c>
      <c r="G1996" t="s">
        <v>67</v>
      </c>
      <c r="H1996">
        <v>75220</v>
      </c>
      <c r="I1996" t="s">
        <v>2802</v>
      </c>
      <c r="J1996" t="s">
        <v>2803</v>
      </c>
      <c r="K1996" t="s">
        <v>2</v>
      </c>
      <c r="L1996" t="s">
        <v>66</v>
      </c>
      <c r="M1996" t="s">
        <v>67</v>
      </c>
      <c r="N1996">
        <v>75220</v>
      </c>
      <c r="O1996" t="s">
        <v>2804</v>
      </c>
      <c r="P1996" t="s">
        <v>2805</v>
      </c>
      <c r="Q1996" t="s">
        <v>21</v>
      </c>
      <c r="R1996">
        <v>415145</v>
      </c>
      <c r="S1996" t="s">
        <v>2451</v>
      </c>
      <c r="T1996" s="2">
        <v>12</v>
      </c>
      <c r="U1996">
        <v>0</v>
      </c>
      <c r="V1996" t="s">
        <v>236</v>
      </c>
      <c r="W1996">
        <v>0</v>
      </c>
      <c r="X1996">
        <v>0</v>
      </c>
      <c r="Y1996">
        <v>0</v>
      </c>
      <c r="Z1996" t="s">
        <v>88</v>
      </c>
      <c r="AA1996" t="s">
        <v>251</v>
      </c>
      <c r="AB1996" t="s">
        <v>10</v>
      </c>
      <c r="AC1996">
        <v>0</v>
      </c>
      <c r="AD1996">
        <v>0</v>
      </c>
      <c r="AE1996">
        <v>9442818033</v>
      </c>
      <c r="AF1996">
        <v>2542.89</v>
      </c>
      <c r="AG1996">
        <v>0</v>
      </c>
      <c r="AH1996">
        <v>0</v>
      </c>
      <c r="AI1996">
        <v>2542.89</v>
      </c>
      <c r="AJ1996" t="s">
        <v>2</v>
      </c>
      <c r="AK1996" t="s">
        <v>11</v>
      </c>
    </row>
    <row r="1997" spans="1:37">
      <c r="A1997">
        <v>257864</v>
      </c>
      <c r="B1997" s="1">
        <v>45366</v>
      </c>
      <c r="C1997" t="s">
        <v>2802</v>
      </c>
      <c r="D1997" t="s">
        <v>2803</v>
      </c>
      <c r="E1997" t="s">
        <v>2</v>
      </c>
      <c r="F1997" t="s">
        <v>66</v>
      </c>
      <c r="G1997" t="s">
        <v>67</v>
      </c>
      <c r="H1997">
        <v>75220</v>
      </c>
      <c r="I1997" t="s">
        <v>2802</v>
      </c>
      <c r="J1997" t="s">
        <v>2803</v>
      </c>
      <c r="K1997" t="s">
        <v>2</v>
      </c>
      <c r="L1997" t="s">
        <v>66</v>
      </c>
      <c r="M1997" t="s">
        <v>67</v>
      </c>
      <c r="N1997">
        <v>75220</v>
      </c>
      <c r="O1997" t="s">
        <v>2804</v>
      </c>
      <c r="P1997" t="s">
        <v>2805</v>
      </c>
      <c r="Q1997" t="s">
        <v>21</v>
      </c>
      <c r="R1997">
        <v>415145</v>
      </c>
      <c r="S1997" t="s">
        <v>2451</v>
      </c>
      <c r="T1997" s="2">
        <v>12</v>
      </c>
      <c r="U1997">
        <v>0</v>
      </c>
      <c r="V1997" t="s">
        <v>236</v>
      </c>
      <c r="W1997">
        <v>1</v>
      </c>
      <c r="X1997">
        <v>1</v>
      </c>
      <c r="Y1997">
        <v>0</v>
      </c>
      <c r="Z1997" t="s">
        <v>331</v>
      </c>
      <c r="AA1997" t="s">
        <v>332</v>
      </c>
      <c r="AB1997" t="s">
        <v>14</v>
      </c>
      <c r="AC1997">
        <v>210.82550000000001</v>
      </c>
      <c r="AD1997">
        <v>210.83</v>
      </c>
      <c r="AE1997">
        <v>9442818033</v>
      </c>
      <c r="AF1997">
        <v>2542.89</v>
      </c>
      <c r="AG1997">
        <v>0</v>
      </c>
      <c r="AH1997">
        <v>0</v>
      </c>
      <c r="AI1997">
        <v>2542.89</v>
      </c>
      <c r="AJ1997" t="s">
        <v>2</v>
      </c>
      <c r="AK1997" t="s">
        <v>11</v>
      </c>
    </row>
    <row r="1998" spans="1:37">
      <c r="A1998">
        <v>257864</v>
      </c>
      <c r="B1998" s="1">
        <v>45366</v>
      </c>
      <c r="C1998" t="s">
        <v>2802</v>
      </c>
      <c r="D1998" t="s">
        <v>2803</v>
      </c>
      <c r="E1998" t="s">
        <v>2</v>
      </c>
      <c r="F1998" t="s">
        <v>66</v>
      </c>
      <c r="G1998" t="s">
        <v>67</v>
      </c>
      <c r="H1998">
        <v>75220</v>
      </c>
      <c r="I1998" t="s">
        <v>2802</v>
      </c>
      <c r="J1998" t="s">
        <v>2803</v>
      </c>
      <c r="K1998" t="s">
        <v>2</v>
      </c>
      <c r="L1998" t="s">
        <v>66</v>
      </c>
      <c r="M1998" t="s">
        <v>67</v>
      </c>
      <c r="N1998">
        <v>75220</v>
      </c>
      <c r="O1998" t="s">
        <v>2804</v>
      </c>
      <c r="P1998" t="s">
        <v>2805</v>
      </c>
      <c r="Q1998" t="s">
        <v>21</v>
      </c>
      <c r="R1998">
        <v>415145</v>
      </c>
      <c r="S1998" t="s">
        <v>2451</v>
      </c>
      <c r="T1998" s="2">
        <v>12</v>
      </c>
      <c r="U1998">
        <v>0</v>
      </c>
      <c r="V1998" t="s">
        <v>236</v>
      </c>
      <c r="W1998">
        <v>0</v>
      </c>
      <c r="X1998">
        <v>0</v>
      </c>
      <c r="Y1998">
        <v>0</v>
      </c>
      <c r="Z1998" t="s">
        <v>88</v>
      </c>
      <c r="AA1998" t="s">
        <v>251</v>
      </c>
      <c r="AB1998" t="s">
        <v>10</v>
      </c>
      <c r="AC1998">
        <v>0</v>
      </c>
      <c r="AD1998">
        <v>0</v>
      </c>
      <c r="AE1998">
        <v>9442818033</v>
      </c>
      <c r="AF1998">
        <v>2542.89</v>
      </c>
      <c r="AG1998">
        <v>0</v>
      </c>
      <c r="AH1998">
        <v>0</v>
      </c>
      <c r="AI1998">
        <v>2542.89</v>
      </c>
      <c r="AJ1998" t="s">
        <v>2</v>
      </c>
      <c r="AK1998" t="s">
        <v>11</v>
      </c>
    </row>
    <row r="1999" spans="1:37">
      <c r="A1999">
        <v>257864</v>
      </c>
      <c r="B1999" s="1">
        <v>45366</v>
      </c>
      <c r="C1999" t="s">
        <v>2802</v>
      </c>
      <c r="D1999" t="s">
        <v>2803</v>
      </c>
      <c r="E1999" t="s">
        <v>2</v>
      </c>
      <c r="F1999" t="s">
        <v>66</v>
      </c>
      <c r="G1999" t="s">
        <v>67</v>
      </c>
      <c r="H1999">
        <v>75220</v>
      </c>
      <c r="I1999" t="s">
        <v>2802</v>
      </c>
      <c r="J1999" t="s">
        <v>2803</v>
      </c>
      <c r="K1999" t="s">
        <v>2</v>
      </c>
      <c r="L1999" t="s">
        <v>66</v>
      </c>
      <c r="M1999" t="s">
        <v>67</v>
      </c>
      <c r="N1999">
        <v>75220</v>
      </c>
      <c r="O1999" t="s">
        <v>2804</v>
      </c>
      <c r="P1999" t="s">
        <v>2805</v>
      </c>
      <c r="Q1999" t="s">
        <v>21</v>
      </c>
      <c r="R1999">
        <v>415145</v>
      </c>
      <c r="S1999" t="s">
        <v>2451</v>
      </c>
      <c r="T1999" s="2">
        <v>12</v>
      </c>
      <c r="U1999">
        <v>0</v>
      </c>
      <c r="V1999" t="s">
        <v>236</v>
      </c>
      <c r="W1999">
        <v>1</v>
      </c>
      <c r="X1999">
        <v>1</v>
      </c>
      <c r="Y1999">
        <v>0</v>
      </c>
      <c r="Z1999" t="s">
        <v>2811</v>
      </c>
      <c r="AA1999" t="s">
        <v>2812</v>
      </c>
      <c r="AB1999" t="s">
        <v>14</v>
      </c>
      <c r="AC1999">
        <v>210.82550000000001</v>
      </c>
      <c r="AD1999">
        <v>210.83</v>
      </c>
      <c r="AE1999">
        <v>9442818033</v>
      </c>
      <c r="AF1999">
        <v>2542.89</v>
      </c>
      <c r="AG1999">
        <v>0</v>
      </c>
      <c r="AH1999">
        <v>0</v>
      </c>
      <c r="AI1999">
        <v>2542.89</v>
      </c>
      <c r="AJ1999" t="s">
        <v>2</v>
      </c>
      <c r="AK1999" t="s">
        <v>11</v>
      </c>
    </row>
    <row r="2000" spans="1:37">
      <c r="A2000">
        <v>257864</v>
      </c>
      <c r="B2000" s="1">
        <v>45366</v>
      </c>
      <c r="C2000" t="s">
        <v>2802</v>
      </c>
      <c r="D2000" t="s">
        <v>2803</v>
      </c>
      <c r="E2000" t="s">
        <v>2</v>
      </c>
      <c r="F2000" t="s">
        <v>66</v>
      </c>
      <c r="G2000" t="s">
        <v>67</v>
      </c>
      <c r="H2000">
        <v>75220</v>
      </c>
      <c r="I2000" t="s">
        <v>2802</v>
      </c>
      <c r="J2000" t="s">
        <v>2803</v>
      </c>
      <c r="K2000" t="s">
        <v>2</v>
      </c>
      <c r="L2000" t="s">
        <v>66</v>
      </c>
      <c r="M2000" t="s">
        <v>67</v>
      </c>
      <c r="N2000">
        <v>75220</v>
      </c>
      <c r="O2000" t="s">
        <v>2804</v>
      </c>
      <c r="P2000" t="s">
        <v>2805</v>
      </c>
      <c r="Q2000" t="s">
        <v>21</v>
      </c>
      <c r="R2000">
        <v>415145</v>
      </c>
      <c r="S2000" t="s">
        <v>2451</v>
      </c>
      <c r="T2000" s="2">
        <v>12</v>
      </c>
      <c r="U2000">
        <v>0</v>
      </c>
      <c r="V2000" t="s">
        <v>236</v>
      </c>
      <c r="W2000">
        <v>0</v>
      </c>
      <c r="X2000">
        <v>0</v>
      </c>
      <c r="Y2000">
        <v>0</v>
      </c>
      <c r="Z2000" t="s">
        <v>88</v>
      </c>
      <c r="AA2000" t="s">
        <v>251</v>
      </c>
      <c r="AB2000" t="s">
        <v>10</v>
      </c>
      <c r="AC2000">
        <v>0</v>
      </c>
      <c r="AD2000">
        <v>0</v>
      </c>
      <c r="AE2000">
        <v>9442818033</v>
      </c>
      <c r="AF2000">
        <v>2542.89</v>
      </c>
      <c r="AG2000">
        <v>0</v>
      </c>
      <c r="AH2000">
        <v>0</v>
      </c>
      <c r="AI2000">
        <v>2542.89</v>
      </c>
      <c r="AJ2000" t="s">
        <v>2</v>
      </c>
      <c r="AK2000" t="s">
        <v>11</v>
      </c>
    </row>
    <row r="2001" spans="1:37">
      <c r="A2001">
        <v>257864</v>
      </c>
      <c r="B2001" s="1">
        <v>45366</v>
      </c>
      <c r="C2001" t="s">
        <v>2802</v>
      </c>
      <c r="D2001" t="s">
        <v>2803</v>
      </c>
      <c r="E2001" t="s">
        <v>2</v>
      </c>
      <c r="F2001" t="s">
        <v>66</v>
      </c>
      <c r="G2001" t="s">
        <v>67</v>
      </c>
      <c r="H2001">
        <v>75220</v>
      </c>
      <c r="I2001" t="s">
        <v>2802</v>
      </c>
      <c r="J2001" t="s">
        <v>2803</v>
      </c>
      <c r="K2001" t="s">
        <v>2</v>
      </c>
      <c r="L2001" t="s">
        <v>66</v>
      </c>
      <c r="M2001" t="s">
        <v>67</v>
      </c>
      <c r="N2001">
        <v>75220</v>
      </c>
      <c r="O2001" t="s">
        <v>2804</v>
      </c>
      <c r="P2001" t="s">
        <v>2805</v>
      </c>
      <c r="Q2001" t="s">
        <v>21</v>
      </c>
      <c r="R2001">
        <v>415145</v>
      </c>
      <c r="S2001" t="s">
        <v>2451</v>
      </c>
      <c r="T2001" s="2">
        <v>12</v>
      </c>
      <c r="U2001">
        <v>0</v>
      </c>
      <c r="V2001" t="s">
        <v>236</v>
      </c>
      <c r="W2001">
        <v>1</v>
      </c>
      <c r="X2001">
        <v>1</v>
      </c>
      <c r="Y2001">
        <v>0</v>
      </c>
      <c r="Z2001" t="s">
        <v>2813</v>
      </c>
      <c r="AA2001" t="s">
        <v>2814</v>
      </c>
      <c r="AB2001" t="s">
        <v>14</v>
      </c>
      <c r="AC2001">
        <v>210.82550000000001</v>
      </c>
      <c r="AD2001">
        <v>210.83</v>
      </c>
      <c r="AE2001">
        <v>9442818033</v>
      </c>
      <c r="AF2001">
        <v>2542.89</v>
      </c>
      <c r="AG2001">
        <v>0</v>
      </c>
      <c r="AH2001">
        <v>0</v>
      </c>
      <c r="AI2001">
        <v>2542.89</v>
      </c>
      <c r="AJ2001" t="s">
        <v>2</v>
      </c>
      <c r="AK2001" t="s">
        <v>11</v>
      </c>
    </row>
    <row r="2002" spans="1:37">
      <c r="A2002">
        <v>257864</v>
      </c>
      <c r="B2002" s="1">
        <v>45366</v>
      </c>
      <c r="C2002" t="s">
        <v>2802</v>
      </c>
      <c r="D2002" t="s">
        <v>2803</v>
      </c>
      <c r="E2002" t="s">
        <v>2</v>
      </c>
      <c r="F2002" t="s">
        <v>66</v>
      </c>
      <c r="G2002" t="s">
        <v>67</v>
      </c>
      <c r="H2002">
        <v>75220</v>
      </c>
      <c r="I2002" t="s">
        <v>2802</v>
      </c>
      <c r="J2002" t="s">
        <v>2803</v>
      </c>
      <c r="K2002" t="s">
        <v>2</v>
      </c>
      <c r="L2002" t="s">
        <v>66</v>
      </c>
      <c r="M2002" t="s">
        <v>67</v>
      </c>
      <c r="N2002">
        <v>75220</v>
      </c>
      <c r="O2002" t="s">
        <v>2804</v>
      </c>
      <c r="P2002" t="s">
        <v>2805</v>
      </c>
      <c r="Q2002" t="s">
        <v>21</v>
      </c>
      <c r="R2002">
        <v>415145</v>
      </c>
      <c r="S2002" t="s">
        <v>2451</v>
      </c>
      <c r="T2002" s="2">
        <v>12</v>
      </c>
      <c r="U2002">
        <v>0</v>
      </c>
      <c r="V2002" t="s">
        <v>236</v>
      </c>
      <c r="W2002">
        <v>0</v>
      </c>
      <c r="X2002">
        <v>0</v>
      </c>
      <c r="Y2002">
        <v>0</v>
      </c>
      <c r="Z2002" t="s">
        <v>88</v>
      </c>
      <c r="AA2002" t="s">
        <v>251</v>
      </c>
      <c r="AB2002" t="s">
        <v>10</v>
      </c>
      <c r="AC2002">
        <v>0</v>
      </c>
      <c r="AD2002">
        <v>0</v>
      </c>
      <c r="AE2002">
        <v>9442818033</v>
      </c>
      <c r="AF2002">
        <v>2542.89</v>
      </c>
      <c r="AG2002">
        <v>0</v>
      </c>
      <c r="AH2002">
        <v>0</v>
      </c>
      <c r="AI2002">
        <v>2542.89</v>
      </c>
      <c r="AJ2002" t="s">
        <v>2</v>
      </c>
      <c r="AK2002" t="s">
        <v>11</v>
      </c>
    </row>
    <row r="2003" spans="1:37">
      <c r="A2003">
        <v>257864</v>
      </c>
      <c r="B2003" s="1">
        <v>45366</v>
      </c>
      <c r="C2003" t="s">
        <v>2802</v>
      </c>
      <c r="D2003" t="s">
        <v>2803</v>
      </c>
      <c r="E2003" t="s">
        <v>2</v>
      </c>
      <c r="F2003" t="s">
        <v>66</v>
      </c>
      <c r="G2003" t="s">
        <v>67</v>
      </c>
      <c r="H2003">
        <v>75220</v>
      </c>
      <c r="I2003" t="s">
        <v>2802</v>
      </c>
      <c r="J2003" t="s">
        <v>2803</v>
      </c>
      <c r="K2003" t="s">
        <v>2</v>
      </c>
      <c r="L2003" t="s">
        <v>66</v>
      </c>
      <c r="M2003" t="s">
        <v>67</v>
      </c>
      <c r="N2003">
        <v>75220</v>
      </c>
      <c r="O2003" t="s">
        <v>2804</v>
      </c>
      <c r="P2003" t="s">
        <v>2805</v>
      </c>
      <c r="Q2003" t="s">
        <v>21</v>
      </c>
      <c r="R2003">
        <v>415145</v>
      </c>
      <c r="S2003" t="s">
        <v>2451</v>
      </c>
      <c r="T2003" s="2">
        <v>12</v>
      </c>
      <c r="U2003">
        <v>0</v>
      </c>
      <c r="V2003" t="s">
        <v>236</v>
      </c>
      <c r="W2003">
        <v>1</v>
      </c>
      <c r="X2003">
        <v>1</v>
      </c>
      <c r="Y2003">
        <v>0</v>
      </c>
      <c r="Z2003" t="s">
        <v>2815</v>
      </c>
      <c r="AA2003" t="s">
        <v>2816</v>
      </c>
      <c r="AB2003" t="s">
        <v>14</v>
      </c>
      <c r="AC2003">
        <v>210.82550000000001</v>
      </c>
      <c r="AD2003">
        <v>210.83</v>
      </c>
      <c r="AE2003">
        <v>9442818033</v>
      </c>
      <c r="AF2003">
        <v>2542.89</v>
      </c>
      <c r="AG2003">
        <v>0</v>
      </c>
      <c r="AH2003">
        <v>0</v>
      </c>
      <c r="AI2003">
        <v>2542.89</v>
      </c>
      <c r="AJ2003" t="s">
        <v>2</v>
      </c>
      <c r="AK2003" t="s">
        <v>11</v>
      </c>
    </row>
    <row r="2004" spans="1:37">
      <c r="A2004">
        <v>257864</v>
      </c>
      <c r="B2004" s="1">
        <v>45366</v>
      </c>
      <c r="C2004" t="s">
        <v>2802</v>
      </c>
      <c r="D2004" t="s">
        <v>2803</v>
      </c>
      <c r="E2004" t="s">
        <v>2</v>
      </c>
      <c r="F2004" t="s">
        <v>66</v>
      </c>
      <c r="G2004" t="s">
        <v>67</v>
      </c>
      <c r="H2004">
        <v>75220</v>
      </c>
      <c r="I2004" t="s">
        <v>2802</v>
      </c>
      <c r="J2004" t="s">
        <v>2803</v>
      </c>
      <c r="K2004" t="s">
        <v>2</v>
      </c>
      <c r="L2004" t="s">
        <v>66</v>
      </c>
      <c r="M2004" t="s">
        <v>67</v>
      </c>
      <c r="N2004">
        <v>75220</v>
      </c>
      <c r="O2004" t="s">
        <v>2804</v>
      </c>
      <c r="P2004" t="s">
        <v>2805</v>
      </c>
      <c r="Q2004" t="s">
        <v>21</v>
      </c>
      <c r="R2004">
        <v>415145</v>
      </c>
      <c r="S2004" t="s">
        <v>2451</v>
      </c>
      <c r="T2004" s="2">
        <v>12</v>
      </c>
      <c r="U2004">
        <v>0</v>
      </c>
      <c r="V2004" t="s">
        <v>236</v>
      </c>
      <c r="W2004">
        <v>0</v>
      </c>
      <c r="X2004">
        <v>0</v>
      </c>
      <c r="Y2004">
        <v>0</v>
      </c>
      <c r="Z2004" t="s">
        <v>88</v>
      </c>
      <c r="AA2004" t="s">
        <v>251</v>
      </c>
      <c r="AB2004" t="s">
        <v>10</v>
      </c>
      <c r="AC2004">
        <v>0</v>
      </c>
      <c r="AD2004">
        <v>0</v>
      </c>
      <c r="AE2004">
        <v>9442818033</v>
      </c>
      <c r="AF2004">
        <v>2542.89</v>
      </c>
      <c r="AG2004">
        <v>0</v>
      </c>
      <c r="AH2004">
        <v>0</v>
      </c>
      <c r="AI2004">
        <v>2542.89</v>
      </c>
      <c r="AJ2004" t="s">
        <v>2</v>
      </c>
      <c r="AK2004" t="s">
        <v>11</v>
      </c>
    </row>
    <row r="2005" spans="1:37">
      <c r="A2005">
        <v>257864</v>
      </c>
      <c r="B2005" s="1">
        <v>45366</v>
      </c>
      <c r="C2005" t="s">
        <v>2802</v>
      </c>
      <c r="D2005" t="s">
        <v>2803</v>
      </c>
      <c r="E2005" t="s">
        <v>2</v>
      </c>
      <c r="F2005" t="s">
        <v>66</v>
      </c>
      <c r="G2005" t="s">
        <v>67</v>
      </c>
      <c r="H2005">
        <v>75220</v>
      </c>
      <c r="I2005" t="s">
        <v>2802</v>
      </c>
      <c r="J2005" t="s">
        <v>2803</v>
      </c>
      <c r="K2005" t="s">
        <v>2</v>
      </c>
      <c r="L2005" t="s">
        <v>66</v>
      </c>
      <c r="M2005" t="s">
        <v>67</v>
      </c>
      <c r="N2005">
        <v>75220</v>
      </c>
      <c r="O2005" t="s">
        <v>2804</v>
      </c>
      <c r="P2005" t="s">
        <v>2805</v>
      </c>
      <c r="Q2005" t="s">
        <v>21</v>
      </c>
      <c r="R2005">
        <v>415145</v>
      </c>
      <c r="S2005" t="s">
        <v>2451</v>
      </c>
      <c r="T2005" s="2">
        <v>12</v>
      </c>
      <c r="U2005">
        <v>0</v>
      </c>
      <c r="V2005" t="s">
        <v>236</v>
      </c>
      <c r="W2005">
        <v>1</v>
      </c>
      <c r="X2005">
        <v>1</v>
      </c>
      <c r="Y2005">
        <v>0</v>
      </c>
      <c r="Z2005" t="s">
        <v>2817</v>
      </c>
      <c r="AA2005" t="s">
        <v>2818</v>
      </c>
      <c r="AB2005" t="s">
        <v>14</v>
      </c>
      <c r="AC2005">
        <v>210.82550000000001</v>
      </c>
      <c r="AD2005">
        <v>210.83</v>
      </c>
      <c r="AE2005">
        <v>9442818033</v>
      </c>
      <c r="AF2005">
        <v>2542.89</v>
      </c>
      <c r="AG2005">
        <v>0</v>
      </c>
      <c r="AH2005">
        <v>0</v>
      </c>
      <c r="AI2005">
        <v>2542.89</v>
      </c>
      <c r="AJ2005" t="s">
        <v>2</v>
      </c>
      <c r="AK2005" t="s">
        <v>11</v>
      </c>
    </row>
    <row r="2006" spans="1:37">
      <c r="A2006">
        <v>257864</v>
      </c>
      <c r="B2006" s="1">
        <v>45366</v>
      </c>
      <c r="C2006" t="s">
        <v>2802</v>
      </c>
      <c r="D2006" t="s">
        <v>2803</v>
      </c>
      <c r="E2006" t="s">
        <v>2</v>
      </c>
      <c r="F2006" t="s">
        <v>66</v>
      </c>
      <c r="G2006" t="s">
        <v>67</v>
      </c>
      <c r="H2006">
        <v>75220</v>
      </c>
      <c r="I2006" t="s">
        <v>2802</v>
      </c>
      <c r="J2006" t="s">
        <v>2803</v>
      </c>
      <c r="K2006" t="s">
        <v>2</v>
      </c>
      <c r="L2006" t="s">
        <v>66</v>
      </c>
      <c r="M2006" t="s">
        <v>67</v>
      </c>
      <c r="N2006">
        <v>75220</v>
      </c>
      <c r="O2006" t="s">
        <v>2804</v>
      </c>
      <c r="P2006" t="s">
        <v>2805</v>
      </c>
      <c r="Q2006" t="s">
        <v>21</v>
      </c>
      <c r="R2006">
        <v>415145</v>
      </c>
      <c r="S2006" t="s">
        <v>2451</v>
      </c>
      <c r="T2006" s="2">
        <v>12</v>
      </c>
      <c r="U2006">
        <v>0</v>
      </c>
      <c r="V2006" t="s">
        <v>236</v>
      </c>
      <c r="W2006">
        <v>0</v>
      </c>
      <c r="X2006">
        <v>0</v>
      </c>
      <c r="Y2006">
        <v>0</v>
      </c>
      <c r="Z2006" t="s">
        <v>88</v>
      </c>
      <c r="AA2006" t="s">
        <v>251</v>
      </c>
      <c r="AB2006" t="s">
        <v>10</v>
      </c>
      <c r="AC2006">
        <v>0</v>
      </c>
      <c r="AD2006">
        <v>0</v>
      </c>
      <c r="AE2006">
        <v>9442818033</v>
      </c>
      <c r="AF2006">
        <v>2542.89</v>
      </c>
      <c r="AG2006">
        <v>0</v>
      </c>
      <c r="AH2006">
        <v>0</v>
      </c>
      <c r="AI2006">
        <v>2542.89</v>
      </c>
      <c r="AJ2006" t="s">
        <v>2</v>
      </c>
      <c r="AK2006" t="s">
        <v>11</v>
      </c>
    </row>
    <row r="2007" spans="1:37">
      <c r="A2007">
        <v>257864</v>
      </c>
      <c r="B2007" s="1">
        <v>45366</v>
      </c>
      <c r="C2007" t="s">
        <v>2802</v>
      </c>
      <c r="D2007" t="s">
        <v>2803</v>
      </c>
      <c r="E2007" t="s">
        <v>2</v>
      </c>
      <c r="F2007" t="s">
        <v>66</v>
      </c>
      <c r="G2007" t="s">
        <v>67</v>
      </c>
      <c r="H2007">
        <v>75220</v>
      </c>
      <c r="I2007" t="s">
        <v>2802</v>
      </c>
      <c r="J2007" t="s">
        <v>2803</v>
      </c>
      <c r="K2007" t="s">
        <v>2</v>
      </c>
      <c r="L2007" t="s">
        <v>66</v>
      </c>
      <c r="M2007" t="s">
        <v>67</v>
      </c>
      <c r="N2007">
        <v>75220</v>
      </c>
      <c r="O2007" t="s">
        <v>2804</v>
      </c>
      <c r="P2007" t="s">
        <v>2805</v>
      </c>
      <c r="Q2007" t="s">
        <v>21</v>
      </c>
      <c r="R2007">
        <v>415145</v>
      </c>
      <c r="S2007" t="s">
        <v>2451</v>
      </c>
      <c r="T2007" s="2">
        <v>12</v>
      </c>
      <c r="U2007">
        <v>0</v>
      </c>
      <c r="V2007" t="s">
        <v>236</v>
      </c>
      <c r="W2007">
        <v>1</v>
      </c>
      <c r="X2007">
        <v>1</v>
      </c>
      <c r="Y2007">
        <v>0</v>
      </c>
      <c r="Z2007" t="s">
        <v>183</v>
      </c>
      <c r="AA2007" t="s">
        <v>184</v>
      </c>
      <c r="AB2007" t="s">
        <v>14</v>
      </c>
      <c r="AC2007">
        <v>25</v>
      </c>
      <c r="AD2007">
        <v>25</v>
      </c>
      <c r="AE2007">
        <v>9442818033</v>
      </c>
      <c r="AF2007">
        <v>2542.89</v>
      </c>
      <c r="AG2007">
        <v>0</v>
      </c>
      <c r="AH2007">
        <v>0</v>
      </c>
      <c r="AI2007">
        <v>2542.89</v>
      </c>
      <c r="AJ2007" t="s">
        <v>2</v>
      </c>
      <c r="AK2007" t="s">
        <v>11</v>
      </c>
    </row>
    <row r="2008" spans="1:37">
      <c r="A2008">
        <v>257863</v>
      </c>
      <c r="B2008" s="1">
        <v>45366</v>
      </c>
      <c r="C2008" t="s">
        <v>1437</v>
      </c>
      <c r="D2008" t="s">
        <v>1438</v>
      </c>
      <c r="E2008" t="s">
        <v>2</v>
      </c>
      <c r="F2008" t="s">
        <v>1439</v>
      </c>
      <c r="G2008" t="s">
        <v>439</v>
      </c>
      <c r="H2008">
        <v>67522</v>
      </c>
      <c r="I2008" t="s">
        <v>2733</v>
      </c>
      <c r="J2008" t="s">
        <v>2734</v>
      </c>
      <c r="K2008" t="s">
        <v>2735</v>
      </c>
      <c r="L2008" t="s">
        <v>1439</v>
      </c>
      <c r="M2008" t="s">
        <v>439</v>
      </c>
      <c r="N2008">
        <v>67522</v>
      </c>
      <c r="O2008" t="s">
        <v>1442</v>
      </c>
      <c r="P2008" t="s">
        <v>2819</v>
      </c>
      <c r="Q2008" t="s">
        <v>38</v>
      </c>
      <c r="R2008">
        <v>414937</v>
      </c>
      <c r="S2008" t="s">
        <v>2451</v>
      </c>
      <c r="T2008" s="2">
        <v>7</v>
      </c>
      <c r="U2008">
        <v>0</v>
      </c>
      <c r="V2008" t="s">
        <v>260</v>
      </c>
      <c r="W2008">
        <v>0</v>
      </c>
      <c r="X2008">
        <v>0</v>
      </c>
      <c r="Y2008">
        <v>0</v>
      </c>
      <c r="Z2008" t="s">
        <v>9</v>
      </c>
      <c r="AA2008" t="s">
        <v>2</v>
      </c>
      <c r="AB2008" t="s">
        <v>10</v>
      </c>
      <c r="AC2008">
        <v>0</v>
      </c>
      <c r="AD2008">
        <v>0</v>
      </c>
      <c r="AE2008">
        <v>9442817742</v>
      </c>
      <c r="AF2008">
        <v>3177.22</v>
      </c>
      <c r="AG2008">
        <v>0</v>
      </c>
      <c r="AH2008">
        <v>0</v>
      </c>
      <c r="AI2008">
        <v>3177.22</v>
      </c>
      <c r="AJ2008" t="s">
        <v>2</v>
      </c>
      <c r="AK2008" t="s">
        <v>11</v>
      </c>
    </row>
    <row r="2009" spans="1:37">
      <c r="A2009">
        <v>257863</v>
      </c>
      <c r="B2009" s="1">
        <v>45366</v>
      </c>
      <c r="C2009" t="s">
        <v>1437</v>
      </c>
      <c r="D2009" t="s">
        <v>1438</v>
      </c>
      <c r="E2009" t="s">
        <v>2</v>
      </c>
      <c r="F2009" t="s">
        <v>1439</v>
      </c>
      <c r="G2009" t="s">
        <v>439</v>
      </c>
      <c r="H2009">
        <v>67522</v>
      </c>
      <c r="I2009" t="s">
        <v>2733</v>
      </c>
      <c r="J2009" t="s">
        <v>2734</v>
      </c>
      <c r="K2009" t="s">
        <v>2735</v>
      </c>
      <c r="L2009" t="s">
        <v>1439</v>
      </c>
      <c r="M2009" t="s">
        <v>439</v>
      </c>
      <c r="N2009">
        <v>67522</v>
      </c>
      <c r="O2009" t="s">
        <v>1442</v>
      </c>
      <c r="P2009" t="s">
        <v>2819</v>
      </c>
      <c r="Q2009" t="s">
        <v>38</v>
      </c>
      <c r="R2009">
        <v>414937</v>
      </c>
      <c r="S2009" t="s">
        <v>2451</v>
      </c>
      <c r="T2009" s="2">
        <v>7</v>
      </c>
      <c r="U2009">
        <v>0</v>
      </c>
      <c r="V2009" t="s">
        <v>260</v>
      </c>
      <c r="W2009">
        <v>1</v>
      </c>
      <c r="X2009">
        <v>1</v>
      </c>
      <c r="Y2009">
        <v>0</v>
      </c>
      <c r="Z2009" t="s">
        <v>2820</v>
      </c>
      <c r="AA2009" t="s">
        <v>2821</v>
      </c>
      <c r="AB2009" t="s">
        <v>14</v>
      </c>
      <c r="AC2009">
        <v>78.7316</v>
      </c>
      <c r="AD2009">
        <v>78.73</v>
      </c>
      <c r="AE2009">
        <v>9442817742</v>
      </c>
      <c r="AF2009">
        <v>3177.22</v>
      </c>
      <c r="AG2009">
        <v>0</v>
      </c>
      <c r="AH2009">
        <v>0</v>
      </c>
      <c r="AI2009">
        <v>3177.22</v>
      </c>
      <c r="AJ2009" t="s">
        <v>2</v>
      </c>
      <c r="AK2009" t="s">
        <v>11</v>
      </c>
    </row>
    <row r="2010" spans="1:37">
      <c r="A2010">
        <v>257863</v>
      </c>
      <c r="B2010" s="1">
        <v>45366</v>
      </c>
      <c r="C2010" t="s">
        <v>1437</v>
      </c>
      <c r="D2010" t="s">
        <v>1438</v>
      </c>
      <c r="E2010" t="s">
        <v>2</v>
      </c>
      <c r="F2010" t="s">
        <v>1439</v>
      </c>
      <c r="G2010" t="s">
        <v>439</v>
      </c>
      <c r="H2010">
        <v>67522</v>
      </c>
      <c r="I2010" t="s">
        <v>2733</v>
      </c>
      <c r="J2010" t="s">
        <v>2734</v>
      </c>
      <c r="K2010" t="s">
        <v>2735</v>
      </c>
      <c r="L2010" t="s">
        <v>1439</v>
      </c>
      <c r="M2010" t="s">
        <v>439</v>
      </c>
      <c r="N2010">
        <v>67522</v>
      </c>
      <c r="O2010" t="s">
        <v>1442</v>
      </c>
      <c r="P2010" t="s">
        <v>2819</v>
      </c>
      <c r="Q2010" t="s">
        <v>38</v>
      </c>
      <c r="R2010">
        <v>414937</v>
      </c>
      <c r="S2010" t="s">
        <v>2451</v>
      </c>
      <c r="T2010" s="2">
        <v>7</v>
      </c>
      <c r="U2010">
        <v>0</v>
      </c>
      <c r="V2010" t="s">
        <v>260</v>
      </c>
      <c r="W2010">
        <v>0</v>
      </c>
      <c r="X2010">
        <v>0</v>
      </c>
      <c r="Y2010">
        <v>0</v>
      </c>
      <c r="Z2010" t="s">
        <v>88</v>
      </c>
      <c r="AA2010" t="s">
        <v>107</v>
      </c>
      <c r="AB2010" t="s">
        <v>10</v>
      </c>
      <c r="AC2010">
        <v>0</v>
      </c>
      <c r="AD2010">
        <v>0</v>
      </c>
      <c r="AE2010">
        <v>9442817742</v>
      </c>
      <c r="AF2010">
        <v>3177.22</v>
      </c>
      <c r="AG2010">
        <v>0</v>
      </c>
      <c r="AH2010">
        <v>0</v>
      </c>
      <c r="AI2010">
        <v>3177.22</v>
      </c>
      <c r="AJ2010" t="s">
        <v>2</v>
      </c>
      <c r="AK2010" t="s">
        <v>11</v>
      </c>
    </row>
    <row r="2011" spans="1:37">
      <c r="A2011">
        <v>257863</v>
      </c>
      <c r="B2011" s="1">
        <v>45366</v>
      </c>
      <c r="C2011" t="s">
        <v>1437</v>
      </c>
      <c r="D2011" t="s">
        <v>1438</v>
      </c>
      <c r="E2011" t="s">
        <v>2</v>
      </c>
      <c r="F2011" t="s">
        <v>1439</v>
      </c>
      <c r="G2011" t="s">
        <v>439</v>
      </c>
      <c r="H2011">
        <v>67522</v>
      </c>
      <c r="I2011" t="s">
        <v>2733</v>
      </c>
      <c r="J2011" t="s">
        <v>2734</v>
      </c>
      <c r="K2011" t="s">
        <v>2735</v>
      </c>
      <c r="L2011" t="s">
        <v>1439</v>
      </c>
      <c r="M2011" t="s">
        <v>439</v>
      </c>
      <c r="N2011">
        <v>67522</v>
      </c>
      <c r="O2011" t="s">
        <v>1442</v>
      </c>
      <c r="P2011" t="s">
        <v>2819</v>
      </c>
      <c r="Q2011" t="s">
        <v>38</v>
      </c>
      <c r="R2011">
        <v>414937</v>
      </c>
      <c r="S2011" t="s">
        <v>2451</v>
      </c>
      <c r="T2011" s="2">
        <v>7</v>
      </c>
      <c r="U2011">
        <v>0</v>
      </c>
      <c r="V2011" t="s">
        <v>260</v>
      </c>
      <c r="W2011">
        <v>3</v>
      </c>
      <c r="X2011">
        <v>3</v>
      </c>
      <c r="Y2011">
        <v>0</v>
      </c>
      <c r="Z2011" t="s">
        <v>238</v>
      </c>
      <c r="AA2011" t="s">
        <v>239</v>
      </c>
      <c r="AB2011" t="s">
        <v>14</v>
      </c>
      <c r="AC2011">
        <v>658.31740000000002</v>
      </c>
      <c r="AD2011">
        <v>1974.95</v>
      </c>
      <c r="AE2011">
        <v>9442817742</v>
      </c>
      <c r="AF2011">
        <v>3177.22</v>
      </c>
      <c r="AG2011">
        <v>0</v>
      </c>
      <c r="AH2011">
        <v>0</v>
      </c>
      <c r="AI2011">
        <v>3177.22</v>
      </c>
      <c r="AJ2011" t="s">
        <v>2</v>
      </c>
      <c r="AK2011" t="s">
        <v>11</v>
      </c>
    </row>
    <row r="2012" spans="1:37">
      <c r="A2012">
        <v>257863</v>
      </c>
      <c r="B2012" s="1">
        <v>45366</v>
      </c>
      <c r="C2012" t="s">
        <v>1437</v>
      </c>
      <c r="D2012" t="s">
        <v>1438</v>
      </c>
      <c r="E2012" t="s">
        <v>2</v>
      </c>
      <c r="F2012" t="s">
        <v>1439</v>
      </c>
      <c r="G2012" t="s">
        <v>439</v>
      </c>
      <c r="H2012">
        <v>67522</v>
      </c>
      <c r="I2012" t="s">
        <v>2733</v>
      </c>
      <c r="J2012" t="s">
        <v>2734</v>
      </c>
      <c r="K2012" t="s">
        <v>2735</v>
      </c>
      <c r="L2012" t="s">
        <v>1439</v>
      </c>
      <c r="M2012" t="s">
        <v>439</v>
      </c>
      <c r="N2012">
        <v>67522</v>
      </c>
      <c r="O2012" t="s">
        <v>1442</v>
      </c>
      <c r="P2012" t="s">
        <v>2819</v>
      </c>
      <c r="Q2012" t="s">
        <v>38</v>
      </c>
      <c r="R2012">
        <v>414937</v>
      </c>
      <c r="S2012" t="s">
        <v>2451</v>
      </c>
      <c r="T2012" s="2">
        <v>7</v>
      </c>
      <c r="U2012">
        <v>0</v>
      </c>
      <c r="V2012" t="s">
        <v>260</v>
      </c>
      <c r="W2012">
        <v>0</v>
      </c>
      <c r="X2012">
        <v>0</v>
      </c>
      <c r="Y2012">
        <v>0</v>
      </c>
      <c r="Z2012" t="s">
        <v>88</v>
      </c>
      <c r="AA2012" t="s">
        <v>240</v>
      </c>
      <c r="AB2012" t="s">
        <v>10</v>
      </c>
      <c r="AC2012">
        <v>0</v>
      </c>
      <c r="AD2012">
        <v>0</v>
      </c>
      <c r="AE2012">
        <v>9442817742</v>
      </c>
      <c r="AF2012">
        <v>3177.22</v>
      </c>
      <c r="AG2012">
        <v>0</v>
      </c>
      <c r="AH2012">
        <v>0</v>
      </c>
      <c r="AI2012">
        <v>3177.22</v>
      </c>
      <c r="AJ2012" t="s">
        <v>2</v>
      </c>
      <c r="AK2012" t="s">
        <v>11</v>
      </c>
    </row>
    <row r="2013" spans="1:37">
      <c r="A2013">
        <v>257863</v>
      </c>
      <c r="B2013" s="1">
        <v>45366</v>
      </c>
      <c r="C2013" t="s">
        <v>1437</v>
      </c>
      <c r="D2013" t="s">
        <v>1438</v>
      </c>
      <c r="E2013" t="s">
        <v>2</v>
      </c>
      <c r="F2013" t="s">
        <v>1439</v>
      </c>
      <c r="G2013" t="s">
        <v>439</v>
      </c>
      <c r="H2013">
        <v>67522</v>
      </c>
      <c r="I2013" t="s">
        <v>2733</v>
      </c>
      <c r="J2013" t="s">
        <v>2734</v>
      </c>
      <c r="K2013" t="s">
        <v>2735</v>
      </c>
      <c r="L2013" t="s">
        <v>1439</v>
      </c>
      <c r="M2013" t="s">
        <v>439</v>
      </c>
      <c r="N2013">
        <v>67522</v>
      </c>
      <c r="O2013" t="s">
        <v>1442</v>
      </c>
      <c r="P2013" t="s">
        <v>2819</v>
      </c>
      <c r="Q2013" t="s">
        <v>38</v>
      </c>
      <c r="R2013">
        <v>414937</v>
      </c>
      <c r="S2013" t="s">
        <v>2451</v>
      </c>
      <c r="T2013" s="2">
        <v>7</v>
      </c>
      <c r="U2013">
        <v>0</v>
      </c>
      <c r="V2013" t="s">
        <v>260</v>
      </c>
      <c r="W2013">
        <v>1</v>
      </c>
      <c r="X2013">
        <v>1</v>
      </c>
      <c r="Y2013">
        <v>0</v>
      </c>
      <c r="Z2013" t="s">
        <v>2822</v>
      </c>
      <c r="AA2013" t="s">
        <v>2823</v>
      </c>
      <c r="AB2013" t="s">
        <v>14</v>
      </c>
      <c r="AC2013">
        <v>322.66629999999998</v>
      </c>
      <c r="AD2013">
        <v>322.67</v>
      </c>
      <c r="AE2013">
        <v>9442817742</v>
      </c>
      <c r="AF2013">
        <v>3177.22</v>
      </c>
      <c r="AG2013">
        <v>0</v>
      </c>
      <c r="AH2013">
        <v>0</v>
      </c>
      <c r="AI2013">
        <v>3177.22</v>
      </c>
      <c r="AJ2013" t="s">
        <v>2</v>
      </c>
      <c r="AK2013" t="s">
        <v>11</v>
      </c>
    </row>
    <row r="2014" spans="1:37">
      <c r="A2014">
        <v>257863</v>
      </c>
      <c r="B2014" s="1">
        <v>45366</v>
      </c>
      <c r="C2014" t="s">
        <v>1437</v>
      </c>
      <c r="D2014" t="s">
        <v>1438</v>
      </c>
      <c r="E2014" t="s">
        <v>2</v>
      </c>
      <c r="F2014" t="s">
        <v>1439</v>
      </c>
      <c r="G2014" t="s">
        <v>439</v>
      </c>
      <c r="H2014">
        <v>67522</v>
      </c>
      <c r="I2014" t="s">
        <v>2733</v>
      </c>
      <c r="J2014" t="s">
        <v>2734</v>
      </c>
      <c r="K2014" t="s">
        <v>2735</v>
      </c>
      <c r="L2014" t="s">
        <v>1439</v>
      </c>
      <c r="M2014" t="s">
        <v>439</v>
      </c>
      <c r="N2014">
        <v>67522</v>
      </c>
      <c r="O2014" t="s">
        <v>1442</v>
      </c>
      <c r="P2014" t="s">
        <v>2819</v>
      </c>
      <c r="Q2014" t="s">
        <v>38</v>
      </c>
      <c r="R2014">
        <v>414937</v>
      </c>
      <c r="S2014" t="s">
        <v>2451</v>
      </c>
      <c r="T2014" s="2">
        <v>7</v>
      </c>
      <c r="U2014">
        <v>0</v>
      </c>
      <c r="V2014" t="s">
        <v>260</v>
      </c>
      <c r="W2014">
        <v>0</v>
      </c>
      <c r="X2014">
        <v>0</v>
      </c>
      <c r="Y2014">
        <v>0</v>
      </c>
      <c r="Z2014" t="s">
        <v>88</v>
      </c>
      <c r="AA2014" t="s">
        <v>107</v>
      </c>
      <c r="AB2014" t="s">
        <v>10</v>
      </c>
      <c r="AC2014">
        <v>0</v>
      </c>
      <c r="AD2014">
        <v>0</v>
      </c>
      <c r="AE2014">
        <v>9442817742</v>
      </c>
      <c r="AF2014">
        <v>3177.22</v>
      </c>
      <c r="AG2014">
        <v>0</v>
      </c>
      <c r="AH2014">
        <v>0</v>
      </c>
      <c r="AI2014">
        <v>3177.22</v>
      </c>
      <c r="AJ2014" t="s">
        <v>2</v>
      </c>
      <c r="AK2014" t="s">
        <v>11</v>
      </c>
    </row>
    <row r="2015" spans="1:37">
      <c r="A2015">
        <v>257863</v>
      </c>
      <c r="B2015" s="1">
        <v>45366</v>
      </c>
      <c r="C2015" t="s">
        <v>1437</v>
      </c>
      <c r="D2015" t="s">
        <v>1438</v>
      </c>
      <c r="E2015" t="s">
        <v>2</v>
      </c>
      <c r="F2015" t="s">
        <v>1439</v>
      </c>
      <c r="G2015" t="s">
        <v>439</v>
      </c>
      <c r="H2015">
        <v>67522</v>
      </c>
      <c r="I2015" t="s">
        <v>2733</v>
      </c>
      <c r="J2015" t="s">
        <v>2734</v>
      </c>
      <c r="K2015" t="s">
        <v>2735</v>
      </c>
      <c r="L2015" t="s">
        <v>1439</v>
      </c>
      <c r="M2015" t="s">
        <v>439</v>
      </c>
      <c r="N2015">
        <v>67522</v>
      </c>
      <c r="O2015" t="s">
        <v>1442</v>
      </c>
      <c r="P2015" t="s">
        <v>2819</v>
      </c>
      <c r="Q2015" t="s">
        <v>38</v>
      </c>
      <c r="R2015">
        <v>414937</v>
      </c>
      <c r="S2015" t="s">
        <v>2451</v>
      </c>
      <c r="T2015" s="2">
        <v>7</v>
      </c>
      <c r="U2015">
        <v>0</v>
      </c>
      <c r="V2015" t="s">
        <v>260</v>
      </c>
      <c r="W2015">
        <v>1</v>
      </c>
      <c r="X2015">
        <v>1</v>
      </c>
      <c r="Y2015">
        <v>0</v>
      </c>
      <c r="Z2015" t="s">
        <v>2824</v>
      </c>
      <c r="AA2015" t="s">
        <v>2825</v>
      </c>
      <c r="AB2015" t="s">
        <v>14</v>
      </c>
      <c r="AC2015">
        <v>775.86940000000004</v>
      </c>
      <c r="AD2015">
        <v>775.87</v>
      </c>
      <c r="AE2015">
        <v>9442817742</v>
      </c>
      <c r="AF2015">
        <v>3177.22</v>
      </c>
      <c r="AG2015">
        <v>0</v>
      </c>
      <c r="AH2015">
        <v>0</v>
      </c>
      <c r="AI2015">
        <v>3177.22</v>
      </c>
      <c r="AJ2015" t="s">
        <v>2</v>
      </c>
      <c r="AK2015" t="s">
        <v>11</v>
      </c>
    </row>
    <row r="2016" spans="1:37">
      <c r="A2016">
        <v>257863</v>
      </c>
      <c r="B2016" s="1">
        <v>45366</v>
      </c>
      <c r="C2016" t="s">
        <v>1437</v>
      </c>
      <c r="D2016" t="s">
        <v>1438</v>
      </c>
      <c r="E2016" t="s">
        <v>2</v>
      </c>
      <c r="F2016" t="s">
        <v>1439</v>
      </c>
      <c r="G2016" t="s">
        <v>439</v>
      </c>
      <c r="H2016">
        <v>67522</v>
      </c>
      <c r="I2016" t="s">
        <v>2733</v>
      </c>
      <c r="J2016" t="s">
        <v>2734</v>
      </c>
      <c r="K2016" t="s">
        <v>2735</v>
      </c>
      <c r="L2016" t="s">
        <v>1439</v>
      </c>
      <c r="M2016" t="s">
        <v>439</v>
      </c>
      <c r="N2016">
        <v>67522</v>
      </c>
      <c r="O2016" t="s">
        <v>1442</v>
      </c>
      <c r="P2016" t="s">
        <v>2819</v>
      </c>
      <c r="Q2016" t="s">
        <v>38</v>
      </c>
      <c r="R2016">
        <v>414937</v>
      </c>
      <c r="S2016" t="s">
        <v>2451</v>
      </c>
      <c r="T2016" s="2">
        <v>7</v>
      </c>
      <c r="U2016">
        <v>0</v>
      </c>
      <c r="V2016" t="s">
        <v>260</v>
      </c>
      <c r="W2016">
        <v>0</v>
      </c>
      <c r="X2016">
        <v>0</v>
      </c>
      <c r="Y2016">
        <v>0</v>
      </c>
      <c r="Z2016" t="s">
        <v>88</v>
      </c>
      <c r="AA2016" t="s">
        <v>116</v>
      </c>
      <c r="AB2016" t="s">
        <v>10</v>
      </c>
      <c r="AC2016">
        <v>0</v>
      </c>
      <c r="AD2016">
        <v>0</v>
      </c>
      <c r="AE2016">
        <v>9442817742</v>
      </c>
      <c r="AF2016">
        <v>3177.22</v>
      </c>
      <c r="AG2016">
        <v>0</v>
      </c>
      <c r="AH2016">
        <v>0</v>
      </c>
      <c r="AI2016">
        <v>3177.22</v>
      </c>
      <c r="AJ2016" t="s">
        <v>2</v>
      </c>
      <c r="AK2016" t="s">
        <v>11</v>
      </c>
    </row>
    <row r="2017" spans="1:37">
      <c r="A2017">
        <v>257863</v>
      </c>
      <c r="B2017" s="1">
        <v>45366</v>
      </c>
      <c r="C2017" t="s">
        <v>1437</v>
      </c>
      <c r="D2017" t="s">
        <v>1438</v>
      </c>
      <c r="E2017" t="s">
        <v>2</v>
      </c>
      <c r="F2017" t="s">
        <v>1439</v>
      </c>
      <c r="G2017" t="s">
        <v>439</v>
      </c>
      <c r="H2017">
        <v>67522</v>
      </c>
      <c r="I2017" t="s">
        <v>2733</v>
      </c>
      <c r="J2017" t="s">
        <v>2734</v>
      </c>
      <c r="K2017" t="s">
        <v>2735</v>
      </c>
      <c r="L2017" t="s">
        <v>1439</v>
      </c>
      <c r="M2017" t="s">
        <v>439</v>
      </c>
      <c r="N2017">
        <v>67522</v>
      </c>
      <c r="O2017" t="s">
        <v>1442</v>
      </c>
      <c r="P2017" t="s">
        <v>2819</v>
      </c>
      <c r="Q2017" t="s">
        <v>38</v>
      </c>
      <c r="R2017">
        <v>414937</v>
      </c>
      <c r="S2017" t="s">
        <v>2451</v>
      </c>
      <c r="T2017" s="2">
        <v>7</v>
      </c>
      <c r="U2017">
        <v>0</v>
      </c>
      <c r="V2017" t="s">
        <v>260</v>
      </c>
      <c r="W2017">
        <v>1</v>
      </c>
      <c r="X2017">
        <v>1</v>
      </c>
      <c r="Y2017">
        <v>0</v>
      </c>
      <c r="Z2017" t="s">
        <v>183</v>
      </c>
      <c r="AA2017" t="s">
        <v>184</v>
      </c>
      <c r="AB2017" t="s">
        <v>14</v>
      </c>
      <c r="AC2017">
        <v>25</v>
      </c>
      <c r="AD2017">
        <v>25</v>
      </c>
      <c r="AE2017">
        <v>9442817742</v>
      </c>
      <c r="AF2017">
        <v>3177.22</v>
      </c>
      <c r="AG2017">
        <v>0</v>
      </c>
      <c r="AH2017">
        <v>0</v>
      </c>
      <c r="AI2017">
        <v>3177.22</v>
      </c>
      <c r="AJ2017" t="s">
        <v>2</v>
      </c>
      <c r="AK2017" t="s">
        <v>11</v>
      </c>
    </row>
  </sheetData>
  <autoFilter ref="Y1:Y20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dalinv-2024-03-18-11-37-12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Nussel</dc:creator>
  <cp:lastModifiedBy>LENOVO</cp:lastModifiedBy>
  <dcterms:created xsi:type="dcterms:W3CDTF">2024-03-18T20:32:55Z</dcterms:created>
  <dcterms:modified xsi:type="dcterms:W3CDTF">2024-07-15T17:07:05Z</dcterms:modified>
</cp:coreProperties>
</file>