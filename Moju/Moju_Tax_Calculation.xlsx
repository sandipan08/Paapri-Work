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Moju\"/>
    </mc:Choice>
  </mc:AlternateContent>
  <xr:revisionPtr revIDLastSave="0" documentId="8_{888ADEEE-2C5B-461F-9558-33B7020376A3}" xr6:coauthVersionLast="47" xr6:coauthVersionMax="47" xr10:uidLastSave="{00000000-0000-0000-0000-000000000000}"/>
  <bookViews>
    <workbookView xWindow="-108" yWindow="-108" windowWidth="23256" windowHeight="13176" xr2:uid="{E4165F19-0EBD-4920-9059-A38AADE9B7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7" i="1"/>
  <c r="G8" i="1"/>
  <c r="G10" i="1"/>
  <c r="G3" i="1"/>
  <c r="D10" i="1"/>
  <c r="F10" i="1" s="1"/>
  <c r="C8" i="1"/>
  <c r="D8" i="1" s="1"/>
  <c r="F8" i="1" s="1"/>
  <c r="C7" i="1"/>
  <c r="D7" i="1" s="1"/>
  <c r="F7" i="1" s="1"/>
  <c r="C4" i="1"/>
  <c r="D4" i="1" s="1"/>
  <c r="F4" i="1" s="1"/>
  <c r="C3" i="1"/>
  <c r="D3" i="1" s="1"/>
  <c r="F3" i="1" s="1"/>
  <c r="F12" i="1" s="1"/>
  <c r="G12" i="1" l="1"/>
</calcChain>
</file>

<file path=xl/sharedStrings.xml><?xml version="1.0" encoding="utf-8"?>
<sst xmlns="http://schemas.openxmlformats.org/spreadsheetml/2006/main" count="14" uniqueCount="12">
  <si>
    <t xml:space="preserve">Item Name </t>
  </si>
  <si>
    <t>Qty</t>
  </si>
  <si>
    <t>Rate</t>
  </si>
  <si>
    <t>UKDS1PRT500x04</t>
  </si>
  <si>
    <t xml:space="preserve">Tax % </t>
  </si>
  <si>
    <t>UKDS1VTC500x06</t>
  </si>
  <si>
    <t xml:space="preserve">UKDS1VTD500x06 </t>
  </si>
  <si>
    <t>Amount</t>
  </si>
  <si>
    <t>UKDS1VTD500x06</t>
  </si>
  <si>
    <t>Gross Amount</t>
  </si>
  <si>
    <t>Tax Amout in Netsuite</t>
  </si>
  <si>
    <t>Discount Item for UKDS1PRT500x04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</si>
</sst>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1" fillId="2" borderId="1" xfId="1" applyFill="1" applyBorder="1" applyAlignment="1">
      <alignment horizontal="center" vertical="top" wrapText="1"/>
    </xf>
    <xf numFmtId="0" fontId="1" fillId="3" borderId="1" xfId="1" applyFill="1" applyBorder="1" applyAlignment="1">
      <alignment horizontal="center" vertical="top" wrapText="1"/>
    </xf>
    <xf numFmtId="0" fontId="0" fillId="4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5436992.app.netsuite.com/app/common/item/item.nl?id=303" TargetMode="External"/><Relationship Id="rId2" Type="http://schemas.openxmlformats.org/officeDocument/2006/relationships/hyperlink" Target="https://5436992.app.netsuite.com/app/common/item/item.nl?id=598" TargetMode="External"/><Relationship Id="rId1" Type="http://schemas.openxmlformats.org/officeDocument/2006/relationships/hyperlink" Target="https://5436992.app.netsuite.com/app/common/item/item.nl?id=30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5436992.app.netsuite.com/app/common/item/item.nl?id=3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99BF-CF56-40C7-B95E-A34C553C7189}">
  <dimension ref="A1:G12"/>
  <sheetViews>
    <sheetView tabSelected="1" workbookViewId="0">
      <selection activeCell="A15" sqref="A15"/>
    </sheetView>
  </sheetViews>
  <sheetFormatPr defaultRowHeight="14.4" x14ac:dyDescent="0.3"/>
  <cols>
    <col min="1" max="1" width="36" style="1" customWidth="1"/>
    <col min="2" max="2" width="8.88671875" style="1"/>
    <col min="3" max="3" width="10.77734375" style="1" customWidth="1"/>
    <col min="4" max="4" width="11.77734375" style="1" customWidth="1"/>
    <col min="5" max="5" width="8.88671875" style="1"/>
    <col min="6" max="6" width="23.33203125" style="1" customWidth="1"/>
    <col min="7" max="7" width="17.77734375" style="1" customWidth="1"/>
    <col min="8" max="16384" width="8.88671875" style="1"/>
  </cols>
  <sheetData>
    <row r="1" spans="1:7" s="5" customFormat="1" ht="28.2" customHeight="1" x14ac:dyDescent="0.3">
      <c r="A1" s="5" t="s">
        <v>0</v>
      </c>
      <c r="B1" s="5" t="s">
        <v>1</v>
      </c>
      <c r="C1" s="5" t="s">
        <v>2</v>
      </c>
      <c r="D1" s="5" t="s">
        <v>7</v>
      </c>
      <c r="E1" s="5" t="s">
        <v>4</v>
      </c>
      <c r="F1" s="5" t="s">
        <v>10</v>
      </c>
      <c r="G1" s="5" t="s">
        <v>9</v>
      </c>
    </row>
    <row r="2" spans="1:7" x14ac:dyDescent="0.3">
      <c r="A2" s="1" t="s">
        <v>3</v>
      </c>
      <c r="B2" s="1">
        <v>1</v>
      </c>
      <c r="C2" s="1">
        <v>23.1666666666667</v>
      </c>
      <c r="E2" s="1">
        <v>0.2</v>
      </c>
    </row>
    <row r="3" spans="1:7" x14ac:dyDescent="0.3">
      <c r="A3" s="2" t="s">
        <v>5</v>
      </c>
      <c r="B3" s="1">
        <v>2</v>
      </c>
      <c r="C3" s="1">
        <f>C2/4</f>
        <v>5.791666666666675</v>
      </c>
      <c r="D3" s="1">
        <f>B3*C3</f>
        <v>11.58333333333335</v>
      </c>
      <c r="E3" s="1">
        <v>0.2</v>
      </c>
      <c r="F3" s="1">
        <f>ROUND((D3*E3),2)</f>
        <v>2.3199999999999998</v>
      </c>
      <c r="G3" s="1">
        <f>ROUND((D3+F3),2)</f>
        <v>13.9</v>
      </c>
    </row>
    <row r="4" spans="1:7" x14ac:dyDescent="0.3">
      <c r="A4" s="1" t="s">
        <v>6</v>
      </c>
      <c r="B4" s="1">
        <v>2</v>
      </c>
      <c r="C4" s="1">
        <f>C2/4</f>
        <v>5.791666666666675</v>
      </c>
      <c r="D4" s="1">
        <f>B4*C4</f>
        <v>11.58333333333335</v>
      </c>
      <c r="E4" s="1">
        <v>0.2</v>
      </c>
      <c r="F4" s="1">
        <f>ROUND((D4*E4),2)</f>
        <v>2.3199999999999998</v>
      </c>
      <c r="G4" s="1">
        <f t="shared" ref="G4:G10" si="0">ROUND((D4+F4),2)</f>
        <v>13.9</v>
      </c>
    </row>
    <row r="5" spans="1:7" ht="15" thickBot="1" x14ac:dyDescent="0.35"/>
    <row r="6" spans="1:7" ht="15" thickBot="1" x14ac:dyDescent="0.35">
      <c r="A6" s="3" t="s">
        <v>3</v>
      </c>
      <c r="B6" s="1">
        <v>1</v>
      </c>
      <c r="C6" s="1">
        <v>23.1666666666667</v>
      </c>
      <c r="E6" s="1">
        <v>0.2</v>
      </c>
    </row>
    <row r="7" spans="1:7" ht="15" thickBot="1" x14ac:dyDescent="0.35">
      <c r="A7" s="4" t="s">
        <v>5</v>
      </c>
      <c r="B7" s="1">
        <v>2</v>
      </c>
      <c r="C7" s="1">
        <f>C6/4</f>
        <v>5.791666666666675</v>
      </c>
      <c r="D7" s="1">
        <f>C7*B7</f>
        <v>11.58333333333335</v>
      </c>
      <c r="E7" s="1">
        <v>0.2</v>
      </c>
      <c r="F7" s="1">
        <f>ROUND((D7*E7),2)</f>
        <v>2.3199999999999998</v>
      </c>
      <c r="G7" s="1">
        <f t="shared" si="0"/>
        <v>13.9</v>
      </c>
    </row>
    <row r="8" spans="1:7" ht="15" thickBot="1" x14ac:dyDescent="0.35">
      <c r="A8" s="4" t="s">
        <v>8</v>
      </c>
      <c r="B8" s="1">
        <v>2</v>
      </c>
      <c r="C8" s="1">
        <f>C6/4</f>
        <v>5.791666666666675</v>
      </c>
      <c r="D8" s="1">
        <f>C8*B8</f>
        <v>11.58333333333335</v>
      </c>
      <c r="E8" s="1">
        <v>0.2</v>
      </c>
      <c r="F8" s="1">
        <f>ROUND((D8*E8),2)</f>
        <v>2.3199999999999998</v>
      </c>
      <c r="G8" s="1">
        <f t="shared" si="0"/>
        <v>13.9</v>
      </c>
    </row>
    <row r="10" spans="1:7" x14ac:dyDescent="0.3">
      <c r="A10" s="1" t="s">
        <v>11</v>
      </c>
      <c r="B10" s="1">
        <v>1</v>
      </c>
      <c r="C10" s="1">
        <v>-11.5833333333333</v>
      </c>
      <c r="D10" s="1">
        <f>C10*B10</f>
        <v>-11.5833333333333</v>
      </c>
      <c r="E10" s="1">
        <v>0.2</v>
      </c>
      <c r="F10" s="1">
        <f>ROUND((D10*E10),2)</f>
        <v>-2.3199999999999998</v>
      </c>
      <c r="G10" s="1">
        <f t="shared" si="0"/>
        <v>-13.9</v>
      </c>
    </row>
    <row r="12" spans="1:7" x14ac:dyDescent="0.3">
      <c r="F12" s="1">
        <f>SUM(F3,F4,F7,F8,F10)</f>
        <v>6.9599999999999991</v>
      </c>
      <c r="G12" s="1">
        <f>G10+G8+G7+G4+G3</f>
        <v>41.7</v>
      </c>
    </row>
  </sheetData>
  <hyperlinks>
    <hyperlink ref="A3" r:id="rId1" display="https://5436992.app.netsuite.com/app/common/item/item.nl?id=303" xr:uid="{957AB9DA-F734-4854-B322-DB8DAE379445}"/>
    <hyperlink ref="A6" r:id="rId2" display="https://5436992.app.netsuite.com/app/common/item/item.nl?id=598" xr:uid="{337AD164-1872-4CE9-8E2F-EEA41DE136BA}"/>
    <hyperlink ref="A7" r:id="rId3" display="https://5436992.app.netsuite.com/app/common/item/item.nl?id=303" xr:uid="{FF4D2D60-4DAE-4755-AD76-E08615E433AC}"/>
    <hyperlink ref="A8" r:id="rId4" display="https://5436992.app.netsuite.com/app/common/item/item.nl?id=304" xr:uid="{8C6E1CA0-3423-46D6-B2BB-A8A9E9EC9D2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paapr</dc:creator>
  <cp:lastModifiedBy>paapr</cp:lastModifiedBy>
  <dcterms:created xsi:type="dcterms:W3CDTF">2021-11-24T10:18:32Z</dcterms:created>
  <dcterms:modified xsi:type="dcterms:W3CDTF">2021-11-24T10:49:50Z</dcterms:modified>
</cp:coreProperties>
</file>